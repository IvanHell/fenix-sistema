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ndows 10 pro\Documents\GitHub\fenix-sistema\backend\"/>
    </mc:Choice>
  </mc:AlternateContent>
  <xr:revisionPtr revIDLastSave="0" documentId="13_ncr:1_{56A06632-DF2A-4847-B3F5-A75357C51C62}" xr6:coauthVersionLast="47" xr6:coauthVersionMax="47" xr10:uidLastSave="{00000000-0000-0000-0000-000000000000}"/>
  <bookViews>
    <workbookView xWindow="-108" yWindow="-108" windowWidth="23256" windowHeight="12456" xr2:uid="{337D5D13-C29C-4B87-8043-65CC765E90E3}"/>
  </bookViews>
  <sheets>
    <sheet name="Dibujos" sheetId="2" r:id="rId1"/>
  </sheets>
  <definedNames>
    <definedName name="dibujos">Tabla1[]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34" i="2" l="1"/>
  <c r="K1731" i="2"/>
  <c r="K2211" i="2" l="1"/>
  <c r="K2209" i="2" l="1"/>
  <c r="K1724" i="2" l="1"/>
  <c r="K1722" i="2"/>
  <c r="K626" i="2"/>
  <c r="K2450" i="2" l="1"/>
  <c r="K625" i="2" l="1"/>
  <c r="K1716" i="2"/>
  <c r="K1715" i="2"/>
  <c r="K1714" i="2"/>
  <c r="K228" i="2"/>
  <c r="K437" i="2"/>
  <c r="E766" i="2"/>
  <c r="K1290" i="2" l="1"/>
  <c r="K1628" i="2"/>
  <c r="K1627" i="2"/>
  <c r="K1626" i="2"/>
  <c r="K1668" i="2" l="1"/>
  <c r="K840" i="2"/>
  <c r="K836" i="2"/>
  <c r="K544" i="2" l="1"/>
  <c r="K118" i="2"/>
  <c r="K2494" i="2"/>
  <c r="K2490" i="2"/>
  <c r="K2485" i="2"/>
  <c r="K912" i="2" l="1"/>
  <c r="K2078" i="2"/>
  <c r="K2346" i="2"/>
  <c r="K2340" i="2"/>
  <c r="K225" i="2"/>
  <c r="K224" i="2" l="1"/>
  <c r="K2334" i="2" l="1"/>
  <c r="K2333" i="2"/>
  <c r="K2332" i="2"/>
  <c r="K2072" i="2"/>
  <c r="K2068" i="2" l="1"/>
  <c r="K2066" i="2" l="1"/>
  <c r="K2063" i="2" l="1"/>
  <c r="K2059" i="2"/>
  <c r="K2050" i="2"/>
  <c r="K1286" i="2"/>
  <c r="K2048" i="2"/>
  <c r="K2047" i="2"/>
  <c r="K2046" i="2"/>
  <c r="K2042" i="2"/>
  <c r="K2040" i="2"/>
  <c r="K2037" i="2"/>
  <c r="K797" i="2"/>
  <c r="K794" i="2"/>
  <c r="K791" i="2"/>
  <c r="K2454" i="2"/>
  <c r="K221" i="2"/>
  <c r="K2451" i="2"/>
  <c r="K2035" i="2"/>
  <c r="O2" i="2" l="1"/>
  <c r="K2435" i="2"/>
  <c r="K2434" i="2"/>
  <c r="K2433" i="2"/>
  <c r="K2432" i="2"/>
  <c r="K2430" i="2"/>
  <c r="K2429" i="2"/>
  <c r="K1589" i="2"/>
  <c r="K1282" i="2" l="1"/>
  <c r="K1278" i="2" l="1"/>
  <c r="K1274" i="2" l="1"/>
  <c r="K1271" i="2" l="1"/>
  <c r="K1270" i="2"/>
  <c r="K1265" i="2" l="1"/>
  <c r="K1261" i="2" l="1"/>
  <c r="K1255" i="2" l="1"/>
  <c r="K1246" i="2" l="1"/>
  <c r="K1237" i="2" l="1"/>
  <c r="K1227" i="2"/>
  <c r="K1226" i="2"/>
  <c r="K1222" i="2"/>
  <c r="K1221" i="2"/>
  <c r="K1218" i="2" l="1"/>
  <c r="K1214" i="2" l="1"/>
  <c r="K624" i="2"/>
  <c r="K607" i="2"/>
  <c r="K2032" i="2" l="1"/>
  <c r="K2030" i="2"/>
  <c r="K2028" i="2"/>
  <c r="K2026" i="2"/>
  <c r="K1234" i="2"/>
  <c r="K1231" i="2"/>
  <c r="K772" i="2" l="1"/>
  <c r="K1211" i="2" l="1"/>
  <c r="K1577" i="2"/>
  <c r="K1570" i="2"/>
  <c r="K1573" i="2"/>
  <c r="K1569" i="2"/>
  <c r="K1567" i="2" l="1"/>
  <c r="K789" i="2" l="1"/>
  <c r="A1412" i="2"/>
  <c r="K613" i="2" l="1"/>
  <c r="K1467" i="2"/>
  <c r="T2" i="2" l="1"/>
  <c r="S2" i="2"/>
  <c r="R2" i="2"/>
  <c r="Q2" i="2"/>
  <c r="P2" i="2"/>
</calcChain>
</file>

<file path=xl/sharedStrings.xml><?xml version="1.0" encoding="utf-8"?>
<sst xmlns="http://schemas.openxmlformats.org/spreadsheetml/2006/main" count="21645" uniqueCount="8059">
  <si>
    <t xml:space="preserve">Cliente </t>
  </si>
  <si>
    <t># De Parte</t>
  </si>
  <si>
    <t xml:space="preserve">Nombre </t>
  </si>
  <si>
    <t>PROYECTO</t>
  </si>
  <si>
    <t xml:space="preserve">MEDIDA </t>
  </si>
  <si>
    <t>CODIGO</t>
  </si>
  <si>
    <t>ANCHO</t>
  </si>
  <si>
    <t>LARGO</t>
  </si>
  <si>
    <t>ALTO</t>
  </si>
  <si>
    <t>CORRUGADO</t>
  </si>
  <si>
    <t>DIRECCIÓN</t>
  </si>
  <si>
    <t>ABC</t>
  </si>
  <si>
    <t>CAMA DE AIRE</t>
  </si>
  <si>
    <t>TAPA TELESCOPICA</t>
  </si>
  <si>
    <t>-</t>
  </si>
  <si>
    <t>ESP-ACB-001</t>
  </si>
  <si>
    <t>https://drive.google.com/file/d/1oMjCmPrHuR4DRU9lNcQtV4k1Jxt_VHIp/view?usp=sharing</t>
  </si>
  <si>
    <t>REJILLA 24 CAV</t>
  </si>
  <si>
    <t>ESP-ACB-002</t>
  </si>
  <si>
    <t>https://drive.google.com/file/d/1Ja6FiBUG1k6XDffF4HUsvS1zgUS_BFPS/view?usp=sharing</t>
  </si>
  <si>
    <t>ESP-ACB-003</t>
  </si>
  <si>
    <t>https://drive.google.com/file/d/16HzbT2-uuP_AfyQwv5eYIel6iaJaQQSI/view?usp=sharing</t>
  </si>
  <si>
    <t>WOM-FRONTAL</t>
  </si>
  <si>
    <t>CAJA CON FONDO</t>
  </si>
  <si>
    <t>ESP-ACB-004</t>
  </si>
  <si>
    <t>https://drive.google.com/file/d/16aiOoAe_q4QYfP48Qv6Z_mm1FiepAhAs/view?usp=sharing</t>
  </si>
  <si>
    <t xml:space="preserve">TAPA TELESCOPICA </t>
  </si>
  <si>
    <t>ESP-ACB-005</t>
  </si>
  <si>
    <t>https://drive.google.com/file/d/11PWRjdm1bIqAgds5DfomTRRWD9GGMolw/view?usp=sharing</t>
  </si>
  <si>
    <t>REJILLA 16 CAV</t>
  </si>
  <si>
    <t>ESP-ACB-006</t>
  </si>
  <si>
    <t>https://drive.google.com/file/d/1apmbFg8vKRbH5n8R3EpGCTDjp-7a1l0d/view?usp=sharing</t>
  </si>
  <si>
    <t>ESP-ACB-007</t>
  </si>
  <si>
    <t>https://drive.google.com/file/d/1NgEiGyub9ZS1JnM5R0vYznG83N3gxacv/view?usp=sharing</t>
  </si>
  <si>
    <t>ESP-ACB-008</t>
  </si>
  <si>
    <t>https://drive.google.com/file/d/1fk_ljnOoBb2lFqTUq_Vq8_BmTgJGw3-o/view?usp=sharing</t>
  </si>
  <si>
    <t>ESP-ACB-009</t>
  </si>
  <si>
    <t>https://drive.google.com/file/d/1v2pe8gLNtAMeJb3EG5sw_Uq3jEna-Iu8/view?usp=sharing</t>
  </si>
  <si>
    <t>ESP-ACB-010</t>
  </si>
  <si>
    <t>https://drive.google.com/file/d/1c1iQxz_04DG3uR3Xv6Kvdl_Jr5_9YhLS/view?usp=sharing</t>
  </si>
  <si>
    <t>WOM-REAR</t>
  </si>
  <si>
    <t>ESP-ACB-011</t>
  </si>
  <si>
    <t>https://drive.google.com/file/d/1LLTZCVUOIAc63eLxfZIE3ADCUDOu-2nD/view?usp=sharing</t>
  </si>
  <si>
    <t>ESP-ACB-012</t>
  </si>
  <si>
    <t>https://drive.google.com/file/d/1nY6nLMdYce_e7iHaIfbsoLXQfvD8AQZs/view?usp=sharing</t>
  </si>
  <si>
    <t>ESP-ACB-013</t>
  </si>
  <si>
    <t>https://drive.google.com/file/d/1QOU-G3X-53ieHdNcrKP4Ub7Nmk1vSKmL/view?usp=sharing</t>
  </si>
  <si>
    <t>ESP-ACB-014</t>
  </si>
  <si>
    <t>https://drive.google.com/file/d/1c-OEeNXamxQJJVMnGANHf1JQbbJgBDKh/view?usp=sharing</t>
  </si>
  <si>
    <t>ESP-ACB-015</t>
  </si>
  <si>
    <t>https://drive.google.com/file/d/1rkesT445zzKOpV6J6FHQ5ZadhleehZ0K/view?usp=sharing</t>
  </si>
  <si>
    <t>ESP-ACB-016</t>
  </si>
  <si>
    <t>https://drive.google.com/file/d/10FgmWF5kKxsGyBfXtj_6B-w1aBZjGVOX/view?usp=sharing</t>
  </si>
  <si>
    <t>ESP-ACB-017</t>
  </si>
  <si>
    <t>https://drive.google.com/file/d/1eULiB8q7jG9cIeslerrMbp9V7x-1EWmT/view?usp=sharing</t>
  </si>
  <si>
    <t>BSM-REAR-FORNT</t>
  </si>
  <si>
    <t>BSM-REAR-FRONT</t>
  </si>
  <si>
    <t>ESP-ACB-018</t>
  </si>
  <si>
    <t>https://drive.google.com/file/d/1CFC7m_nJV5eLxwksf1DAQiKuJHZdwtMa/view?usp=sharing</t>
  </si>
  <si>
    <t>ESP-ACB-019</t>
  </si>
  <si>
    <t>https://drive.google.com/file/d/1u0t7pq0oxkLpr_KJaRn_93U2SQYgmyw4/view?usp=sharing</t>
  </si>
  <si>
    <t>BSM-REAR</t>
  </si>
  <si>
    <t>REJILLA 9 CAV</t>
  </si>
  <si>
    <t>ESP-ACB-020</t>
  </si>
  <si>
    <t>https://drive.google.com/file/d/1vhzGooEjLajYe6hTl0X0-G8WVj5OB6YJ/view?usp=sharing</t>
  </si>
  <si>
    <t>ESP-ACB-021</t>
  </si>
  <si>
    <t>https://drive.google.com/file/d/1C4WuILuBwFv8voBqFwEvE8Fu-zffiGus/view?usp=sharing</t>
  </si>
  <si>
    <t>BSM-FRONT</t>
  </si>
  <si>
    <t>REJILLA DE 10 CAV</t>
  </si>
  <si>
    <t>ESP-ACB-022</t>
  </si>
  <si>
    <t>https://drive.google.com/file/d/1o7c4v6lZlUisc0Yd5AaTQncutVcsAUyG/view?usp=sharing</t>
  </si>
  <si>
    <t>ESP-ACB-023</t>
  </si>
  <si>
    <t>https://drive.google.com/file/d/1CBfTXC_It8mEZ4qBG6bBEXAbRTitOB2O/view?usp=sharing</t>
  </si>
  <si>
    <t>BS,M-FORNT-REAR</t>
  </si>
  <si>
    <t>SEPARADOR</t>
  </si>
  <si>
    <t>ESP-ACB-024</t>
  </si>
  <si>
    <t>https://drive.google.com/file/d/1uzKhpPsA0Y606m0xJyObQec5sB36gztB/view?usp=sharing</t>
  </si>
  <si>
    <t>45" X 15" X 26"</t>
  </si>
  <si>
    <t xml:space="preserve">CAJA TRASLAPADA </t>
  </si>
  <si>
    <t>ESP-ACB-025</t>
  </si>
  <si>
    <t>https://drive.google.com/file/d/1fWyh7y-82jmFcFiNzGsP26BruLcBGSXa/view?usp=sharing</t>
  </si>
  <si>
    <t>ADIENT Derramadero</t>
  </si>
  <si>
    <t xml:space="preserve">FONDO 20% </t>
  </si>
  <si>
    <t>ESP-ADID-001</t>
  </si>
  <si>
    <t>https://drive.google.com/file/d/1GKxM43UY7pQs0IHVwByXyZF3Zoo5nO5r/view?usp=sharing</t>
  </si>
  <si>
    <t>MANGA 20%</t>
  </si>
  <si>
    <t>MANGA CON FALDON</t>
  </si>
  <si>
    <t>ESP-ADID-002</t>
  </si>
  <si>
    <t>https://drive.google.com/file/d/1YJX68jjHwjQHj_gNvViFdTteCO5HB-BV/view?usp=sharing</t>
  </si>
  <si>
    <t>REJILLA 20%</t>
  </si>
  <si>
    <t>REJILLA</t>
  </si>
  <si>
    <t>ESP-ADID-003</t>
  </si>
  <si>
    <t>https://drive.google.com/file/d/1wSdebBhhV9S6PNhGBgpdg1DWYe3G_KtM/view?usp=sharing</t>
  </si>
  <si>
    <t>ESP-ADID-004</t>
  </si>
  <si>
    <t>https://drive.google.com/file/d/1sE1Yg0BPnwLjfnvfJU4q-kZqeNUzaHw-/view?usp=sharing</t>
  </si>
  <si>
    <t>MOPAR CH</t>
  </si>
  <si>
    <t>CAJA NORMAL</t>
  </si>
  <si>
    <t>ESP-ADID-005</t>
  </si>
  <si>
    <t>https://drive.google.com/file/d/1kxQqbjghy6M8u1fwg23c3GRRPrYLF0-7/view?usp=sharing</t>
  </si>
  <si>
    <t>MOPAR M</t>
  </si>
  <si>
    <t>ESP-ADID-006</t>
  </si>
  <si>
    <t>https://drive.google.com/file/d/1IeQCfIHG7S-JeJQWGv0KU6YvK49qGMhc/view?usp=sharing</t>
  </si>
  <si>
    <t>MOPAR G</t>
  </si>
  <si>
    <t>ESP-ADID-007</t>
  </si>
  <si>
    <t>https://drive.google.com/file/d/1z79aOyvbB5KWWuRxS04EUVvnBoohyUWy/view?usp=sharing</t>
  </si>
  <si>
    <t>MANGA NORMAL</t>
  </si>
  <si>
    <t>ESP-ADID-008</t>
  </si>
  <si>
    <t>https://drive.google.com/file/d/1VhVu3UKrYXlxXRY9Hfk6PILwiI8njnte/view?usp=sharing</t>
  </si>
  <si>
    <t>215-26</t>
  </si>
  <si>
    <t>CORDERA 4985215</t>
  </si>
  <si>
    <t>ESP-ADID-009</t>
  </si>
  <si>
    <t>https://drive.google.com/file/d/1fWfaJmDZHVG8QI0hLmFD6QFe9jEEuq9I/view?usp=sharing</t>
  </si>
  <si>
    <t>ESP-ADID-010</t>
  </si>
  <si>
    <t>https://drive.google.com/file/d/1jpDIqXDJb5R0WOXOzKNFaIBnhs8CCzhW/view?usp=sharing</t>
  </si>
  <si>
    <t>852-11</t>
  </si>
  <si>
    <t>CORDERA 4984852</t>
  </si>
  <si>
    <t>ESP-ADID-011</t>
  </si>
  <si>
    <t>https://drive.google.com/file/d/1Vsb97ZD9hgvEp70QJGnjPYkLovmo2szJ/view?usp=sharing</t>
  </si>
  <si>
    <t>ESP-ADID-012</t>
  </si>
  <si>
    <t>https://drive.google.com/file/d/13xTQ5YemWkb-N5ktbxULjIRVqqCclZEZ/view?usp=sharing</t>
  </si>
  <si>
    <t>852-29</t>
  </si>
  <si>
    <t>ESP-ADID-013</t>
  </si>
  <si>
    <t>https://drive.google.com/file/d/1FnlNm8vPyZICVgVetVoSkzv8pMiq_zCh/view?usp=sharing</t>
  </si>
  <si>
    <t>ESP-ADID-014</t>
  </si>
  <si>
    <t>https://drive.google.com/file/d/18e858zKmsQBCjuxnS8ZE58-He-hzDmky/view?usp=sharing</t>
  </si>
  <si>
    <t>4984854 34 CAV</t>
  </si>
  <si>
    <t>4984854-34 CAV</t>
  </si>
  <si>
    <t>ESP-ADID-015</t>
  </si>
  <si>
    <t>https://drive.google.com/file/d/1ze5U-7cMG1RhzGsdom4xapC4912p_NKT/view?usp=sharing</t>
  </si>
  <si>
    <t>ESP-ADID-016</t>
  </si>
  <si>
    <t>https://drive.google.com/file/d/1L8X86gUSIRrBQ72fl0aP0f-zrz_daUor/view?usp=sharing</t>
  </si>
  <si>
    <t xml:space="preserve">REJILLA </t>
  </si>
  <si>
    <t>ESP-ADID-017</t>
  </si>
  <si>
    <t>https://drive.google.com/file/d/1vmhKphm_7QeVjcSQOEJXe-Ke3BjbzVam/view?usp=sharing</t>
  </si>
  <si>
    <t>ESP-ADID-018</t>
  </si>
  <si>
    <t>https://drive.google.com/file/d/1AUv0QR_BNXmbNwiLSkl2LrEtZJgsNZgu/view?usp=sharing</t>
  </si>
  <si>
    <t>4985215 40 CAV</t>
  </si>
  <si>
    <t>4985215 - 40 CAV</t>
  </si>
  <si>
    <t>ESP-ADID-019</t>
  </si>
  <si>
    <t>https://drive.google.com/file/d/1zb3pTzZyb4NaLk_P6j7zDFps9_2FfCTl/view?usp=sharing</t>
  </si>
  <si>
    <t>4985215-40CAV</t>
  </si>
  <si>
    <t>ESP-ADID-020</t>
  </si>
  <si>
    <t>https://drive.google.com/file/d/1GnQgK2B_xkMuWAd_864l_AumC-3IgiPu/view?usp=sharing</t>
  </si>
  <si>
    <t>KIT 28" X 63"</t>
  </si>
  <si>
    <t>ESP-ADID-021</t>
  </si>
  <si>
    <t>https://drive.google.com/file/d/1qe43tNlg0LBlCLhkxmhZsX76L1g-KngE/view?usp=sharing</t>
  </si>
  <si>
    <t>ESP-ADID-022</t>
  </si>
  <si>
    <t>ESP-ADID-023</t>
  </si>
  <si>
    <t>ESP-ADID-024</t>
  </si>
  <si>
    <t>ESP-ADID-026</t>
  </si>
  <si>
    <t>https://drive.google.com/file/d/1ITXZZt33EgbwpgIofruIC_LuswkPPv50/view?usp=sharing</t>
  </si>
  <si>
    <t>ESP-ADID-027</t>
  </si>
  <si>
    <t>https://drive.google.com/file/d/136e2rDL6C5uRug344pNhnnOozqSEdhqc/view?usp=sharing</t>
  </si>
  <si>
    <t xml:space="preserve">TOTE GRANDE </t>
  </si>
  <si>
    <t xml:space="preserve">CAJA CON FONDO </t>
  </si>
  <si>
    <t>ESP-ADID-029</t>
  </si>
  <si>
    <t>https://drive.google.com/file/d/1MbLyHvIO2uBPoXjTzPlBZsvRU1Dw2pd1/view?usp=sharing</t>
  </si>
  <si>
    <t>TOTE CHICO</t>
  </si>
  <si>
    <t>ESP-ADID-030</t>
  </si>
  <si>
    <t>https://drive.google.com/file/d/1qMKYqiUkKjac3L1bsGudLw2UI13cvF1n/view?usp=sharing</t>
  </si>
  <si>
    <t xml:space="preserve">SINGLE LID TOTE </t>
  </si>
  <si>
    <t>CAJA TELESCOPICA</t>
  </si>
  <si>
    <t>SINGLE LID TOTE</t>
  </si>
  <si>
    <t>ESP-ADID-031</t>
  </si>
  <si>
    <t>https://drive.google.com/file/d/1t0OpVpigiAe0fvaZ6vw_Z-SjiUNa-F6o/view?usp=sharing</t>
  </si>
  <si>
    <t>ADIENT Ediasa</t>
  </si>
  <si>
    <t>MANTA</t>
  </si>
  <si>
    <t xml:space="preserve">MANGA CON ALETONES </t>
  </si>
  <si>
    <t>ESP-ADE-001</t>
  </si>
  <si>
    <t>https://drive.google.com/file/d/15cLpx5zaDhKmMGKwZofD_D4fNyOgjYnJ/view?usp=sharing</t>
  </si>
  <si>
    <t xml:space="preserve">MANTA </t>
  </si>
  <si>
    <t>ESP-ADE-002</t>
  </si>
  <si>
    <t>https://drive.google.com/file/d/1-1Y9tvNOSrVMLQz9DNvg267EYW9ENrdu/view?usp=sharing</t>
  </si>
  <si>
    <t>ESP-ADE-003</t>
  </si>
  <si>
    <t>https://drive.google.com/file/d/1Dgggu6TdDShfcZjJYRolsCmvOez1-3fA/view?usp=sharing</t>
  </si>
  <si>
    <t>ADIENT Matamoros</t>
  </si>
  <si>
    <t>MANGA DM</t>
  </si>
  <si>
    <t>ESP-ADMT-001</t>
  </si>
  <si>
    <t>https://drive.google.com/file/d/18VQP9loMi2cnH1JFGuJMjmHYkxJhunYw/view?usp=sharing</t>
  </si>
  <si>
    <t>ADIENT Metales</t>
  </si>
  <si>
    <t xml:space="preserve">MANGA CON FONDO </t>
  </si>
  <si>
    <t>ESP-ADIM-001</t>
  </si>
  <si>
    <t>https://drive.google.com/file/d/1qhHTK5ksgTq3T_b_BMu9FzPJWLsR0UrP/view?usp=sharing</t>
  </si>
  <si>
    <t>BRASIL</t>
  </si>
  <si>
    <t>ESP-ADIM-002</t>
  </si>
  <si>
    <t>https://drive.google.com/file/d/1WoXcWQLPnvS-ETSkz7jhT7dVSgVyo9Bz/view?usp=sharing</t>
  </si>
  <si>
    <t>ESP-ADIM-003</t>
  </si>
  <si>
    <t>ESP-ADIM-004</t>
  </si>
  <si>
    <t>https://drive.google.com/file/d/1r6DzDJ4DQ0q1Mq-nDg9alKw6zibKu1P2/view?usp=sharing</t>
  </si>
  <si>
    <t>ESP-ADIM-005</t>
  </si>
  <si>
    <t>https://drive.google.com/file/d/1Gq2O0PUzA1edmjU6kkXTEvkqpAHm0cql/view?usp=sharing</t>
  </si>
  <si>
    <t>ESP-ADIM-006</t>
  </si>
  <si>
    <t>https://drive.google.com/file/d/1n-vfqLSBDtzFdYJMQncMGmPxT1J95n-a/view?usp=sharing</t>
  </si>
  <si>
    <t>ESP-ADIM-007</t>
  </si>
  <si>
    <t>https://drive.google.com/file/d/1PeCeOrdsbunRJHZzpU176D-LUAVhmgIb/view?usp=sharing</t>
  </si>
  <si>
    <t>ESP-ADIM-008</t>
  </si>
  <si>
    <t>https://drive.google.com/file/d/1MZcDOJRRKdfa1i4dFpwAjzYVwwmETIQh/view?usp=sharing</t>
  </si>
  <si>
    <t>ESP-ADIM-009</t>
  </si>
  <si>
    <t>https://drive.google.com/file/d/16meEw0uYiyphmRrdgs1feMpr8MQBJEzl/view?usp=sharing</t>
  </si>
  <si>
    <t>ESP-ADIM-010</t>
  </si>
  <si>
    <t>ESP-ADIM-011</t>
  </si>
  <si>
    <t>https://drive.google.com/file/d/1We-x6wRJo9BZzO1MPJMojHoRSDsRps0S/view?usp=sharing</t>
  </si>
  <si>
    <t>REJILLA 8 CAVIDADES</t>
  </si>
  <si>
    <t>X-247</t>
  </si>
  <si>
    <t>ESP-ADIM-012</t>
  </si>
  <si>
    <t>https://drive.google.com/file/d/1xIONVZjFbm6vHDQRV9W8KkYh1ymXE4gM/view?usp=sharing</t>
  </si>
  <si>
    <t>ESP-ADIM-013</t>
  </si>
  <si>
    <t>https://drive.google.com/file/d/1YZDDwTv-ReDloxy4E9RVZJQLakZ5ULwq/view?usp=sharing</t>
  </si>
  <si>
    <t>FSC ASIENTO</t>
  </si>
  <si>
    <t>ESP-ADIM-014</t>
  </si>
  <si>
    <t>https://drive.google.com/file/d/1vjvezMGuumtCr3p5JOczuCeHELHu-Z-r/view?usp=sharing</t>
  </si>
  <si>
    <t>FSC RESPALDO</t>
  </si>
  <si>
    <t>ESP-ADIM-015</t>
  </si>
  <si>
    <t>https://drive.google.com/file/d/12t9_Zelg0A2VN9C3kY2Oibp-crMfL8ZR/view?usp=sharing</t>
  </si>
  <si>
    <t>ESP-ADIM-016</t>
  </si>
  <si>
    <t>https://drive.google.com/file/d/102Fc2jCePMgWKWGIgPwaKuhDYpnRX7yT/view?usp=sharing</t>
  </si>
  <si>
    <t>ESP-ADIM-017</t>
  </si>
  <si>
    <t>https://drive.google.com/file/d/1kpCzm79PnC2fDZo2ayaqtgm4Zybpvcan/view?usp=sharing</t>
  </si>
  <si>
    <t>ESP-ADIM-018</t>
  </si>
  <si>
    <t>https://drive.google.com/file/d/1r45wYHtI-r4fPIbaBHUqMMdf4mcjRlH_/view?usp=sharing</t>
  </si>
  <si>
    <t>ESP-ADIM-019</t>
  </si>
  <si>
    <t>https://drive.google.com/file/d/1zxJQTgG2_L_1uFTTzqA_qb2jQIBTHhu8/view?usp=sharing</t>
  </si>
  <si>
    <t>ESP-ADIM-020</t>
  </si>
  <si>
    <t>https://drive.google.com/file/d/11bytgN8-K_ewpgkaJNFwTOKl7UTJjGy1/view?usp=sharing</t>
  </si>
  <si>
    <t>CUSHION 40%</t>
  </si>
  <si>
    <t>ESP-ADIM-021</t>
  </si>
  <si>
    <t>https://drive.google.com/file/d/1vC18SbHqMSVWkibbicgSGAoLRCEj0ds7/view?usp=sharing</t>
  </si>
  <si>
    <t>ESP-ADIM-022</t>
  </si>
  <si>
    <t>https://drive.google.com/file/d/1cIGP6aWbT03fYfM0TwVKyl--Ax3qobiq/view?usp=sharing</t>
  </si>
  <si>
    <t>ESP-ADIM-023</t>
  </si>
  <si>
    <t>https://drive.google.com/file/d/1Z7szJYLpUSKpLWfMyhAra4f5R97RNALr/view?usp=sharing</t>
  </si>
  <si>
    <t>ESP-ADIM-024</t>
  </si>
  <si>
    <t>https://drive.google.com/file/d/1rc0XmD7Es7i59Eder5-adkcQdnjuwtNk/view?usp=sharing</t>
  </si>
  <si>
    <t>ESP-ADIM-025</t>
  </si>
  <si>
    <t>https://drive.google.com/file/d/18LsNQkS1mDovwmow1iN2RHhrfTZPCI4b/view?usp=sharing</t>
  </si>
  <si>
    <t>MAGA NORMAL</t>
  </si>
  <si>
    <t>ESP-ADIM-026</t>
  </si>
  <si>
    <t>https://drive.google.com/file/d/1lxiJpCuEEcHulliDTVi7VWb1R2LfOxgw/view?usp=sharing</t>
  </si>
  <si>
    <t>ESP-ADIM-027</t>
  </si>
  <si>
    <t>https://drive.google.com/file/d/183oW_F9JJT-3r9sy0gAtyswjj05Y8gNQ/view?usp=sharing</t>
  </si>
  <si>
    <t>ESP-ADIM-028</t>
  </si>
  <si>
    <t>https://drive.google.com/file/d/1g6F7o5TGXdo4fA_AfzrLb_C4ZvT1ma_w/view?usp=sharing</t>
  </si>
  <si>
    <t>ESP-ADIM-029</t>
  </si>
  <si>
    <t>https://drive.google.com/file/d/1w9PTpxEJ2OGEQEh4daGcYJWW2Kf17Pz-/view?usp=sharing</t>
  </si>
  <si>
    <t>ESP-ADIM-030</t>
  </si>
  <si>
    <t>https://drive.google.com/file/d/1xT5iP_TXZOA8m5F1XbE1xdIvePEXngx-/view?usp=sharing</t>
  </si>
  <si>
    <t>ESP-ADIM-031</t>
  </si>
  <si>
    <t>https://drive.google.com/file/d/1K7Ied_Oe5AfDVH0_xgdVD2CoG-A61DLj/view?usp=sharing</t>
  </si>
  <si>
    <t>ESP-ADIM-032</t>
  </si>
  <si>
    <t>https://drive.google.com/file/d/1SsBhhPEjW5SdoBQ3sQGLptqi9sKSuT8W/view?usp=sharing</t>
  </si>
  <si>
    <t>ESP-ADIM-033</t>
  </si>
  <si>
    <t>https://drive.google.com/file/d/1efonEY1g5Zi0Lvj3xjW_9MZfZy6TafaH/view?usp=sharing</t>
  </si>
  <si>
    <t>ESP-ADIM-034</t>
  </si>
  <si>
    <t>https://drive.google.com/file/d/1ovI_V3O5IG65Qrdgt36l_pPUq4PzOrzQ/view?usp=sharing</t>
  </si>
  <si>
    <t>ESP-ADIM-035</t>
  </si>
  <si>
    <t>https://drive.google.com/file/d/1YunVEkiLcSfho95EsdiqeiqftIf2J2JM/view?usp=sharing</t>
  </si>
  <si>
    <t>ESP-ADIM-036</t>
  </si>
  <si>
    <t>https://drive.google.com/file/d/1ET3M0uYDvky06-kA3NdotMIedsmpLEIB/view?usp=sharing</t>
  </si>
  <si>
    <t>AVANZAR</t>
  </si>
  <si>
    <t>ESP-ADIM-037</t>
  </si>
  <si>
    <t>https://drive.google.com/file/d/1Bv9d-CG2qHBJjG3kjjWG6K9foamlddvT/view?usp=sharing</t>
  </si>
  <si>
    <t>INSERTO</t>
  </si>
  <si>
    <t>ESP-ADIM-038</t>
  </si>
  <si>
    <t>https://drive.google.com/file/d/1DxWeU8P55i8_HiO24_lq5MWD9DKKL7-0/view?usp=sharing</t>
  </si>
  <si>
    <t>DIV1</t>
  </si>
  <si>
    <t>ESP-ADIM-039</t>
  </si>
  <si>
    <t>https://drive.google.com/file/d/1NOI2uszmNgCd7toc6Yx73kWvPOEN5lvQ/view?usp=sharing</t>
  </si>
  <si>
    <t>DIV2</t>
  </si>
  <si>
    <t>ESP-ADIM-040</t>
  </si>
  <si>
    <t>https://drive.google.com/file/d/1nBlpBkLbbTVVoghpU5Qsbf8B6MK3bcYh/view?usp=sharing</t>
  </si>
  <si>
    <t>ESP-ADIM-041</t>
  </si>
  <si>
    <t>https://drive.google.com/file/d/1eFrUj-6X9lOYwXigFbGeA4btxlaTBOcc/view?usp=sharing</t>
  </si>
  <si>
    <t>ESP-ADIM-042</t>
  </si>
  <si>
    <t>https://drive.google.com/file/d/1TiDv7PVXKTFwtRxDYpxLyiMu_GypBdOr/view?usp=sharing</t>
  </si>
  <si>
    <t>REJILLA 10 CAV</t>
  </si>
  <si>
    <t>ESP-ADIM-043</t>
  </si>
  <si>
    <t>https://drive.google.com/file/d/1tvm6mn-XaGyHx5uG5g7K6eupa8qqFfoN/view?usp=sharing</t>
  </si>
  <si>
    <t>ESP-ADIM-044</t>
  </si>
  <si>
    <t>https://drive.google.com/file/d/1eGjm3OBGmlxWjtj1fJ9ynowf9VvL_Gz3/view?usp=sharing</t>
  </si>
  <si>
    <t>REJILLA 12 CAVIDADES</t>
  </si>
  <si>
    <t>ESP-ADIM-045</t>
  </si>
  <si>
    <t>https://drive.google.com/file/d/1zKamkG7i7Nk-pDfoqUbRs7gdg-EDYofP/view?usp=sharing</t>
  </si>
  <si>
    <t>ESP-ADIM-046</t>
  </si>
  <si>
    <t>https://drive.google.com/file/d/1YrlfPdba7ofYMP3tSZn-oHX01x4qT6r8/view?usp=sharing</t>
  </si>
  <si>
    <t>AVANZAR KIT</t>
  </si>
  <si>
    <t>ESP-ADIM-047</t>
  </si>
  <si>
    <t>https://drive.google.com/file/d/15wrfCpQn3h5BrNBFcpXE1xr0--ruRQuU/view?usp=sharing</t>
  </si>
  <si>
    <t>SEPARADOR COROPLAST 10 mm</t>
  </si>
  <si>
    <t>ESP-ADIM-048</t>
  </si>
  <si>
    <t>https://drive.google.com/file/d/1PLZScQ4t8UOExyjrcxTVCvmjHA_WtV6F/view?usp=sharing</t>
  </si>
  <si>
    <t>ESP-ADIM-049</t>
  </si>
  <si>
    <t>https://drive.google.com/file/d/1C21PW5g6i_XuEHyW_CXxbnpmXlLb2gpl/view?usp=sharing</t>
  </si>
  <si>
    <t>DS REJILLA 48 CAV</t>
  </si>
  <si>
    <t>ESP-ADIM-058</t>
  </si>
  <si>
    <t>https://drive.google.com/file/d/1XdGC-5cgQvm16sfcbe0loh1Fv0blhpC5/view?usp=sharing</t>
  </si>
  <si>
    <t>ESP-ADIM-059</t>
  </si>
  <si>
    <t>https://drive.google.com/file/d/1UvjJe0qN69bJ1M-Cx3JC8GihGWF66Pwo/view?usp=sharing</t>
  </si>
  <si>
    <t>ADIENT Technotrim</t>
  </si>
  <si>
    <t>Z-CHICA</t>
  </si>
  <si>
    <t>ESP-TT-001</t>
  </si>
  <si>
    <t>https://drive.google.com/file/d/1_MSE3AI68t300-Z5NcwKn8C7FU21V_J5/view?usp=sharing</t>
  </si>
  <si>
    <t>AC-1</t>
  </si>
  <si>
    <t>ESP-TT-002</t>
  </si>
  <si>
    <t>https://drive.google.com/file/d/1jXGmt6p4DFRNKoKK14sPuxuJq4zN4m4J/view?usp=sharing</t>
  </si>
  <si>
    <t>AC-2</t>
  </si>
  <si>
    <t>ESP-TT-003</t>
  </si>
  <si>
    <t>https://drive.google.com/file/d/1WKiK1IZrZRykW0sEmiZttdgL0PMxQuOd/view?usp=sharing</t>
  </si>
  <si>
    <t>EN-17 RAN</t>
  </si>
  <si>
    <t>ESP-TT-004</t>
  </si>
  <si>
    <t>https://drive.google.com/file/d/1edXh58yrhADdKHvMjHjvLd5XHgfCgfX0/view?usp=sharing</t>
  </si>
  <si>
    <t>EN-2</t>
  </si>
  <si>
    <t>ESP-TT-005</t>
  </si>
  <si>
    <t>https://drive.google.com/file/d/1IpWHhayXGnA8Lyxn-8XVf3eHVZwr20-q/view?usp=sharing</t>
  </si>
  <si>
    <t>AC-4</t>
  </si>
  <si>
    <t>ESP-TT-006</t>
  </si>
  <si>
    <t>https://drive.google.com/file/d/18fM4xI7pHvZBi_TEWqwNO0WF3OSolRqO/view?usp=sharing</t>
  </si>
  <si>
    <t>ACC520 CABECERA</t>
  </si>
  <si>
    <t>ESP-TT-007</t>
  </si>
  <si>
    <t>https://drive.google.com/file/d/1dlVIBqOZCawRsDvKnkKcG-nu3hz2yr3b/view?usp=sharing</t>
  </si>
  <si>
    <t>ESP-TT-008</t>
  </si>
  <si>
    <t>https://drive.google.com/file/d/1LYfO4uxAFtL1TOLzTlyIVS9r3jL2_rni/view?usp=sharing</t>
  </si>
  <si>
    <t>INSERTO TROQ</t>
  </si>
  <si>
    <t>ESP-TT-009</t>
  </si>
  <si>
    <t>TESLA 100</t>
  </si>
  <si>
    <t>ESP-TT-010</t>
  </si>
  <si>
    <t>https://drive.google.com/file/d/1jfesvYUc3AxCyzAcQAHFtc9FCRz2L1f5/view?usp=sharing</t>
  </si>
  <si>
    <t>ESP-TT-011</t>
  </si>
  <si>
    <t>https://drive.google.com/file/d/1bSWtOzjqzRYf9RXdfdZoDKNbYg5Qxn6s/view?usp=sharing</t>
  </si>
  <si>
    <t>ESP-TT-012</t>
  </si>
  <si>
    <t>https://drive.google.com/file/d/1FQy-4XVDVE0YXeD-vcGodwv99288feX_/view?usp=sharing</t>
  </si>
  <si>
    <t>RT-SOLDADURA</t>
  </si>
  <si>
    <t>ESP-TT-013</t>
  </si>
  <si>
    <t>https://drive.google.com/file/d/1fwH64zUIMAQO4OrwQHIvf10-9KtLgTYM/view?usp=sharing</t>
  </si>
  <si>
    <t>AC-3 MOD</t>
  </si>
  <si>
    <t>AC-3 MODIFICADO</t>
  </si>
  <si>
    <t>ESP-TT-014</t>
  </si>
  <si>
    <t>https://drive.google.com/file/d/1hK_K0AIK95RIHFlFvDvRYPYHP8-yia-l/view?usp=sharing</t>
  </si>
  <si>
    <t>3RT</t>
  </si>
  <si>
    <t>ESP-TT-015</t>
  </si>
  <si>
    <t>https://drive.google.com/file/d/1VTGgAoO59eW8HA-1qbU08EZQFzTXYnIg/view?usp=sharing</t>
  </si>
  <si>
    <t>ESP-TT-016</t>
  </si>
  <si>
    <t>https://drive.google.com/file/d/1xSu7Fjxnx8WFI0EbZa0FHnlY4CW-YsQj/view?usp=sharing</t>
  </si>
  <si>
    <t>2RT</t>
  </si>
  <si>
    <t>ESP-TT-017</t>
  </si>
  <si>
    <t>https://drive.google.com/file/d/13Q3LcN1K35CCQgF0EpVqj2-Mg17hz9cd/view?usp=sharing</t>
  </si>
  <si>
    <t>ESP-TT-018</t>
  </si>
  <si>
    <t>https://drive.google.com/file/d/1Vj1nWGYF_tV0Ik1Ibt80GOGRxZejr2lM/view?usp=sharing</t>
  </si>
  <si>
    <t>WK-WK2-CENTRAL</t>
  </si>
  <si>
    <t>ESP-TT-019</t>
  </si>
  <si>
    <t>https://drive.google.com/file/d/13KkRQOPph-c3igQHwj7633egttLmLlyq/view?usp=sharing</t>
  </si>
  <si>
    <t>ESP-TT-020</t>
  </si>
  <si>
    <t>https://drive.google.com/file/d/1uPrYWOaV2639vWbpah7HF-0Q53Sjmhoy/view?usp=sharing</t>
  </si>
  <si>
    <t>170266A</t>
  </si>
  <si>
    <t>ESP-TT-021</t>
  </si>
  <si>
    <t>WD/WK CODERA</t>
  </si>
  <si>
    <t>ESP-TT-022</t>
  </si>
  <si>
    <t>https://drive.google.com/file/d/12M64-wUXSTiPXJsVgx59yMiykdE68B7a/view?usp=sharing</t>
  </si>
  <si>
    <t>170267-170268</t>
  </si>
  <si>
    <t>ESP-TT-023</t>
  </si>
  <si>
    <t>https://drive.google.com/file/d/1-dXebrwKNX0xNI2JjDy4BJlTwyEzcrjQ/view?usp=sharing</t>
  </si>
  <si>
    <t>170267-170266</t>
  </si>
  <si>
    <t>ESP-TT-024</t>
  </si>
  <si>
    <t>https://drive.google.com/file/d/1mFWxuhRruVOEzzT7mRuNBBMghsDnY9pq/view?usp=sharing</t>
  </si>
  <si>
    <t>TESLA</t>
  </si>
  <si>
    <t>ESP-TT-025</t>
  </si>
  <si>
    <t>https://drive.google.com/file/d/16oDF_jOhsMMv5FOt9TBnR6j9TYwxFyKB/view?usp=sharing</t>
  </si>
  <si>
    <t>C1UG</t>
  </si>
  <si>
    <t>ESP-TT-026</t>
  </si>
  <si>
    <t>https://drive.google.com/file/d/17zm0XRYlVfcyGOtXjC9eNrQdm6kHzn1a/view?usp=sharing</t>
  </si>
  <si>
    <t xml:space="preserve">Z-GRANDE </t>
  </si>
  <si>
    <t>ESP-TT-027</t>
  </si>
  <si>
    <t>https://drive.google.com/file/d/1vP_VVcbOFW4LNIZIbXltzImNH_ubLlHz/view?usp=sharing</t>
  </si>
  <si>
    <t>D2JC1-BEV2</t>
  </si>
  <si>
    <t>ESP-TT-028</t>
  </si>
  <si>
    <t>https://drive.google.com/file/d/1eBKOKV6dGPmj6qVQFortWqlxwCScd-YD/view?usp=sharing</t>
  </si>
  <si>
    <t>HR C520</t>
  </si>
  <si>
    <t>ESP-TT-029</t>
  </si>
  <si>
    <t>https://drive.google.com/file/d/1iVrHTNyImMkGKwxap5hVPFrk1Ulg237Y/view?usp=sharing</t>
  </si>
  <si>
    <t>COFFIN</t>
  </si>
  <si>
    <t>ESP-TT-030</t>
  </si>
  <si>
    <t>C1UJG-C1UX</t>
  </si>
  <si>
    <t>ESP-TT-031</t>
  </si>
  <si>
    <t>https://drive.google.com/file/d/1DFYeaOsHWgk-NZ13IDVECgDXZCPOeCPX/view?usp=sharing</t>
  </si>
  <si>
    <t>MASTER</t>
  </si>
  <si>
    <t>TAPA CON FONDO</t>
  </si>
  <si>
    <t>ESP-TT-032</t>
  </si>
  <si>
    <t>https://drive.google.com/file/d/1daRpxRG0uP6lMSsGB_RBQWVseifDdd1G/view?usp=sharing</t>
  </si>
  <si>
    <t>AVALON</t>
  </si>
  <si>
    <t>ESP-TT-033</t>
  </si>
  <si>
    <t>https://drive.google.com/file/d/1S4Wu6DPD8MlrEW8RhHpUdhvgdHfRDuJv/view?usp=sharing</t>
  </si>
  <si>
    <t>ESP-TT-034</t>
  </si>
  <si>
    <t>https://drive.google.com/file/d/13rMOZKjyvYB7W6QtLjjZvJLACVn531-8/view?usp=sharing</t>
  </si>
  <si>
    <t>TAPA TELESCÓPICA</t>
  </si>
  <si>
    <t>ESP-TT-035</t>
  </si>
  <si>
    <t>https://drive.google.com/file/d/1WGky6s4fTAvA5V82wl0PAzOIPmMJkSbt/view?usp=sharing</t>
  </si>
  <si>
    <t>LAM-2</t>
  </si>
  <si>
    <t>ESP-TT-036</t>
  </si>
  <si>
    <t>https://drive.google.com/file/d/1Zr7LOIwAFiuz1CfsPDD2Xt2fPoRtTMG-/view?usp=sharing</t>
  </si>
  <si>
    <t>MOPAR</t>
  </si>
  <si>
    <t>DIV3</t>
  </si>
  <si>
    <t>COFFIN COROPLAST</t>
  </si>
  <si>
    <t>ESP-TT-041</t>
  </si>
  <si>
    <t>https://drive.google.com/file/d/1Pd-sn_whYvhMhgbewCMHCPMD4ZeHIUvb/view?usp=sharing</t>
  </si>
  <si>
    <t>ESP-TT-042</t>
  </si>
  <si>
    <t>https://drive.google.com/file/d/1WKE0UMGxx_sgkpKu2bEbtF1nw7fe4KYG/view?usp=sharing</t>
  </si>
  <si>
    <t>CODERA 111</t>
  </si>
  <si>
    <t>CODERA PILOT</t>
  </si>
  <si>
    <t>ESP-TT-044</t>
  </si>
  <si>
    <t>https://drive.google.com/file/d/1KtDlaR3yTEQLcqV7qmHYpTNufw9xe0GM/view?usp=sharing</t>
  </si>
  <si>
    <t>AR-2</t>
  </si>
  <si>
    <t>KIT CODERA PILOT</t>
  </si>
  <si>
    <t>https://drive.google.com/file/d/1hNQsUkYZVNOIq3fpXL6dK59kM5GqSPjF/view?usp=sharing</t>
  </si>
  <si>
    <t>CODERA 104</t>
  </si>
  <si>
    <t>ESP-TT-045</t>
  </si>
  <si>
    <t>https://drive.google.com/file/d/1THAr6I381zktn5k66CMZOZ9gGeexYCmB/view?usp=sharing</t>
  </si>
  <si>
    <t>AR-6</t>
  </si>
  <si>
    <t>https://drive.google.com/file/d/1y82eF-XhgLQzAsIShPlRSSqMg26InVut/view?usp=sharing</t>
  </si>
  <si>
    <t>R1</t>
  </si>
  <si>
    <t>ESP-TT-046</t>
  </si>
  <si>
    <t>https://drive.google.com/file/d/1WNJa8RuEa2JGm-LMZBaknrMAya4CAG_u/view?usp=sharing</t>
  </si>
  <si>
    <t>R2</t>
  </si>
  <si>
    <t>ESP-TT-047</t>
  </si>
  <si>
    <t>https://drive.google.com/file/d/1EMhaFUJeZsTt0ysE_4x1gc0Wp0zR4alq/view?usp=sharing</t>
  </si>
  <si>
    <t>AC2-SIN R</t>
  </si>
  <si>
    <t>ESP-TT-048</t>
  </si>
  <si>
    <t>https://drive.google.com/file/d/178koo1-5z4ZDtZwOjfnN5qapC7QO6Qa3/view?usp=sharing</t>
  </si>
  <si>
    <t>61BE-64</t>
  </si>
  <si>
    <t>ESP-TT-049</t>
  </si>
  <si>
    <t>https://drive.google.com/file/d/1gCa2XBSdFGsLyTVj4LmeoqZXx2EnoT1v/view?usp=sharing</t>
  </si>
  <si>
    <t>POLARIS EXPANDIBLE</t>
  </si>
  <si>
    <t>POLARIS EXTENDIBLE</t>
  </si>
  <si>
    <t>ESP-TT-050</t>
  </si>
  <si>
    <t>https://drive.google.com/file/d/1zUx3y9v7bE8QHUFZ89KzOq2DWY9hUoT3/view?usp=sharing</t>
  </si>
  <si>
    <t>REGILLA 4 CAVIDADES</t>
  </si>
  <si>
    <t>ESP-TT-051</t>
  </si>
  <si>
    <t>https://drive.google.com/file/d/18z3nBas-vk2w6NBn1ryK6GCWL-eoVLMj/view?usp=sharing</t>
  </si>
  <si>
    <t>REJILLA 4 CAVIDADES</t>
  </si>
  <si>
    <t>ESP-TT-052</t>
  </si>
  <si>
    <t>https://drive.google.com/file/d/1dcYqyr8SvQOydA-rcxv3U6GnprnPmkx_/view?usp=sharing</t>
  </si>
  <si>
    <t>ESP-TT-053</t>
  </si>
  <si>
    <t>https://drive.google.com/file/d/1orSPz4ffTyNVmFb9Yyt6wuywRwtlbqac/view?usp=sharing</t>
  </si>
  <si>
    <t>TACÓN PEGADO</t>
  </si>
  <si>
    <t>ESP-TT-054</t>
  </si>
  <si>
    <t>https://drive.google.com/file/d/11uMa5Dq_3lt30sJ5KM0EDiM21ITycvxs/view?usp=sharing</t>
  </si>
  <si>
    <t>ESP-TT-055</t>
  </si>
  <si>
    <t>44 X 59 TESLA</t>
  </si>
  <si>
    <t>ESP-TT-056</t>
  </si>
  <si>
    <t>https://drive.google.com/file/d/1hojN17Qa8TIWldLB3Jj1DcAGiH4Mtk_D/view?usp=sharing</t>
  </si>
  <si>
    <t xml:space="preserve">55.5 X 59 TESLA </t>
  </si>
  <si>
    <t>SEP PAPEL TESLA</t>
  </si>
  <si>
    <t>ESP-TT-057</t>
  </si>
  <si>
    <t>https://drive.google.com/file/d/1C_UidM1FJ4fQQUTMS7AzfHLpIJ3PZNmo/view?usp=sharing</t>
  </si>
  <si>
    <t>26 X 56 TESLA</t>
  </si>
  <si>
    <t xml:space="preserve">TESLA </t>
  </si>
  <si>
    <t>ESP-TT-058</t>
  </si>
  <si>
    <t>https://drive.google.com/file/d/1VoXqz828OJyr7vpu9-pScF0Lqfhh8FdU/view?usp=sharing</t>
  </si>
  <si>
    <t>26 X 59 CM TESLA</t>
  </si>
  <si>
    <t>ESP-TT-059</t>
  </si>
  <si>
    <t>https://drive.google.com/file/d/14BpQL2ZyAp_vZvoE9yiqkbiMrFaeLcwc/view?usp=sharing</t>
  </si>
  <si>
    <t>C1UG 53 X 58</t>
  </si>
  <si>
    <t>ESP-TT-060</t>
  </si>
  <si>
    <t>https://drive.google.com/file/d/16OxHkeLlUUqlSm_Av4P74jqmuxQeeUvx/view?usp=sharing</t>
  </si>
  <si>
    <t>ESP-TT-061</t>
  </si>
  <si>
    <t>https://drive.google.com/file/d/1tm7DBiLzq2DSLW2eXEisqIcIMHezeHLC/view?usp=sharing</t>
  </si>
  <si>
    <t>CUSHION 60%</t>
  </si>
  <si>
    <t>POLARIS</t>
  </si>
  <si>
    <t>ESP-TT-062</t>
  </si>
  <si>
    <t>https://drive.google.com/file/d/1u-1rDmXevLNFAeq-Z2ta5o8Y4_mXvzs_/view?usp=sharing</t>
  </si>
  <si>
    <t>ESP-TT-063</t>
  </si>
  <si>
    <t>https://drive.google.com/file/d/1701g5lleLeZ0-na8ztuWTBtR_eWQQkdA/view?usp=sharing</t>
  </si>
  <si>
    <t>TOOTSIE ROLL</t>
  </si>
  <si>
    <t>ESP-TT-064</t>
  </si>
  <si>
    <t>https://drive.google.com/file/d/1S5zHXCRRm1fLXDwbioWFpxMvRkl6diJL/view?usp=sharing</t>
  </si>
  <si>
    <t xml:space="preserve">TOOTSIE ROLL V </t>
  </si>
  <si>
    <t>ESP-TT-065</t>
  </si>
  <si>
    <t>https://drive.google.com/file/d/1ZbM7l-Qjf63Z9PyWaHlenN4RLkIdISzz/view?usp=sharing</t>
  </si>
  <si>
    <t>TOOTSIE ROLL H</t>
  </si>
  <si>
    <t>ESP-TT-066</t>
  </si>
  <si>
    <t>https://drive.google.com/file/d/1DBksbomxxoNUmbmyRm-5aEebX2PvJckZ/view?usp=sharing</t>
  </si>
  <si>
    <t>FULL BLACK</t>
  </si>
  <si>
    <t>ESP-TT-067</t>
  </si>
  <si>
    <t>https://drive.google.com/file/d/1i6XkxJct9WvY0JaK2VzEnAONQIcIo8ac/view?usp=sharing</t>
  </si>
  <si>
    <t>25 X 22 X 9.5 3D</t>
  </si>
  <si>
    <t>3D</t>
  </si>
  <si>
    <t>ESP-TT-068</t>
  </si>
  <si>
    <t>https://drive.google.com/file/d/1rdZhdwVHwlCOq-zjjSYCPknc2l8YfMlJ/view?usp=sharing</t>
  </si>
  <si>
    <t>54 X 51.5</t>
  </si>
  <si>
    <t>ESP-TT-078</t>
  </si>
  <si>
    <t>https://drive.google.com/file/d/1wsMakYhxf2CqeU0Nx8obVwCNZnimn12p/view?usp=sharing</t>
  </si>
  <si>
    <t>Adriana Beatriz</t>
  </si>
  <si>
    <t>CAJA ARCHIVO</t>
  </si>
  <si>
    <t>CAJA TROQUELADA</t>
  </si>
  <si>
    <t>AGN 12</t>
  </si>
  <si>
    <t>EP-ADB-001</t>
  </si>
  <si>
    <t>https://drive.google.com/file/d/1Vuutw7sE4edEgaOFFSZWz74x1tBwi1w3/view?usp=sharing</t>
  </si>
  <si>
    <t>ALANIS</t>
  </si>
  <si>
    <t>C</t>
  </si>
  <si>
    <t>ESP-ALIN-001</t>
  </si>
  <si>
    <t>https://drive.google.com/file/d/1-DJw7UwiS1RMmUtDXHwwxT8jppgGpsA1/view?usp=sharing</t>
  </si>
  <si>
    <t>P</t>
  </si>
  <si>
    <t>ESP-ALIN-002</t>
  </si>
  <si>
    <t>https://drive.google.com/file/d/1NuuR4dTSHHz9_262MerUjlhQSt80bB4e/view?usp=sharing</t>
  </si>
  <si>
    <t>CAJA NAVIDAD</t>
  </si>
  <si>
    <t>ESP-ALIN-003</t>
  </si>
  <si>
    <t>https://drive.google.com/file/d/1KI2-n_1tgCrJplXZAUNUCBVBHO8c6aOB/view?usp=sharing</t>
  </si>
  <si>
    <t>CAJA HUMMEL</t>
  </si>
  <si>
    <t>ESP-ALIN-004</t>
  </si>
  <si>
    <t>https://drive.google.com/file/d/1v-v1h6kgfdV7-yEzMsHL0oqseoyapwc8/view?usp=sharing</t>
  </si>
  <si>
    <t>Alphabet</t>
  </si>
  <si>
    <t>STONE 1</t>
  </si>
  <si>
    <t>ESP-ALP-001</t>
  </si>
  <si>
    <t>https://drive.google.com/file/d/1SfyZI72mdtsj6SVUC5cUmwQpOh89JMOr/view?usp=sharing</t>
  </si>
  <si>
    <t xml:space="preserve">TAPA AUTO ARMABLE </t>
  </si>
  <si>
    <t>ESP-ALP-002</t>
  </si>
  <si>
    <t>https://drive.google.com/file/d/1bi2q2STHTytNn7-r51HMlYDaERfkxj1o/view?usp=sharing</t>
  </si>
  <si>
    <t>STONE 2</t>
  </si>
  <si>
    <t>ESP-ALP-003</t>
  </si>
  <si>
    <t>https://drive.google.com/file/d/1x8K5i-moMDiJkUQZV6NGQM0E6rvgUjI-/view?usp=sharing</t>
  </si>
  <si>
    <t>STONE 3</t>
  </si>
  <si>
    <t>ESP-ALP-004</t>
  </si>
  <si>
    <t>https://drive.google.com/file/d/142wlZYEj0K1tsKZ-cgZTy-EYsUHY_eIf/view?usp=sharing</t>
  </si>
  <si>
    <t>STONE 4</t>
  </si>
  <si>
    <t>ESP-ALP-005</t>
  </si>
  <si>
    <t>https://drive.google.com/file/d/1xlDwhKzDnV2UFibkYZI8ayyUUN2B1yzv/view?usp=sharing</t>
  </si>
  <si>
    <t xml:space="preserve">TAPA TROQUELADA </t>
  </si>
  <si>
    <t>ESP-ALP-006</t>
  </si>
  <si>
    <t>https://drive.google.com/file/d/1dRSFg6EruaSX_iCairtuprKR99TRNcKO/view?usp=sharing</t>
  </si>
  <si>
    <t>ESP-ALP-007</t>
  </si>
  <si>
    <t>https://drive.google.com/file/d/1xWRQNRyTVyS6OrHJZvQOA4ODi6Pz_Hez/view?usp=sharing</t>
  </si>
  <si>
    <t>ESP-ALP-008</t>
  </si>
  <si>
    <t>https://drive.google.com/file/d/1sMcRwHdb_r6e0N2PteGsOCniw9UTP7ns/view?usp=sharing</t>
  </si>
  <si>
    <t>ESP-ALP-009</t>
  </si>
  <si>
    <t>https://drive.google.com/file/d/1rlYlnVyNC6WsGcqoVX_cN-a4wlZO8Sp7/view?usp=sharing</t>
  </si>
  <si>
    <t>ESP-ALP-010</t>
  </si>
  <si>
    <t>https://drive.google.com/file/d/1B6UNQgC8wmnVCPkKVrCyI4PY-xAoiFXt/view?usp=sharing</t>
  </si>
  <si>
    <t>5582-P</t>
  </si>
  <si>
    <t>ESP-ALP-011</t>
  </si>
  <si>
    <t>https://drive.google.com/file/d/1ojyY6s-e3S2XcZOg2tYXkao6TJwVMNZm/view?usp=sharing</t>
  </si>
  <si>
    <t>STONE 5</t>
  </si>
  <si>
    <t>ESP-ALP-013</t>
  </si>
  <si>
    <t>https://drive.google.com/file/d/1ehlHzxAVzo9EfGr0mX9hl8Wzocmmrxst/view?usp=sharing</t>
  </si>
  <si>
    <t>STONE 6</t>
  </si>
  <si>
    <t>ESP-ALP-014</t>
  </si>
  <si>
    <t>https://drive.google.com/file/d/1hakWbe3NERQgeAYnfT1S9JNvUz0ZHJP-/view?usp=sharing</t>
  </si>
  <si>
    <t>AMBROSI</t>
  </si>
  <si>
    <t>88 X 58 X 48</t>
  </si>
  <si>
    <t>ESP-AMB-001</t>
  </si>
  <si>
    <t>https://drive.google.com/file/d/1StofPzWzu3wbLn1fiY27UotC1OKitI7a/view?usp=sharing</t>
  </si>
  <si>
    <t>PRIMAVERA</t>
  </si>
  <si>
    <t>90 X 50 X 40</t>
  </si>
  <si>
    <t>ESP-AMB-002</t>
  </si>
  <si>
    <t>https://drive.google.com/file/d/1YMNHf6tuE85HYr1uokELbHxlU9swGAsg/view?usp=sharing</t>
  </si>
  <si>
    <t>ESQUINERO</t>
  </si>
  <si>
    <t>ESQ 3" X 3" X40 cm</t>
  </si>
  <si>
    <t>ESP-AMB-003</t>
  </si>
  <si>
    <t>https://drive.google.com/file/d/1PkoxTtDXMyldNM8FxJto_JaGhWW3XiTo/view?usp=sharing</t>
  </si>
  <si>
    <t xml:space="preserve">VERANO </t>
  </si>
  <si>
    <t xml:space="preserve">1/2 CAJA </t>
  </si>
  <si>
    <t>90 X 50 X 50 cm</t>
  </si>
  <si>
    <t>ESP-AMB-004</t>
  </si>
  <si>
    <t>https://drive.google.com/file/d/1sUv84dN5-6AJLJhKQRaaCiqdCRXfnT9w/view?usp=sharing</t>
  </si>
  <si>
    <t>ESQ 3" X 3" X 40 cm</t>
  </si>
  <si>
    <t>ESP-AMB-005</t>
  </si>
  <si>
    <t>https://drive.google.com/file/d/1woUqwgOJqualhGkWYM0o90N4YkbEhefD/view?usp=sharing</t>
  </si>
  <si>
    <t>ANTOLIN</t>
  </si>
  <si>
    <t>55.9 X 55.9 X 20.3</t>
  </si>
  <si>
    <t>ESP-ANR-001</t>
  </si>
  <si>
    <t>https://drive.google.com/file/d/10cg4qmj3e8qsrBN4oGAr5fkQm3xIsNOV/view?usp=sharing</t>
  </si>
  <si>
    <t xml:space="preserve">24 CAVIDADES </t>
  </si>
  <si>
    <t>ESP-ANR-002</t>
  </si>
  <si>
    <t>https://drive.google.com/file/d/1LuX9n1zJAU1YssmVhvP_gvY898zt36uv/view?usp=sharing</t>
  </si>
  <si>
    <t>ESP-ANR-003</t>
  </si>
  <si>
    <t>https://drive.google.com/file/d/104__Jod3_3AJqD64oX0HLGDV21WuqaTG/view?usp=sharing</t>
  </si>
  <si>
    <t>CAJA 24 CAV</t>
  </si>
  <si>
    <t>ESP-ANR-004</t>
  </si>
  <si>
    <t>https://drive.google.com/file/d/1evR9NvOtyfT0dY1YPQyDee1CHGLGgUfv/view?usp=sharing</t>
  </si>
  <si>
    <t>APTIV</t>
  </si>
  <si>
    <t>C0027083</t>
  </si>
  <si>
    <t>M-192-00085 APTV</t>
  </si>
  <si>
    <t>ESP-APT-001</t>
  </si>
  <si>
    <t>https://drive.google.com/file/d/17L7JKjh6QwieJFZx0gFPhr6YpRAsYazb/view?usp=sharing</t>
  </si>
  <si>
    <t>C0010823</t>
  </si>
  <si>
    <t>ESP-APT-002</t>
  </si>
  <si>
    <t>https://drive.google.com/file/d/17FXiAlbeETJHWn7I0TzjI8NN5Bpa_urX/view?usp=sharing</t>
  </si>
  <si>
    <t>Auma</t>
  </si>
  <si>
    <t xml:space="preserve">IMC </t>
  </si>
  <si>
    <t>ESP-AU-001</t>
  </si>
  <si>
    <t>https://drive.google.com/file/d/1Z0-BfQ3vJzbbaB0lasBbJbrQALUvRNWX/view?usp=sharing</t>
  </si>
  <si>
    <t>SAEMP07</t>
  </si>
  <si>
    <t>ESP-AU-002</t>
  </si>
  <si>
    <t>https://drive.google.com/file/d/1pwupqLqK-Y3QoXgl8WY_ymSzUnjyRGaA/view?usp=sharing</t>
  </si>
  <si>
    <t>ESP-AU-003</t>
  </si>
  <si>
    <t>https://drive.google.com/file/d/1My9MArU--5oQQqEextJKH-3PjJHmv_u3/view?usp=sharing</t>
  </si>
  <si>
    <t>HK1</t>
  </si>
  <si>
    <t>ESP-AU-004</t>
  </si>
  <si>
    <t>https://drive.google.com/file/d/1Pbyjl6kBY7AmRamNw1wEwtlahLKp0Qet/view?usp=sharing</t>
  </si>
  <si>
    <t>ESP-AU-005</t>
  </si>
  <si>
    <t>https://drive.google.com/file/d/1n80DaH5Z2Ov7xsN2l2SrhDrYAMUc0wjr/view?usp=sharing</t>
  </si>
  <si>
    <t>GEN V6</t>
  </si>
  <si>
    <t>INSERTO TROQUELADO</t>
  </si>
  <si>
    <t>ESP-AU-006</t>
  </si>
  <si>
    <t>https://drive.google.com/file/d/1pKTOMwORc5KCRUpzUkoJH5VbZEYXimGf/view?usp=sharing</t>
  </si>
  <si>
    <t>ESP-AU-007</t>
  </si>
  <si>
    <t>https://drive.google.com/file/d/1diIEa-24mM6QxGrZ1enUE7Ax3oA7xRBr/view?usp=sharing</t>
  </si>
  <si>
    <t>CAM COVER</t>
  </si>
  <si>
    <t>ESP-AU-008</t>
  </si>
  <si>
    <t>https://drive.google.com/file/d/1aKYPSzhuGIzpvlALf5_4TVAd8TNY6cHb/view?usp=sharing</t>
  </si>
  <si>
    <t>ESP-AU-009</t>
  </si>
  <si>
    <t>https://drive.google.com/file/d/1HSTlC4NGtOOT25LhuN_i2mKyJ_CLyGyY/view?usp=sharing</t>
  </si>
  <si>
    <t>ESP-AU-010</t>
  </si>
  <si>
    <t>https://drive.google.com/file/d/1C1l_z_CDWzx5_UqrcT6kS8z-fXCcKmu_/view?usp=sharing</t>
  </si>
  <si>
    <t>ESP-AU-011</t>
  </si>
  <si>
    <t>https://drive.google.com/file/d/1Qe41aRir-HpnJ_OXTua67DwGmp2LSxsc/view?usp=sharing</t>
  </si>
  <si>
    <t>TARIMA</t>
  </si>
  <si>
    <t>ESP-AU-012</t>
  </si>
  <si>
    <t>https://drive.google.com/file/d/16EaZriC978rda3I308ZpFmKfTcnh-wCc/view?usp=share_link</t>
  </si>
  <si>
    <t>KIT</t>
  </si>
  <si>
    <t>ESP-AU-013</t>
  </si>
  <si>
    <t>https://drive.google.com/file/d/1dQ5fkbHJwEal8g_k8O3cticAsXxHWaxO/view?usp=share_link</t>
  </si>
  <si>
    <t>SAEMP001</t>
  </si>
  <si>
    <t>ESP-AU-014</t>
  </si>
  <si>
    <t>https://drive.google.com/file/d/1VVKzMOpB0Q4Yb6mglJjaSXn4o8Ynrxf0/view?usp=share_link</t>
  </si>
  <si>
    <t>XHK1</t>
  </si>
  <si>
    <t>ESP-AU-015</t>
  </si>
  <si>
    <t>https://drive.google.com/file/d/17xmgqtK3JMeMFWpjTlrsfERNfwjS7jLA/view?usp=share_link</t>
  </si>
  <si>
    <t>ESP-AU-016</t>
  </si>
  <si>
    <t>https://drive.google.com/file/d/1W8eJGEmwu_OfLoJbFZ069cr0HKjzeJaQ/view?usp=share_link</t>
  </si>
  <si>
    <t>53 X 48 X 26</t>
  </si>
  <si>
    <t>ESP-AU-017</t>
  </si>
  <si>
    <t>https://drive.google.com/file/d/1Ki_64-KF5ICpOI3oH2ercccLqGAbbg4G/view?usp=share_link</t>
  </si>
  <si>
    <t>FRONT COVER NANO</t>
  </si>
  <si>
    <t>ESP-AU-018</t>
  </si>
  <si>
    <t>https://drive.google.com/file/d/1kVdXy8-AIt63y9qAVMMSK8dNaA8ozmMK/view?usp=share_link</t>
  </si>
  <si>
    <t xml:space="preserve">FORNT COVER NANO </t>
  </si>
  <si>
    <t>ESP-AU-019</t>
  </si>
  <si>
    <t>https://drive.google.com/file/d/1TAxVFTJT_WAaXf7cxVHHFUC-3GG7vAdu/view?usp=share_link</t>
  </si>
  <si>
    <t>ESP-AU-020</t>
  </si>
  <si>
    <t>https://drive.google.com/file/d/1u7tSWgRvFBFYhzymL4k2TEiK7GAIPBZm/view?usp=share_link</t>
  </si>
  <si>
    <t>ESP-AU-021</t>
  </si>
  <si>
    <t>https://drive.google.com/file/d/16jBIr0TaWaITxPb_M1WxC6IOtRlobon9/view?usp=share_link</t>
  </si>
  <si>
    <t>ESP-AU-022</t>
  </si>
  <si>
    <t>https://drive.google.com/file/d/1YlkYnX4mMnHHSBxoF297wa-EA3jlZyPT/view?usp=share_link</t>
  </si>
  <si>
    <t>ESP-AU-023</t>
  </si>
  <si>
    <t>https://drive.google.com/file/d/1LXcAD6dPBGkkq4Pl85ajvS36zXGFuVSi/view?usp=share_link</t>
  </si>
  <si>
    <t>DIV4</t>
  </si>
  <si>
    <t>ESP-AU-024</t>
  </si>
  <si>
    <t>https://drive.google.com/file/d/1NG5TWXVgrupzHt0RRZDjcI8K9Z3_YpUe/view?usp=share_link</t>
  </si>
  <si>
    <t>DIV5</t>
  </si>
  <si>
    <t>ESP-AU-025</t>
  </si>
  <si>
    <t>https://drive.google.com/file/d/1Lz0B9baJBHQqmbZvoUQKDDLRMdIt6fGf/view?usp=share_link</t>
  </si>
  <si>
    <t>DIV6</t>
  </si>
  <si>
    <t>ESP-AU-026</t>
  </si>
  <si>
    <t>https://drive.google.com/file/d/1eov8PDrVL6A6kXx5npZSQXlYiVl5JJMF/view?usp=share_link</t>
  </si>
  <si>
    <t>OIL PAN CYCLONE</t>
  </si>
  <si>
    <t>ESP-AU-027</t>
  </si>
  <si>
    <t>https://drive.google.com/file/d/1oqrE0r5rGhny7dizKv11x0y_HQsUCzli/view?usp=share_link</t>
  </si>
  <si>
    <t>ESP-AU-028</t>
  </si>
  <si>
    <t>https://drive.google.com/file/d/1ZhNbsT2XdG35Ru7HXdHBGpvygiuYhvNm/view?usp=share_link</t>
  </si>
  <si>
    <t>ESP-AU-029</t>
  </si>
  <si>
    <t>https://drive.google.com/file/d/1GNk_B16Hs_F_b5mY_0HfwyAPj3_zL2US/view?usp=share_link</t>
  </si>
  <si>
    <t>ESP-AU-030</t>
  </si>
  <si>
    <t>https://drive.google.com/file/d/1AUqOcwJyGf9owOAlpmcqqPdtMf4Tu03N/view?usp=share_link</t>
  </si>
  <si>
    <t>ESP-AU-031</t>
  </si>
  <si>
    <t>https://drive.google.com/file/d/1GD511mnPnnbivLjxqnPcJmho8GaNxaUW/view?usp=share_link</t>
  </si>
  <si>
    <t>ESP-AU-032</t>
  </si>
  <si>
    <t>https://drive.google.com/file/d/1SOOFJP3SVzssuGz3Jtb04YeQvl6yCjKk/view?usp=share_link</t>
  </si>
  <si>
    <t>ESP-AU-033</t>
  </si>
  <si>
    <t>https://drive.google.com/file/d/1GuSImkJJZSGatDu3-PNo9fZ07qmGtErJ/view?usp=share_link</t>
  </si>
  <si>
    <t>ESP-AU-034</t>
  </si>
  <si>
    <t>https://drive.google.com/file/d/1khJ4hBNUtD3f5OVih7LJwaiuptzUOfsd/view?usp=share_link</t>
  </si>
  <si>
    <t>ESP-AU-035</t>
  </si>
  <si>
    <t>https://drive.google.com/file/d/1j2aFpA7PVf_CtUr3d81c_JjOQvqyvrY8/view?usp=share_link</t>
  </si>
  <si>
    <t>ESP-AU-036</t>
  </si>
  <si>
    <t>https://drive.google.com/file/d/1mgDSbNsrvr8cl9N65oaME9-3G128oQNC/view?usp=share_link</t>
  </si>
  <si>
    <t>AUTOTRIM</t>
  </si>
  <si>
    <t>INSERT</t>
  </si>
  <si>
    <t>BENJAMIN CORTES</t>
  </si>
  <si>
    <t>CHAPETON 1</t>
  </si>
  <si>
    <t>REFACCIONES</t>
  </si>
  <si>
    <t>ESP-BJC-001</t>
  </si>
  <si>
    <t>https://drive.google.com/file/d/1nvMBtstBuz4L4gZ4K9atN_Rdt7b_-ZNB/view?usp=share_link</t>
  </si>
  <si>
    <t>BIOCHEM</t>
  </si>
  <si>
    <t>MANGA</t>
  </si>
  <si>
    <t>CONTENEDOR 3 NIVELES</t>
  </si>
  <si>
    <t>ESP-BCH-001</t>
  </si>
  <si>
    <t>https://drive.google.com/file/d/1ukdpnYSVh-cCsS8Wrtt1li7sqzdU2qCJ/view?usp=share_link</t>
  </si>
  <si>
    <t>ESP-BCH-002</t>
  </si>
  <si>
    <t>https://drive.google.com/file/d/16tO7W4U8DPJoRY6IzuBBV0rgLR6EBB7R/view?usp=share_link</t>
  </si>
  <si>
    <t>ESP-BCH-003</t>
  </si>
  <si>
    <t>https://drive.google.com/file/d/1tbbSOPZrmt9ZZ7aNZeSe1LRfn_ot2Rjv/view?usp=share_link</t>
  </si>
  <si>
    <t>ESP-BCH-004</t>
  </si>
  <si>
    <t>https://drive.google.com/file/d/1NeoRaAIBsAIR2XVe21RmRy_jYNpGu-h8/view?usp=share_link</t>
  </si>
  <si>
    <t>ESP-BCH-005</t>
  </si>
  <si>
    <t>https://drive.google.com/file/d/1Okv3q3xjnToeafk7Tb0Ac9mPeRV1t_K6/view?usp=share_link</t>
  </si>
  <si>
    <t>BLICKMAN</t>
  </si>
  <si>
    <t>ESP-BK-001</t>
  </si>
  <si>
    <t>https://drive.google.com/file/d/1RzWpPdjuIw0eYD8DiaC3bh7cyx3GZwES/view?usp=share_link</t>
  </si>
  <si>
    <t>CAJA FOLDER</t>
  </si>
  <si>
    <t>ESP-BK-002</t>
  </si>
  <si>
    <t>https://drive.google.com/file/d/16YCUL-ewPTht72s6KBJLp-iSw9my7ulY/view?usp=share_link</t>
  </si>
  <si>
    <t xml:space="preserve">MEDIA CAJA </t>
  </si>
  <si>
    <t>ESP-BK-003</t>
  </si>
  <si>
    <t>https://drive.google.com/file/d/1jVoEE6_BMTWFzyQxFQE3fEU2LNGfE_n6/view?usp=share_link</t>
  </si>
  <si>
    <t>ESP-BK-004</t>
  </si>
  <si>
    <t>https://drive.google.com/file/d/1Db7wwlV5nxx8c7MyORWXJGutuBuTaDCy/view?usp=share_link</t>
  </si>
  <si>
    <t>ESP-BK-005</t>
  </si>
  <si>
    <t>https://drive.google.com/file/d/16P2vVI5kbe_sGRuZoncTBxpi5lWVUmmk/view?usp=share_link</t>
  </si>
  <si>
    <t>ESP-BK-006</t>
  </si>
  <si>
    <t>https://drive.google.com/file/d/1WLtiPZlaN2_DZSkctv9KRTYbdyi8OLAA/view?usp=share_link</t>
  </si>
  <si>
    <t>ESP-BK-007</t>
  </si>
  <si>
    <t>https://drive.google.com/file/d/1i2Yv_SEVR28ZHAZgVzml56cXe5W9l-vC/view?usp=share_link</t>
  </si>
  <si>
    <t>ESP-BK-008</t>
  </si>
  <si>
    <t>https://drive.google.com/file/d/1Naznxi6STL75JrlP6WK5ssaEJ4W-sT58/view?usp=share_link</t>
  </si>
  <si>
    <t>ESP-BK-009</t>
  </si>
  <si>
    <t>https://drive.google.com/file/d/16rdB0zFnASy97buMfd9zvjJpdlhBZOb3/view?usp=share_link</t>
  </si>
  <si>
    <t>ESP-BK-010</t>
  </si>
  <si>
    <t>https://drive.google.com/file/d/14sXt0HTER4Sp1N1yekaDnVbEzDjX6Ckv/view?usp=share_link</t>
  </si>
  <si>
    <t>ESP-BK-011</t>
  </si>
  <si>
    <t>https://drive.google.com/file/d/1vcU0H27yLPauZvUEba8p4S1ex70_C33V/view?usp=share_link</t>
  </si>
  <si>
    <t>ESP-BK-012</t>
  </si>
  <si>
    <t>https://drive.google.com/file/d/1xFVjZP5Qm6v10b8RXJBcY3lylCtAGuJ_/view?usp=share_link</t>
  </si>
  <si>
    <t>ESP-BK-013</t>
  </si>
  <si>
    <t>https://drive.google.com/file/d/1Eg6E6l-eZ-SdvWCzsM3U5aUSoqz59ipv/view?usp=share_link</t>
  </si>
  <si>
    <t>ESP-BK-014</t>
  </si>
  <si>
    <t>https://drive.google.com/file/d/1bGLYSRDX0Qbw1JkItqu3BuTerZUjzc66/view?usp=share_link</t>
  </si>
  <si>
    <t>ESP-BK-015</t>
  </si>
  <si>
    <t>https://drive.google.com/file/d/1NviqTGNTUnM64n28pT7n4WboYPyyLULv/view?usp=share_link</t>
  </si>
  <si>
    <t>ESP-BK-016</t>
  </si>
  <si>
    <t>https://drive.google.com/file/d/1o2s8MdMZd4mvgHPiIFzHuuOwzXD82Nkm/view?usp=share_link</t>
  </si>
  <si>
    <t>8535779201-M1</t>
  </si>
  <si>
    <t>ESP-BK-017</t>
  </si>
  <si>
    <t>https://drive.google.com/file/d/1KD-ynBiv-S3A_6O4AkNMXZbRaKKkpeZn/view?usp=share_link</t>
  </si>
  <si>
    <t>ESP-BK-018</t>
  </si>
  <si>
    <t>https://drive.google.com/file/d/1rOOsgO3JXdyxGueagmoaw1iAu8UsTicK/view?usp=share_link</t>
  </si>
  <si>
    <t>ESP-BK-019</t>
  </si>
  <si>
    <t>https://drive.google.com/file/d/1REgMHEZE2VGI1XkoIX-XZGsoJAB8DSNx/view?usp=share_link</t>
  </si>
  <si>
    <t>ESP-BK-020</t>
  </si>
  <si>
    <t>https://drive.google.com/file/d/1EVCs2iA-ztcZDiiwgr1g-oKnjOM8Tnh0/view?usp=share_link</t>
  </si>
  <si>
    <t>BÚHO</t>
  </si>
  <si>
    <t>CAJA CERRADO M</t>
  </si>
  <si>
    <t>ESP-BUH-001</t>
  </si>
  <si>
    <t>https://drive.google.com/file/d/1jKoWXBxcoAYqWERJ5C0Uianwv_jbkc1T/view?usp=share_link</t>
  </si>
  <si>
    <t xml:space="preserve">CAJA V1 </t>
  </si>
  <si>
    <t>ESP-BUH-002</t>
  </si>
  <si>
    <t>https://drive.google.com/file/d/1KEe-YWDtenCVGr6IkIaXS3H1BrGBZLYH/view?usp=share_link</t>
  </si>
  <si>
    <t>CAJA V2</t>
  </si>
  <si>
    <t>ESP-BUH-003</t>
  </si>
  <si>
    <t>https://drive.google.com/file/d/1F79Sm37JMwqMAu-GuYbutqASmJHhKjGY/view?usp=share_link</t>
  </si>
  <si>
    <t>GRANDE DESPLEGABLE</t>
  </si>
  <si>
    <t>ESP-BUH-004</t>
  </si>
  <si>
    <t>https://drive.google.com/file/d/12_7CLywM6GqyJk8cn1sDuKx9oZUcCKIi/view?usp=share_link</t>
  </si>
  <si>
    <t>GRANDE FLYYER</t>
  </si>
  <si>
    <t>ESP-BUH-005</t>
  </si>
  <si>
    <t>https://drive.google.com/file/d/1CXXayFkgDOuvUMC_HYZkgztuhUJzWHcf/view?usp=share_link</t>
  </si>
  <si>
    <t>CHICA SUCURSAL</t>
  </si>
  <si>
    <t>ESP-BUH-006</t>
  </si>
  <si>
    <t>https://drive.google.com/file/d/17oG4Z4QAKEZ3A7fT1L9RGnWLTewM8w9k/view?usp=share_link</t>
  </si>
  <si>
    <t>54 X 52 X 42 cm</t>
  </si>
  <si>
    <t>ESP-BUH-007</t>
  </si>
  <si>
    <t>https://drive.google.com/file/d/1cOpQsCJak_fsLmG1xwP5VCptbJ7SQrG-/view?usp=share_link</t>
  </si>
  <si>
    <t>30 X 30 X 11 cm</t>
  </si>
  <si>
    <t>30 X  30 X 11 cm</t>
  </si>
  <si>
    <t>ESP-BUH-008</t>
  </si>
  <si>
    <t>https://drive.google.com/file/d/1s6siUahDfOThQFrilIHEe2kONMrqDsO-/view?usp=share_link</t>
  </si>
  <si>
    <t>30 X 30 X 49 cm</t>
  </si>
  <si>
    <t>XL FOLDER</t>
  </si>
  <si>
    <t>ESP-BUH-009</t>
  </si>
  <si>
    <t>https://drive.google.com/file/d/1q_wrd6upsqWM3ZoCFGb3--2lRHdPpnkw/view?usp=share_link</t>
  </si>
  <si>
    <t>CALOREX</t>
  </si>
  <si>
    <t>R CHICA</t>
  </si>
  <si>
    <t>REFACCION CHICA</t>
  </si>
  <si>
    <t>ESP-CLX-001</t>
  </si>
  <si>
    <t>https://drive.google.com/file/d/15JAF-tXGXRLPCKB0-IfynO6iaU0cA2OV/view?usp=share_link</t>
  </si>
  <si>
    <t xml:space="preserve">R GRANDE </t>
  </si>
  <si>
    <t xml:space="preserve">REFACCÓN GRANDE </t>
  </si>
  <si>
    <t>ESP-CLX-002</t>
  </si>
  <si>
    <t>https://drive.google.com/file/d/1Mluzn2c-er81xVrhjjg53X7cNMWwEbdp/view?usp=share_link</t>
  </si>
  <si>
    <t>EN 30 T-6</t>
  </si>
  <si>
    <t xml:space="preserve">ELECTRONICOS </t>
  </si>
  <si>
    <t>ESP-CLX-003</t>
  </si>
  <si>
    <t>https://drive.google.com/file/d/19xV2YOr31IFoVYgztGavLhXyoSJydVmB/view?usp=share_link</t>
  </si>
  <si>
    <t>EN 40 T-6</t>
  </si>
  <si>
    <t>ESP-CLX-004</t>
  </si>
  <si>
    <t>https://drive.google.com/file/d/1OjNYQY0UNeESCTypH3THTUdnBb7K-Wr-/view?usp=share_link</t>
  </si>
  <si>
    <t>ESP-CLX-005</t>
  </si>
  <si>
    <t>https://drive.google.com/file/d/1WaFYhxTeK12qtAjTF19Rc3eX1JpQMkQN/view?usp=share_link</t>
  </si>
  <si>
    <t>EN 40 H-6</t>
  </si>
  <si>
    <t>ESP-CLX-006</t>
  </si>
  <si>
    <t>https://drive.google.com/file/d/1DyT57GMAW8mMdu_4-E9gAijETNOjnZYA/view?usp=share_link</t>
  </si>
  <si>
    <t>EN 50 H-6</t>
  </si>
  <si>
    <t>ESP-CLX-007</t>
  </si>
  <si>
    <t>https://drive.google.com/file/d/17d9G7glQI0EvQ7wCJoFhhjniinerl3SY/view?usp=share_link</t>
  </si>
  <si>
    <t>EN 30 L-6</t>
  </si>
  <si>
    <t>ESP-CLX-008</t>
  </si>
  <si>
    <t>https://drive.google.com/file/d/14fhxL5EdkWsG2urGUA0HPUVi6RtGVY5j/view?usp=sharing</t>
  </si>
  <si>
    <t>EN 40 L-6</t>
  </si>
  <si>
    <t>ESP-CLX-009</t>
  </si>
  <si>
    <t>https://drive.google.com/file/d/1p5K488auhjw7a8me9G6N75uzaXALd-ud/view?usp=share_link</t>
  </si>
  <si>
    <t>EN 46 LB-6</t>
  </si>
  <si>
    <t>ESP-CLX-010</t>
  </si>
  <si>
    <t>https://drive.google.com/file/d/151v9LEpNBinuAkC3Czv76-d5hGyQ6SXR/view?usp=share_link</t>
  </si>
  <si>
    <t>ENS 30 L-6</t>
  </si>
  <si>
    <t>ESP-CLX-011</t>
  </si>
  <si>
    <t>https://drive.google.com/file/d/1KQndpTeQAe6O7usWQ7MBGHeATgiO4Rqg/view?usp=share_link</t>
  </si>
  <si>
    <t>ENS 40L-6</t>
  </si>
  <si>
    <t>ESP-CLX-012</t>
  </si>
  <si>
    <t>https://drive.google.com/file/d/1XBUmraaCn8CQdny607hUSGy2P_7HE0qX/view?usp=share_link</t>
  </si>
  <si>
    <t>ENS 50L-6</t>
  </si>
  <si>
    <t>ESP-CLX-013</t>
  </si>
  <si>
    <t>https://drive.google.com/file/d/1NZZ3hVYHNTV954H5kgUZuoVAv65NBPa3/view?usp=share_link</t>
  </si>
  <si>
    <t>EN 80T</t>
  </si>
  <si>
    <t>ESP-CLX-014</t>
  </si>
  <si>
    <t>https://drive.google.com/file/d/1O_gWUfpeOQWiDUv_nNVUuZozZBPwUqV1/view?usp=share_link</t>
  </si>
  <si>
    <t>ESP-CLX-015</t>
  </si>
  <si>
    <t>https://drive.google.com/file/d/1J-uHsTmm8_A9beHM7pTmDN4FKJWRs7wP/view?usp=share_link</t>
  </si>
  <si>
    <t>ESP-CLX-016</t>
  </si>
  <si>
    <t>https://drive.google.com/file/d/1Kz0FbEnrwZT3-ANWRbSYUvzOo0asEr0U/view?usp=share_link</t>
  </si>
  <si>
    <t>CARLOS NARRO</t>
  </si>
  <si>
    <t>GEL - LITRO</t>
  </si>
  <si>
    <t>GEL-LITRO</t>
  </si>
  <si>
    <t>ESP-CNA-001</t>
  </si>
  <si>
    <t>https://drive.google.com/file/d/1Y23B5dtOWrE3g6tE72PEj8h_c10or0vu/view?usp=share_link</t>
  </si>
  <si>
    <t>Cooperstandard</t>
  </si>
  <si>
    <t>24" X 22" X 11"</t>
  </si>
  <si>
    <t>ESP-CO-002</t>
  </si>
  <si>
    <t>https://drive.google.com/file/d/1tU-ZKaEI3wzl5r_cTfeTNTd1PYT5XyvJ/view?usp=share_link</t>
  </si>
  <si>
    <t>23" X 14" X 7"</t>
  </si>
  <si>
    <t>ESP-CO-003</t>
  </si>
  <si>
    <t>https://drive.google.com/file/d/1sY5kb07iwDIvBxcSk6ii2RLD85p4xGIQ/view?usp=share_link</t>
  </si>
  <si>
    <t>15" X 14" X 14"</t>
  </si>
  <si>
    <t>ESP-CO-004</t>
  </si>
  <si>
    <t>https://drive.google.com/file/d/1q3zfrt49VGTxp8P_ls9eWogIXUIpMgDj/view?usp=share_link</t>
  </si>
  <si>
    <t>22.5" X 11" X 15"</t>
  </si>
  <si>
    <t>ESP-CO-005</t>
  </si>
  <si>
    <t>https://drive.google.com/file/d/19Rx2jXDPraxwzrlNLQZM8n5qnHAJG5jh/view?usp=share_link</t>
  </si>
  <si>
    <t>40" X 15" X 15"</t>
  </si>
  <si>
    <t>ESP-CO-007</t>
  </si>
  <si>
    <t>https://drive.google.com/file/d/1dTGPhlFYJcaTjphv1SjvrAdpaPz4oIbn/view?usp=share_link</t>
  </si>
  <si>
    <t>24" X 15" X 7"</t>
  </si>
  <si>
    <t>ESP-CO-008</t>
  </si>
  <si>
    <t>https://drive.google.com/file/d/16cB1ju7H31HaiPMBW7bnXn2YdYvXpkXk/view?usp=share_link</t>
  </si>
  <si>
    <t>ESP-CO-009</t>
  </si>
  <si>
    <t>https://drive.google.com/file/d/10BmHkWcdWLSrQ1vjbXEvvoFAE1drsAFo/view?usp=share_link</t>
  </si>
  <si>
    <t>23" X 22" X 14"</t>
  </si>
  <si>
    <t>ESP-CO-010</t>
  </si>
  <si>
    <t>ESP-CO-011</t>
  </si>
  <si>
    <t>15" X 12" X 9.5"</t>
  </si>
  <si>
    <t>ESP-CO-012</t>
  </si>
  <si>
    <t>https://drive.google.com/file/d/1ySU6wrnXaroZ_RdDG0mcvDAt0R14UUsY/view?usp=share_link</t>
  </si>
  <si>
    <t>ESP-CO-013</t>
  </si>
  <si>
    <t>48" X 15" 11"</t>
  </si>
  <si>
    <t>ESP-CO-018</t>
  </si>
  <si>
    <t>https://drive.google.com/file/d/1SWehDgWUMQPqBV4RZ8-tKVrMyrf-1OrZ/view?usp=share_link</t>
  </si>
  <si>
    <t>ESP-CO-022</t>
  </si>
  <si>
    <t>100" X 15" X 15"</t>
  </si>
  <si>
    <t>ESP-CO-023</t>
  </si>
  <si>
    <t>ESP-CO-024</t>
  </si>
  <si>
    <t>40 CAV</t>
  </si>
  <si>
    <t>CONTENEDOR 40 CAV</t>
  </si>
  <si>
    <t>ESP-CO-025</t>
  </si>
  <si>
    <t>https://drive.google.com/file/d/1DICagdDwBVSYae0S7jb0v9cvQT-JXcWp/view?usp=share_link</t>
  </si>
  <si>
    <t>ESP-CO-026</t>
  </si>
  <si>
    <t>https://drive.google.com/file/d/1nxDWTHQJeqRBuzrwxfBd5UQFu4aXyc1f/view?usp=share_link</t>
  </si>
  <si>
    <t>ESP-CO-027</t>
  </si>
  <si>
    <t>https://drive.google.com/file/d/1vojqGDGHKmnrtA8ShhIEaCEAVM-LpxDG/view?usp=share_link</t>
  </si>
  <si>
    <t>ESP-CO-028</t>
  </si>
  <si>
    <t>https://drive.google.com/file/d/13nXWenvM7a2yYwLgsWqJTkDGTm7oY5Se/view?usp=share_link</t>
  </si>
  <si>
    <t>ESP-CO-029</t>
  </si>
  <si>
    <t>https://drive.google.com/file/d/1bYyKjN9UqEy1aiv9H-5QTMlgBrVyz2NU/view?usp=share_link</t>
  </si>
  <si>
    <t>24" X 15" X 11"</t>
  </si>
  <si>
    <t>ESP-CO-030</t>
  </si>
  <si>
    <t>https://drive.google.com/file/d/1yBrSCxF5Jw5uFC9QPVYo2Wwjw6L7PLW3/view?usp=share_link</t>
  </si>
  <si>
    <t xml:space="preserve">32" X 15" X 7" </t>
  </si>
  <si>
    <t>32" X 15" X 7"</t>
  </si>
  <si>
    <t>ESP-CO-031</t>
  </si>
  <si>
    <t>https://drive.google.com/file/d/1jCn8cKWxjnrdc-bDOAoKOOTYGnUpzvgG/view?usp=share_link</t>
  </si>
  <si>
    <t>41" X 44" SINGLE FACE</t>
  </si>
  <si>
    <t>ESP-CO-32</t>
  </si>
  <si>
    <t>https://drive.google.com/file/d/1fmjDoKhRSWJRy1R2s0BzsA4qGx9nEOCx/view?usp=share_link</t>
  </si>
  <si>
    <t>20 ESPACIOS</t>
  </si>
  <si>
    <t>REJILLA 20 CAVIDADES</t>
  </si>
  <si>
    <t>ESP-CO-33</t>
  </si>
  <si>
    <t>https://drive.google.com/file/d/1Jb5nRc4AGHhDK7c-LX4SOuwXAr4qJ8DP/view?usp=share_link</t>
  </si>
  <si>
    <t>ESP-CO-34</t>
  </si>
  <si>
    <t>https://drive.google.com/file/d/1UXcUNdtzFAmF6oO4o0s8DVi1eWWaFGBS/view?usp=share_link</t>
  </si>
  <si>
    <t>ESP-CO-35</t>
  </si>
  <si>
    <t>https://drive.google.com/file/d/1XjaPO5ehzHRJQtDC3iUr9ho3RlmmIS8Z/view?usp=share_link</t>
  </si>
  <si>
    <t>CYCS</t>
  </si>
  <si>
    <t>MALETÍN</t>
  </si>
  <si>
    <t xml:space="preserve">TROQ EMPAQUE </t>
  </si>
  <si>
    <t>ESP-CYCS-006</t>
  </si>
  <si>
    <t>https://drive.google.com/file/d/13qttKPY4JyA76krUla-59r3bW50dPxKI/view?usp=share_link</t>
  </si>
  <si>
    <t>DAIMAY</t>
  </si>
  <si>
    <t>ESP-DAI-001</t>
  </si>
  <si>
    <t>https://drive.google.com/file/d/1Plx40MBHPSJphZh4BvSsCVQCISiLe_f_/view?usp=share_link</t>
  </si>
  <si>
    <t>ESP-DAI-002</t>
  </si>
  <si>
    <t>https://drive.google.com/file/d/15f33BHoJSlFgKDNaJ1NAG_Yv8Xy55iIq/view?usp=share_link</t>
  </si>
  <si>
    <t>PKG003671</t>
  </si>
  <si>
    <t>ESP-DAI-003</t>
  </si>
  <si>
    <t>https://drive.google.com/file/d/1j0ZMTAMlGcO94F3PtM1fs86hn2G3hmAk/view?usp=share_link</t>
  </si>
  <si>
    <t>VL-2748</t>
  </si>
  <si>
    <t>ESP-DAI-004</t>
  </si>
  <si>
    <t>https://drive.google.com/file/d/17HToND5TOY56lZWRT_FMw8gPcXoOdD3y/view?usp=share_link</t>
  </si>
  <si>
    <t>IMC 060</t>
  </si>
  <si>
    <t>ESP-DAI-005</t>
  </si>
  <si>
    <t>https://drive.google.com/file/d/17NqoIzfj75bBF7UvFWev3mk6XoxiUbji/view?usp=share_link</t>
  </si>
  <si>
    <t>TACON</t>
  </si>
  <si>
    <t>ESP-DAI-006</t>
  </si>
  <si>
    <t>https://drive.google.com/file/d/1mbH2oRVkYNO1RZOzcl1CcZu7LlT_yZ0h/view?usp=share_link</t>
  </si>
  <si>
    <t>ESP-DAI-007</t>
  </si>
  <si>
    <t>https://drive.google.com/file/d/1yzbfsxIHC_UozxAcC1-AfJRHuJ4Nd0b7/view?usp=share_link</t>
  </si>
  <si>
    <t>VB8959</t>
  </si>
  <si>
    <t>ESP-DAI-008</t>
  </si>
  <si>
    <t>https://drive.google.com/file/d/133qtnUPBTNFW0VIGkU0LJdcfMUNyc5Hx/view?usp=share_link</t>
  </si>
  <si>
    <t>ESP-DAI-009</t>
  </si>
  <si>
    <t>https://drive.google.com/file/d/1ZZ1g8pnl9dsGl_s9NZJHzrJhAfAB9nZ5/view?usp=share_link</t>
  </si>
  <si>
    <t>PKG0009</t>
  </si>
  <si>
    <t>ESP-DAI-010</t>
  </si>
  <si>
    <t>https://drive.google.com/file/d/1oKDoA5OxEaLGZ_y4W3gmygH4WqP06wIa/view?usp=share_link</t>
  </si>
  <si>
    <t>PKG0010</t>
  </si>
  <si>
    <t>ESP-DAI-011</t>
  </si>
  <si>
    <t>PKG0014</t>
  </si>
  <si>
    <t>ESP-DAI-012</t>
  </si>
  <si>
    <t>PKG003124</t>
  </si>
  <si>
    <t>ESP-DAI-013</t>
  </si>
  <si>
    <t>https://drive.google.com/file/d/14n58itUosoxf7bn-fAbwQyDPHmDlNDBh/view?usp=share_link</t>
  </si>
  <si>
    <t>150-0368M</t>
  </si>
  <si>
    <t>ESP-DAI-014</t>
  </si>
  <si>
    <t>https://drive.google.com/file/d/1Ma68xmpRjwHi4nITjwJgD-aKaXXhAuL7/view?usp=share_link</t>
  </si>
  <si>
    <t>150-368M</t>
  </si>
  <si>
    <t>ESP-DAI-015</t>
  </si>
  <si>
    <t>https://drive.google.com/file/d/1Hos_m4Ns6pHE0XxjjjjcIHNiQy8VKqFJ/view?usp=share_link</t>
  </si>
  <si>
    <t>150-4105</t>
  </si>
  <si>
    <t>ESP-DAI-016</t>
  </si>
  <si>
    <t>https://drive.google.com/file/d/1Va2Pv4kWUX0VD68rHVP3tah-VLbNvvqc/view?usp=share_link</t>
  </si>
  <si>
    <t>150-4106</t>
  </si>
  <si>
    <t>ESP-DAI-017</t>
  </si>
  <si>
    <t>https://drive.google.com/file/d/1g4n9Dv23cpYE2fawkvj7wCE9nvwAgCKf/view?usp=share_link</t>
  </si>
  <si>
    <t>VS-2527</t>
  </si>
  <si>
    <t>ESP-DAI-018</t>
  </si>
  <si>
    <t>https://drive.google.com/file/d/18ApduyrDc-D8XPvV24csqRX_3DG47MQ5/view?usp=share_link</t>
  </si>
  <si>
    <t>ESP-DAI-019</t>
  </si>
  <si>
    <t>https://drive.google.com/file/d/1hKw3-Xhfhp-bEJ2cbLBYB3gBJ0_S_PDv/view?usp=share_link</t>
  </si>
  <si>
    <t>CAJON GRANDE</t>
  </si>
  <si>
    <t>ESP-DAI-020</t>
  </si>
  <si>
    <t>https://drive.google.com/file/d/1jqOFBKmgmZYm78qomEJV06omRVvcH8Ue/view?usp=share_link</t>
  </si>
  <si>
    <t>ESP-DAI-021</t>
  </si>
  <si>
    <t>https://drive.google.com/file/d/1EWZeuurThe-K7P-Ql_j5ukcSz0fFOcQB/view?usp=share_link</t>
  </si>
  <si>
    <t>CAJA CHICA</t>
  </si>
  <si>
    <t>ESP-DAI-022</t>
  </si>
  <si>
    <t>https://drive.google.com/file/d/1vgHSmNHxMyQ_-8VFyJJ0Wg7BULCcPO91/view?usp=share_link</t>
  </si>
  <si>
    <t>REJILLA 6 CAVIDADES</t>
  </si>
  <si>
    <t>ESP-DAI-023</t>
  </si>
  <si>
    <t>https://drive.google.com/file/d/1rVelB4m22iH9Tb_eNqe4aJvMLcNPkvvf/view?usp=share_link</t>
  </si>
  <si>
    <t>ESP-DAI-024</t>
  </si>
  <si>
    <t>https://drive.google.com/file/d/1SQJK33gtck-i185NtXabIqVL4sh1dcbn/view?usp=share_link</t>
  </si>
  <si>
    <t>PKG003675</t>
  </si>
  <si>
    <t>ESP-DAI-025</t>
  </si>
  <si>
    <t>https://drive.google.com/file/d/1KqFU2uO4V-eA0J3jFokOgn-mqB23vwPO/view?usp=share_link</t>
  </si>
  <si>
    <t>VR6128</t>
  </si>
  <si>
    <t>ESP-DAI-026</t>
  </si>
  <si>
    <t>https://drive.google.com/file/d/1s6jE2oKGHNyauLAhvCyOhX9FQ1XMbNmF/view?usp=share_link</t>
  </si>
  <si>
    <t>ESP-DAI-027</t>
  </si>
  <si>
    <t>https://drive.google.com/file/d/1TiRaZw1SEcl3jZs9ivoQMlY-GVeVgOoh/view?usp=share_link</t>
  </si>
  <si>
    <t>ESP-DAI-028</t>
  </si>
  <si>
    <t>https://drive.google.com/file/d/1N3iaIol64DcJiphQpBVk6zeqNuuv5AX7/view?usp=share_link</t>
  </si>
  <si>
    <t>ESP-DAI-029</t>
  </si>
  <si>
    <t>https://drive.google.com/file/d/1HlujgyGU2UQ_SpwfAblgKd9QRfFi_ST4/view?usp=share_link</t>
  </si>
  <si>
    <t>V96066</t>
  </si>
  <si>
    <t>ESP-DAI-030</t>
  </si>
  <si>
    <t>https://drive.google.com/file/d/1lx9tzbOE8_H18amBsBG7kRkNtu3Ejm3Z/view?usp=share_link</t>
  </si>
  <si>
    <t>1500354RA</t>
  </si>
  <si>
    <t>ESP-DAI-031</t>
  </si>
  <si>
    <t>https://drive.google.com/file/d/1K1VHgtktcjqX8ODy_JuJ2qvNijtpeDJT/view?usp=share_link</t>
  </si>
  <si>
    <t>CRV-2317929</t>
  </si>
  <si>
    <t>ESP-DAI-032</t>
  </si>
  <si>
    <t>https://drive.google.com/file/d/1f6u8YJeLkryMPN6jIO2bpSWehpJFzKm5/view?usp=share_link</t>
  </si>
  <si>
    <t>6 VISERAS</t>
  </si>
  <si>
    <t>ESP-DAI-033</t>
  </si>
  <si>
    <t>https://drive.google.com/file/d/1MMAXkLP7XRINAemTlYRgc9SutUYzsWXo/view?usp=share_link</t>
  </si>
  <si>
    <t>ESP-DAI-034</t>
  </si>
  <si>
    <t>https://drive.google.com/file/d/1R0vLMznvE5BBQRfVDF-6JTCce7j1SCIL/view?usp=share_link</t>
  </si>
  <si>
    <t>P32R</t>
  </si>
  <si>
    <t>31XX DE DESCANSABEZOS</t>
  </si>
  <si>
    <t>ESP-DAI-035</t>
  </si>
  <si>
    <t>https://drive.google.com/file/d/1Cj0xoz9DriePcGCrUIiTVRH34rczanon/view?usp=share_link</t>
  </si>
  <si>
    <t>M600394</t>
  </si>
  <si>
    <t>ESP-DAI-036</t>
  </si>
  <si>
    <t>https://drive.google.com/file/d/1xgANjttagmdF-NzLXLpg-18Sz_Fvq7Bx/view?usp=share_link</t>
  </si>
  <si>
    <t>M6003993</t>
  </si>
  <si>
    <t>ESP-DAI-037</t>
  </si>
  <si>
    <t>https://drive.google.com/file/d/1BJoSTMnF6Ij9KiU407wfEp5zhAS-hDBE/view?usp=share_link</t>
  </si>
  <si>
    <t>M6003998</t>
  </si>
  <si>
    <t>31XX FIJO</t>
  </si>
  <si>
    <t>ESP-DAI-038</t>
  </si>
  <si>
    <t>https://drive.google.com/file/d/1tlKRHD61IHqPEIcdiws_dwIJMy5xxGIk/view?usp=share_link</t>
  </si>
  <si>
    <t>M6003999</t>
  </si>
  <si>
    <t>ESP-DAI-039</t>
  </si>
  <si>
    <t>https://drive.google.com/file/d/10QYpZ9NBBqbaL5OYb7i0fjKJAdAFzEH9/view?usp=share_link</t>
  </si>
  <si>
    <t>M6004002</t>
  </si>
  <si>
    <t>ESP-DAI-040</t>
  </si>
  <si>
    <t>https://drive.google.com/file/d/1feBJMPz5gub_7GcAW-M8hRha1v_0qlaq/view?usp=share_link</t>
  </si>
  <si>
    <t>MANGA 1</t>
  </si>
  <si>
    <t>ESP-DAI-041</t>
  </si>
  <si>
    <t>https://drive.google.com/file/d/1QMPlS2NrtkLbjDechbhhQL_1LFbrfTna/view?usp=share_link</t>
  </si>
  <si>
    <t>M6002354</t>
  </si>
  <si>
    <t>31XX ABATIBLE</t>
  </si>
  <si>
    <t>ESP-DAI-042</t>
  </si>
  <si>
    <t>https://drive.google.com/file/d/18G3IMLQ9pgyTQgSeEoUbtC7JSTAQrQW3/view?usp=share_link</t>
  </si>
  <si>
    <t>M6003734</t>
  </si>
  <si>
    <t>ESP-DAI-043</t>
  </si>
  <si>
    <t>https://drive.google.com/file/d/1oyekmWeuSoShKwvx2His9_HcFfzzU9YP/view?usp=share_link</t>
  </si>
  <si>
    <t>ESP-DAI-044</t>
  </si>
  <si>
    <t>https://drive.google.com/file/d/1_cNTTNBCrUGvfS1IyMPnehjrWPjeM0Da/view?usp=share_link</t>
  </si>
  <si>
    <t>MANGA 3</t>
  </si>
  <si>
    <t>ESP-DAI-045</t>
  </si>
  <si>
    <t>https://drive.google.com/file/d/1rLoLV9sXpNs4x1BCjF41Fu75NqriDSu8/view?usp=share_link</t>
  </si>
  <si>
    <t>M6004013</t>
  </si>
  <si>
    <t xml:space="preserve">C1UL FILA DELANTERA </t>
  </si>
  <si>
    <t>ESP-DAI-046</t>
  </si>
  <si>
    <t>https://drive.google.com/file/d/1ChyXG6hl6iReFTmkFhRpxYOY5dBdbFx8/view?usp=share_link</t>
  </si>
  <si>
    <t>M6004015</t>
  </si>
  <si>
    <t>ESP-DAI-047</t>
  </si>
  <si>
    <t>https://drive.google.com/file/d/1mXV8yXhvyVMonqwlJ9RLAWMqWp6siI_s/view?usp=share_link</t>
  </si>
  <si>
    <t>M6004014</t>
  </si>
  <si>
    <t>ESP-DAI-048</t>
  </si>
  <si>
    <t>https://drive.google.com/file/d/1r-wp0VzQU8AujTTChhPW1wrP8fsbAtzk/view?usp=share_link</t>
  </si>
  <si>
    <t>ESP-DAI-049</t>
  </si>
  <si>
    <t>https://drive.google.com/file/d/1ZxbddfQtjp5SYMtm881Gd-rhw0AJqnxA/view?usp=share_link</t>
  </si>
  <si>
    <t>M6007531</t>
  </si>
  <si>
    <t>ESP-DAI-050</t>
  </si>
  <si>
    <t>https://drive.google.com/file/d/15P0rXJeseF6CTWUtw3WAvItgcRTCz1bz/view?usp=share_link</t>
  </si>
  <si>
    <t>M6007532</t>
  </si>
  <si>
    <t>ESP-DAI-051</t>
  </si>
  <si>
    <t>https://drive.google.com/file/d/1l7gmHVARPVR3M8iYGM0xhzSIbvXkUxnF/view?usp=share_link</t>
  </si>
  <si>
    <t>M6007534</t>
  </si>
  <si>
    <t>ESP-DAI-052</t>
  </si>
  <si>
    <t>https://drive.google.com/file/d/1F3wkWVKM19DKlrAvfeVWP5bim4O-aNlL/view?usp=share_link</t>
  </si>
  <si>
    <t>MANGA 2</t>
  </si>
  <si>
    <t>ESP-DAI-053</t>
  </si>
  <si>
    <t>https://drive.google.com/file/d/1nC0RzLftQJa1vgRjxUDbGlD0hNGbyX8o/view?usp=share_link</t>
  </si>
  <si>
    <t>M6002348</t>
  </si>
  <si>
    <t>T300 DELANTERA</t>
  </si>
  <si>
    <t>ESP-DAI-054</t>
  </si>
  <si>
    <t>https://drive.google.com/file/d/1dGpDkjI9lTw4IB6N6jo1rrLKBAbrFgho/view?usp=share_link</t>
  </si>
  <si>
    <t>M6002423</t>
  </si>
  <si>
    <t>ESP-DAI-055</t>
  </si>
  <si>
    <t>https://drive.google.com/file/d/1M8IpVueDiZsgv8d7nzPZiCEcm2qKzBL5/view?usp=share_link</t>
  </si>
  <si>
    <t>ESP-DAI-056</t>
  </si>
  <si>
    <t>https://drive.google.com/file/d/1l1bGMq8Gqz5zDvH_Q9prCVSo8V2baSad/view?usp=share_link</t>
  </si>
  <si>
    <t>M6002337</t>
  </si>
  <si>
    <t>T300 TRASERA</t>
  </si>
  <si>
    <t>ESP-DAI-057</t>
  </si>
  <si>
    <t>https://drive.google.com/file/d/1gU_M4LJUD0z0GHelFrrAPvHAOkvp7fqU/view?usp=share_link</t>
  </si>
  <si>
    <t>M6003812</t>
  </si>
  <si>
    <t>ESP-DAI-058</t>
  </si>
  <si>
    <t>https://drive.google.com/file/d/1uHvXQFt8c_eJVv1eciFJn5UfFe5z7jk2/view?usp=share_link</t>
  </si>
  <si>
    <t>M6003833</t>
  </si>
  <si>
    <t>ESP-DAI-059</t>
  </si>
  <si>
    <t>https://drive.google.com/file/d/1PorF4C8iqPcKIDzeFUyxAgaqyacM7b-H/view?usp=share_link</t>
  </si>
  <si>
    <t>ESP-DAI-060</t>
  </si>
  <si>
    <t>https://drive.google.com/file/d/1QTFFW2HVNEHnMsos-385nceKG_maSGT9/view?usp=share_link</t>
  </si>
  <si>
    <t>K2XX-II</t>
  </si>
  <si>
    <t>ESP-DAI-061</t>
  </si>
  <si>
    <t>https://drive.google.com/file/d/1JZ4RAxgys2H17nu4E2s2ckG1MuMW9UxU/view?usp=share_link</t>
  </si>
  <si>
    <t>ESP-DAI-062</t>
  </si>
  <si>
    <t>https://drive.google.com/file/d/1mHc_t7rVTyAJYzvSS59ouYE4ZLoxgOgv/view?usp=share_link</t>
  </si>
  <si>
    <t>K2XX-II DELANTERA</t>
  </si>
  <si>
    <t>ESP-DAI-063</t>
  </si>
  <si>
    <t>https://drive.google.com/file/d/1W5NTPv4BUGDn916zdudehMp045yqGdwy/view?usp=share_link</t>
  </si>
  <si>
    <t>M6010689</t>
  </si>
  <si>
    <t>TXX FILA DELANTERA</t>
  </si>
  <si>
    <t>ESP-DAI-064</t>
  </si>
  <si>
    <t>https://drive.google.com/file/d/16Fnat0dc9N_C-tfSXUM3kUU6QLonJ03L/view?usp=share_link</t>
  </si>
  <si>
    <t>M6010690</t>
  </si>
  <si>
    <t>ESP-DAI-065</t>
  </si>
  <si>
    <t>https://drive.google.com/file/d/1p8OPSwtNtndk_ljiQuG9hIYaCP2nFA3n/view?usp=sharing</t>
  </si>
  <si>
    <t>M6010962</t>
  </si>
  <si>
    <t>ESP-DAI-066</t>
  </si>
  <si>
    <t>https://drive.google.com/file/d/1XBYggOwKQ4PlBQkV5qzY7RKCoV9JtSnc/view?usp=share_link</t>
  </si>
  <si>
    <t>T1XX DELANTERA</t>
  </si>
  <si>
    <t>T1XX FILA DELANTERA</t>
  </si>
  <si>
    <t>ESP-DAI-067</t>
  </si>
  <si>
    <t>https://drive.google.com/file/d/13g7F8a7ZjOqW23BIu7mvGaqTenwoY1V-/view?usp=share_link</t>
  </si>
  <si>
    <t>ESP-DAI-068</t>
  </si>
  <si>
    <t>https://drive.google.com/file/d/1uIDsXJ-fNQ8hRIGIzH1L0AnvrIaGOfSP/view?usp=share_link</t>
  </si>
  <si>
    <t>M6010812</t>
  </si>
  <si>
    <t>T1XX FILA TRASERA</t>
  </si>
  <si>
    <t>ESP-DAI-069</t>
  </si>
  <si>
    <t>https://drive.google.com/file/d/15yc5KplAlbTyXqF6RWRLK84CoOp4yjpL/view?usp=share_link</t>
  </si>
  <si>
    <t>M6010813</t>
  </si>
  <si>
    <t>ESP-DAI-070</t>
  </si>
  <si>
    <t>https://drive.google.com/file/d/1iDZiPffR81cmIY4rQZvAVjFI6UgrN_H4/view?usp=share_link</t>
  </si>
  <si>
    <t>M6010815</t>
  </si>
  <si>
    <t>ESP-DAI-071</t>
  </si>
  <si>
    <t>https://drive.google.com/file/d/1EnPQQlN1RU1fbfFoIc-U1Osrtw-4mINy/view?usp=share_link</t>
  </si>
  <si>
    <t>T1XX TRASERA</t>
  </si>
  <si>
    <t>ESP-DAI-072</t>
  </si>
  <si>
    <t>https://drive.google.com/file/d/1VeQwLvb1Vu1CTdTTL5rbBEJJKIpnXhe1/view?usp=share_link</t>
  </si>
  <si>
    <t>ESP-DAI-073</t>
  </si>
  <si>
    <t>https://drive.google.com/file/d/131gVPaDEnWJm4M9y2tlwEL8HNaxAu7WQ/view?usp=share_link</t>
  </si>
  <si>
    <t>115 X 50 78 cm</t>
  </si>
  <si>
    <t>ESP-DAI-074</t>
  </si>
  <si>
    <t>https://drive.google.com/file/d/1KfnaTKYdclHxxoxwM7pcwl3NsUucQTzr/view?usp=share_link</t>
  </si>
  <si>
    <t>ESP-DAI-075</t>
  </si>
  <si>
    <t>https://drive.google.com/file/d/1W8LD4cS4_NK4gUVdLvY6QmNwbf29iAjL/view?usp=share_link</t>
  </si>
  <si>
    <t>M6009535</t>
  </si>
  <si>
    <t>D2UC TRASERO</t>
  </si>
  <si>
    <t>ESP-DAI-076</t>
  </si>
  <si>
    <t>https://drive.google.com/file/d/1BeIrUO4yUovIkjHk11UQUytBsKErF6BA/view?usp=share_link</t>
  </si>
  <si>
    <t>M6004214</t>
  </si>
  <si>
    <t>ESP-DAI-077</t>
  </si>
  <si>
    <t>https://drive.google.com/file/d/1fw4AjPYFF21IvXKHtcEJmGdRlnffj9ec/view?usp=share_link</t>
  </si>
  <si>
    <t>M6007316</t>
  </si>
  <si>
    <t>ESP-DAI-078</t>
  </si>
  <si>
    <t>https://drive.google.com/file/d/1x6LypfWbwvrFa9xNsrWC_kFny9iUfXBw/view?usp=share_link</t>
  </si>
  <si>
    <t>M6009320</t>
  </si>
  <si>
    <t>D2UC DELANTERO</t>
  </si>
  <si>
    <t>ESP-DAI-079</t>
  </si>
  <si>
    <t>https://drive.google.com/file/d/1gOfxotVDEsmjyJYTx29HDlHS_oQhQkoo/view?usp=share_link</t>
  </si>
  <si>
    <t>M600412</t>
  </si>
  <si>
    <t>ESP-DAI-080</t>
  </si>
  <si>
    <t>https://drive.google.com/file/d/1i_Yy-z4s_gZ2xMJR-0hijshEB3-goPdF/view?usp=share_link</t>
  </si>
  <si>
    <t>ESP-DAI-081</t>
  </si>
  <si>
    <t>https://drive.google.com/file/d/1ZdenEhnZ8wTkETP4KmYN8br44FmAOc3C/view?usp=share_link</t>
  </si>
  <si>
    <t xml:space="preserve">DESCANSABRAZOS </t>
  </si>
  <si>
    <t>D2UC</t>
  </si>
  <si>
    <t>ESP-DAI-082</t>
  </si>
  <si>
    <t>https://drive.google.com/file/d/1SJsSh00mbJx9OwmOBDl7B5yi5djH_ukf/view?usp=share_link</t>
  </si>
  <si>
    <t>ESP-DAI-083</t>
  </si>
  <si>
    <t>https://drive.google.com/file/d/1tGGzs_ErUBs6X-fcWmyXbDSmuKtYDj-S/view?usp=share_link</t>
  </si>
  <si>
    <t>ESP-DAI-084</t>
  </si>
  <si>
    <t>https://drive.google.com/file/d/1UGIF8jbNQT0DW4_lhacTNr_aYWqC3wbN/view?usp=share_link</t>
  </si>
  <si>
    <t>C1UH FRONT</t>
  </si>
  <si>
    <t>ESP-DAI-085</t>
  </si>
  <si>
    <t>https://drive.google.com/file/d/1ZXwVQSuNJK6B8llr-ZklVA1OpSyzCpxW/view?usp=share_link</t>
  </si>
  <si>
    <t>ESP-DAI-086</t>
  </si>
  <si>
    <t>https://drive.google.com/file/d/1nfOZ3ZA2oK6E0CodoG38ycsYhfXGNsvk/view?usp=share_link</t>
  </si>
  <si>
    <t>TAPA BMW</t>
  </si>
  <si>
    <t>ESP-DAI-087</t>
  </si>
  <si>
    <t>https://drive.google.com/file/d/10APAM6ViQdWBZrjr5xJRN5IPWiKQCQqD/view?usp=share_link</t>
  </si>
  <si>
    <t>MANGA BMW GRANDE</t>
  </si>
  <si>
    <t>ESP-DAI-088</t>
  </si>
  <si>
    <t>https://drive.google.com/file/d/1Rhh8wQxvhTA0EGy5Ohepe_U8FMbNtQSg/view?usp=share_link</t>
  </si>
  <si>
    <t>MANGA BMW CHICA</t>
  </si>
  <si>
    <t>ESP-DAI-089</t>
  </si>
  <si>
    <t>https://drive.google.com/file/d/1XhF2i34qeBO3d2V_rzvjCFLX3psERw0L/view?usp=share_link</t>
  </si>
  <si>
    <t>V34639</t>
  </si>
  <si>
    <t>ESP-DAI-090</t>
  </si>
  <si>
    <t>https://drive.google.com/file/d/1O8PFWLUTp5x4YqubTujOGInKSBtQIWeQ/view?usp=share_link</t>
  </si>
  <si>
    <t>C1UL-2020</t>
  </si>
  <si>
    <t>C1UL-2020 TRASERO</t>
  </si>
  <si>
    <t>ESP-DAI-091</t>
  </si>
  <si>
    <t>https://drive.google.com/file/d/1e2InJl0gq4zNatHD2311Q9IoimbZLNl5/view?usp=share_link</t>
  </si>
  <si>
    <t>ESP-DAI-092</t>
  </si>
  <si>
    <t>https://drive.google.com/file/d/1L0hbHNDVRotPnNGk2mROIeWWqEKqNaUr/view?usp=share_link</t>
  </si>
  <si>
    <t>ESP-DAI-093</t>
  </si>
  <si>
    <t>https://drive.google.com/file/d/1J_QPT5xnQjTYWq6zcVI5qz9RRDW-fOLM/view?usp=share_link</t>
  </si>
  <si>
    <t>C1UL D. ABATIBLE</t>
  </si>
  <si>
    <t>C1UL DESCANSABRAZOS ABATIBLE</t>
  </si>
  <si>
    <t>ESP-DAI-094</t>
  </si>
  <si>
    <t>https://drive.google.com/file/d/1R8Ep11JBaHkQXdrEPHW31vKxX6yqgEbm/view?usp=share_link</t>
  </si>
  <si>
    <t>ESP-DAI-095</t>
  </si>
  <si>
    <t>https://drive.google.com/file/d/1C2JlZjkDaK8OgTY-cYxeYmEyLbjD7_4c/view?usp=share_link</t>
  </si>
  <si>
    <t>ESP-DAI-096</t>
  </si>
  <si>
    <t>https://drive.google.com/file/d/1YPltWqi6iibsWqS7j85bmo_-9CSycgdY/view?usp=share_link</t>
  </si>
  <si>
    <t>C1UG TRASERO</t>
  </si>
  <si>
    <t xml:space="preserve">C1UG TRASERO </t>
  </si>
  <si>
    <t>ESP-DAI-097</t>
  </si>
  <si>
    <t>https://drive.google.com/file/d/1Kg0Xz8PYoLN_7WWjpWdTdkGUfUn8h_ng/view?usp=share_link</t>
  </si>
  <si>
    <t>ESP-DAI-098</t>
  </si>
  <si>
    <t>https://drive.google.com/file/d/1DAMK8ID6gkcF8cK4xL-WOgtXLpR56i96/view?usp=share_link</t>
  </si>
  <si>
    <t>ESP-DAI-099</t>
  </si>
  <si>
    <t>https://drive.google.com/file/d/1-heBwDFCrGO0elBHKzuBSFAm05ZmfT8P/view?usp=share_link</t>
  </si>
  <si>
    <t>PAD ASY RRST 5 CODERAS</t>
  </si>
  <si>
    <t>PAD ASY RRST 5 CORDERAS</t>
  </si>
  <si>
    <t>ESP-DAI-100</t>
  </si>
  <si>
    <t>https://drive.google.com/file/d/1qAje3cBDniU56oWlzXStEA_z-wsFCZQc/view?usp=share_link</t>
  </si>
  <si>
    <t>ESP-DAI-101</t>
  </si>
  <si>
    <t>https://drive.google.com/file/d/1hUz3MfiYK1G6wVfqFbls2CyP7eUJR5YP/view?usp=share_link</t>
  </si>
  <si>
    <t>ESP-DAI-102</t>
  </si>
  <si>
    <t>https://drive.google.com/file/d/1TCKxJMU5L_KF04uF9U0vNlt5S76xfCPO/view?usp=share_link</t>
  </si>
  <si>
    <t>MDX</t>
  </si>
  <si>
    <t>MDX-15 VISERAS</t>
  </si>
  <si>
    <t>ESP-DAI-103</t>
  </si>
  <si>
    <t>https://drive.google.com/file/d/117XrnYdNPwXZWsJCtXwZUWmZuPReBb3z/view?usp=share_link</t>
  </si>
  <si>
    <t>ESP-DAI-104</t>
  </si>
  <si>
    <t>https://drive.google.com/file/d/1RH1D319dVDFM8m-R6l-BR4vjE8eg9GLc/view?usp=share_link</t>
  </si>
  <si>
    <t>ESP-DAI-105</t>
  </si>
  <si>
    <t>https://drive.google.com/file/d/1gJQDs0PMz2Iz_r9Muc1D2_cfmytIYKbH/view?usp=share_link</t>
  </si>
  <si>
    <t>CODERA BMW</t>
  </si>
  <si>
    <t>ESP-DAI-106</t>
  </si>
  <si>
    <t>https://drive.google.com/file/d/1JUqgF5GA4F_DS9TKZXCy7n57oFQ1bw0D/view?usp=share_link</t>
  </si>
  <si>
    <t>ESP-DAI-107</t>
  </si>
  <si>
    <t>https://drive.google.com/file/d/16sUccEkk2oSUcH1yBzmogq4lCmtYSxWx/view?usp=share_link</t>
  </si>
  <si>
    <t>ESP-DAI-108</t>
  </si>
  <si>
    <t>https://drive.google.com/file/d/1mrL__vie294_mVgpgQ93p0ZYLyImmfGG/view?usp=share_link</t>
  </si>
  <si>
    <t>48 CAV COROPLAST</t>
  </si>
  <si>
    <t>REJILLA COROPLAST</t>
  </si>
  <si>
    <t>ESP-DAI-109</t>
  </si>
  <si>
    <t>https://drive.google.com/file/d/1Hrr3_c4YHAetleClnYl4jwTbo5prtfH3/view?usp=share_link</t>
  </si>
  <si>
    <t>ESP-DAI-110</t>
  </si>
  <si>
    <t>https://drive.google.com/file/d/1pXNYgLo0Ak5I3-47uC4_7hYLuSKyJ5R4/view?usp=share_link</t>
  </si>
  <si>
    <t>ESP-DAI-111</t>
  </si>
  <si>
    <t>https://drive.google.com/file/d/1YSAht76tFMGMvs0iHhwM5IJz41I3IGOQ/view?usp=share_link</t>
  </si>
  <si>
    <t>TLX-12 VISERAS</t>
  </si>
  <si>
    <t>ESP-DAI-112</t>
  </si>
  <si>
    <t>https://drive.google.com/file/d/1lvF9yC7oQKtxV_N50j78EcovcjKj9_to/view?usp=share_link</t>
  </si>
  <si>
    <t>ESP-DAI-113</t>
  </si>
  <si>
    <t>https://drive.google.com/file/d/1KD3EHnJcI7BCepzX5DnWLmpWkNFhenGg/view?usp=share_link</t>
  </si>
  <si>
    <t>ESP-DAI-114</t>
  </si>
  <si>
    <t>https://drive.google.com/file/d/1o_W7dkebSHTsGwiodFLeiLPB8zD52Zj3/view?usp=share_link</t>
  </si>
  <si>
    <t>REJILLA 55 CAV</t>
  </si>
  <si>
    <t>ESP-DAI-115</t>
  </si>
  <si>
    <t>https://drive.google.com/file/d/1j7B2LRjMktdtZOTMBDogEEQTgsI_IyRn/view?usp=share_link</t>
  </si>
  <si>
    <t>ESP-DAI-116</t>
  </si>
  <si>
    <t>https://drive.google.com/file/d/1yMr8sNvdSDHR85jdulFHiBUJgey62F2s/view?usp=share_link</t>
  </si>
  <si>
    <t>G005</t>
  </si>
  <si>
    <t>TROQ TELESCÓPICA</t>
  </si>
  <si>
    <t>ESP-DAI-117</t>
  </si>
  <si>
    <t>https://drive.google.com/file/d/1YlHVDlHsCxDxLIb8VX5Ucm2lo29ttZSs/view?usp=share_link</t>
  </si>
  <si>
    <t>G006</t>
  </si>
  <si>
    <t>ESP-DAI-118</t>
  </si>
  <si>
    <t>https://drive.google.com/file/d/1szeT0QWdWUqxFgQAUBym_Zyd0yaym18C/view?usp=share_link</t>
  </si>
  <si>
    <t>ESP-DAI-119</t>
  </si>
  <si>
    <t>https://drive.google.com/file/d/1b8qJDVjwmHQjUpPbquzGH0zUSDH7P2AI/view?usp=share_link</t>
  </si>
  <si>
    <t>ESP-DAI-120</t>
  </si>
  <si>
    <t>https://drive.google.com/file/d/1V5ldA488TZJTlz01G7axb5ZscdBpVEOk/view?usp=share_link</t>
  </si>
  <si>
    <t>PKG0071</t>
  </si>
  <si>
    <t>ANTICLIPEO PKG0071</t>
  </si>
  <si>
    <t>ESP-DAI-121</t>
  </si>
  <si>
    <t>https://drive.google.com/file/d/1AkCySbu1ASSIHwnlW2ZJAPcCNRXBQBCt/view?usp=share_link</t>
  </si>
  <si>
    <t>PKG0067</t>
  </si>
  <si>
    <t>HONDA MALASYA</t>
  </si>
  <si>
    <t>ESP-DAI-122</t>
  </si>
  <si>
    <t>https://drive.google.com/file/d/1jOkZep1yKHw09AzsYU4YKBTNC9fjvMZJ/view?usp=share_link</t>
  </si>
  <si>
    <t>ESP-DAI-123</t>
  </si>
  <si>
    <t>https://drive.google.com/file/d/1b6pbEAXBUeA4wLUAD6AxDNC29A5r4In5/view?usp=share_link</t>
  </si>
  <si>
    <t>ESP-DAI-124</t>
  </si>
  <si>
    <t>https://drive.google.com/file/d/1wWkMQAEez5i9nYH0eQXY1iFAyn2wKBcN/view?usp=share_link</t>
  </si>
  <si>
    <t>VW TIGUAN</t>
  </si>
  <si>
    <t>ESP-DAI-125</t>
  </si>
  <si>
    <t>https://drive.google.com/file/d/1dVYEdlX2cRqs4dGWEhFOmfbkL-FEewaO/view?usp=share_link</t>
  </si>
  <si>
    <t>ESP-DAI-126</t>
  </si>
  <si>
    <t>https://drive.google.com/file/d/1GvygMPsmiE3Kv_4JGhaDDLCSiChmPo04/view?usp=share_link</t>
  </si>
  <si>
    <t>ESP-DAI-127</t>
  </si>
  <si>
    <t>https://drive.google.com/file/d/1x3j3sVuoZJ7KV9QHR4977cX3sb1uPjaX/view?usp=share_link</t>
  </si>
  <si>
    <t>ESP-DAI-128</t>
  </si>
  <si>
    <t>KBB43-20</t>
  </si>
  <si>
    <t>ESP-DAI-129</t>
  </si>
  <si>
    <t>https://drive.google.com/file/d/1OeNH4Ba_ig9sBwGj4meL1a41juI5MF13/view?usp=share_link</t>
  </si>
  <si>
    <t>KBB43 SOR</t>
  </si>
  <si>
    <t>ESP-DAI-130</t>
  </si>
  <si>
    <t>https://drive.google.com/file/d/1SFKlxNmXPtUADh8nnPIVSeMZVvjVRrcm/view?usp=share_link</t>
  </si>
  <si>
    <t>ESP-DAI-131</t>
  </si>
  <si>
    <t>https://drive.google.com/file/d/1vusbulEF9i9mQqZvfFpgeWvuujI56qZ-/view?usp=share_link</t>
  </si>
  <si>
    <t>BRACKET 42</t>
  </si>
  <si>
    <t>ESP-DAI-132</t>
  </si>
  <si>
    <t>https://drive.google.com/file/d/1hRhfsbCmqz5A9cGyrbFXn1n-icf5JJRx/view?usp=share_link</t>
  </si>
  <si>
    <t>ESP-DAI-133</t>
  </si>
  <si>
    <t>https://drive.google.com/file/d/1_9aztlsh31xBO2L9BhCvkE_ADLSUlKfY/view?usp=share_link</t>
  </si>
  <si>
    <t>ESP-DAI-134</t>
  </si>
  <si>
    <t>https://drive.google.com/file/d/1X0_NHjLse8uI6oPsvI9tWH5-GtIgZHLT/view?usp=share_link</t>
  </si>
  <si>
    <t>PKG004615</t>
  </si>
  <si>
    <t>SEP PAPEL</t>
  </si>
  <si>
    <t>ESP-DAI-135</t>
  </si>
  <si>
    <t>https://drive.google.com/file/d/1dJfOMT_ERBtU4z79dqx06UPRZPCxtgE-/view?usp=share_link</t>
  </si>
  <si>
    <t>ESP-DAI-136</t>
  </si>
  <si>
    <t>https://drive.google.com/file/d/1-wO_kHbkt6iJuiayx-KHiETteakghC8B/view?usp=share_link</t>
  </si>
  <si>
    <t>PKG0021</t>
  </si>
  <si>
    <t>ESP-DAI-137</t>
  </si>
  <si>
    <t>https://drive.google.com/file/d/1ptpNY9rMiZtOtx8WJ-Etwb3JBX5I5pcp/view?usp=share_link</t>
  </si>
  <si>
    <t>PKG0013</t>
  </si>
  <si>
    <t>ESP-DAI-138</t>
  </si>
  <si>
    <t>https://drive.google.com/file/d/1QKUUc1MF32Sf1QuOZA78MzQ7NiX7uduu/view?usp=share_link</t>
  </si>
  <si>
    <t>ESP-DAI-139</t>
  </si>
  <si>
    <t>https://drive.google.com/file/d/1pTbXLbh6X6CsPLGOwZtM48v0p1yUYMON/view?usp=share_link</t>
  </si>
  <si>
    <t>VV0049</t>
  </si>
  <si>
    <t>ESP-DAI-140</t>
  </si>
  <si>
    <t>https://drive.google.com/file/d/1DKBJ1LQTPOmxXvAYgyFDSbslXpQ62Ncj/view?usp=share_link</t>
  </si>
  <si>
    <t>VV6338</t>
  </si>
  <si>
    <t>ESP-DAI-141</t>
  </si>
  <si>
    <t>https://drive.google.com/file/d/1FYGDzYXaIW6sSkaGilY8TIc1zCNbkHdM/view?usp=share_link</t>
  </si>
  <si>
    <t>ESP-DAI-142</t>
  </si>
  <si>
    <t>https://drive.google.com/file/d/1bthhB0VfgnH3Kf5MG4pCMPaBoP0U5Gkp/view?usp=share_link</t>
  </si>
  <si>
    <t>ESP-DAI-143</t>
  </si>
  <si>
    <t>https://drive.google.com/file/d/1R2otgKeg9c6_ZR04TXLAZWO8kgIrylzh/view?usp=share_link</t>
  </si>
  <si>
    <t>VL3091</t>
  </si>
  <si>
    <t>42 CAV</t>
  </si>
  <si>
    <t>ESP-DAI-144</t>
  </si>
  <si>
    <t>https://drive.google.com/file/d/1ZK3QldiiXKHgilH5NRjzHOg5OzplUrDU/view?usp=share_link</t>
  </si>
  <si>
    <t>ESP-DAI-145</t>
  </si>
  <si>
    <t>https://drive.google.com/file/d/13OST33cvdQMcNMBmq9IwuK09cRLw62sC/view?usp=share_link</t>
  </si>
  <si>
    <t>ESP-DAI-146</t>
  </si>
  <si>
    <t>https://drive.google.com/file/d/17iTquq4-PwRuc5Aw3xBwxwSfOUPQBCDl/view?usp=share_link</t>
  </si>
  <si>
    <t>ESP-DAI-147</t>
  </si>
  <si>
    <t>https://drive.google.com/file/d/1YT0pyPi6PU_eTcVtyyGyq7iHsRvtSPV6/view?usp=share_link</t>
  </si>
  <si>
    <t>ESP-DAI-148</t>
  </si>
  <si>
    <t>https://drive.google.com/file/d/1zFQxw9ngBZ7evsTOHRH-0VYhPUi6S3yS/view?usp=share_link</t>
  </si>
  <si>
    <t>ESP-DAI-149</t>
  </si>
  <si>
    <t>https://drive.google.com/file/d/1sVHz57LmPEdfg3ZX4-NvP5lr56NsXUQY/view?usp=share_link</t>
  </si>
  <si>
    <t>15 CAV</t>
  </si>
  <si>
    <t>ESP-DAI-150</t>
  </si>
  <si>
    <t>https://drive.google.com/file/d/116WKWSPTirq5O_jZ6gL8HJPZZYkJtlsu/view?usp=share_link</t>
  </si>
  <si>
    <t>ESP-DAI-151</t>
  </si>
  <si>
    <t>https://drive.google.com/file/d/1OHKh8hV_wZnYCIbZDdv6AasVSU6hH3RF/view?usp=share_link</t>
  </si>
  <si>
    <t>LEXUS TOYOTA</t>
  </si>
  <si>
    <t>ESP-DAI-152</t>
  </si>
  <si>
    <t>https://drive.google.com/file/d/1-slcjXrNdnNQbtC7tq2cYHk3r-BbA5SO/view?usp=share_link</t>
  </si>
  <si>
    <t>ESP-DAI-153</t>
  </si>
  <si>
    <t>CUP HOLDER</t>
  </si>
  <si>
    <t>PKG0124</t>
  </si>
  <si>
    <t>ESP-DAI-154</t>
  </si>
  <si>
    <t>https://drive.google.com/file/d/1qVpfJMkWz-oH1S6k354l78FXHjjGm2L1/view?usp=share_link</t>
  </si>
  <si>
    <t>ESP-DAI-155</t>
  </si>
  <si>
    <t>https://drive.google.com/file/d/1JhBdyQ-x_wl9Otmg4Idh0SMVDe_lTomE/view?usp=share_link</t>
  </si>
  <si>
    <t>ESP-DAI-156</t>
  </si>
  <si>
    <t>https://drive.google.com/file/d/1GxMKw9bRVJGaaut8LI2Ndf1iLc1od9Zm/view?usp=share_link</t>
  </si>
  <si>
    <t>ESP-DAI-157</t>
  </si>
  <si>
    <t>https://drive.google.com/file/d/1PXuf7LRZso_5fXxLHpW4sUMTE4k5hpEU/view?usp=share_link</t>
  </si>
  <si>
    <t>PKG0125</t>
  </si>
  <si>
    <t>ESP-DAI-158</t>
  </si>
  <si>
    <t>https://drive.google.com/file/d/1nZ7P5t0JebzkaH1DrS14W1TKooieqwHt/view?usp=share_link</t>
  </si>
  <si>
    <t>5 CAV</t>
  </si>
  <si>
    <t>ESP-DAI-159</t>
  </si>
  <si>
    <t>https://drive.google.com/file/d/1NpAvFh3TVwqhj6tMu_PFWntKBRwJWAMH/view?usp=share_link</t>
  </si>
  <si>
    <t>ESP-DAI-160</t>
  </si>
  <si>
    <t>https://drive.google.com/file/d/1UlKR3fEx5F5_vdHkSLP8WLbxAdGUoW7R/view?usp=share_link</t>
  </si>
  <si>
    <t>RIVIAN OHC</t>
  </si>
  <si>
    <t>ESP-DAI-161</t>
  </si>
  <si>
    <t>https://drive.google.com/file/d/1XSyUmIUuQl3mMyVAl8C8fcPicvCj4Nx0/view?usp=share_link</t>
  </si>
  <si>
    <t>ESP-DAI-162</t>
  </si>
  <si>
    <t>https://drive.google.com/file/d/1USCRWIiBcq-U-4JT0SE_xIltkoZKQFOC/view?usp=share_link</t>
  </si>
  <si>
    <t>ESP-DAI-163</t>
  </si>
  <si>
    <t>https://drive.google.com/file/d/1eQpjgmfqImcMJDEO9RL1Hc4fTricN_ZL/view?usp=share_link</t>
  </si>
  <si>
    <t>ESP-DAI-164</t>
  </si>
  <si>
    <t>https://drive.google.com/file/d/1ixXiMkU4dFwENNuQhsyCukjQ4PFdiV4S/view?usp=share_link</t>
  </si>
  <si>
    <t>SEP MALASYA</t>
  </si>
  <si>
    <t>ESP-DAI-165</t>
  </si>
  <si>
    <t>https://drive.google.com/file/d/19PwdCtMycXPuc6KgD1nNdoN_GGBIUI3U/view?usp=share_link</t>
  </si>
  <si>
    <t>CUP-HOLDER</t>
  </si>
  <si>
    <t>ESP-DAI-166</t>
  </si>
  <si>
    <t>T1XX-C</t>
  </si>
  <si>
    <t>ESP-DAI-167</t>
  </si>
  <si>
    <t>https://drive.google.com/file/d/1MYCL5lPJSJE2u5QtBoyRvj8a1RtTsSou/view?usp=share_link</t>
  </si>
  <si>
    <t>ESP-DAI-168</t>
  </si>
  <si>
    <t>https://drive.google.com/file/d/1gRGn4W4gGTLlknDx1xvBbJkaGsiS6wNA/view?usp=share_link</t>
  </si>
  <si>
    <t>ESP-DAI-169</t>
  </si>
  <si>
    <t>ESP-DAI-170</t>
  </si>
  <si>
    <t>ESP-DAI-171</t>
  </si>
  <si>
    <t>ESP-DAI-172</t>
  </si>
  <si>
    <t>P558</t>
  </si>
  <si>
    <t>KING RANCH</t>
  </si>
  <si>
    <t>ESP-DAI-173</t>
  </si>
  <si>
    <t>https://drive.google.com/file/d/1mMHizwQ_FjEZQ9B4Mgv8fZ_0_XVO3zCI/view?usp=share_link</t>
  </si>
  <si>
    <t>ESP-DAI-174</t>
  </si>
  <si>
    <t>ESP-DAI-175</t>
  </si>
  <si>
    <t>ESP-DAI-176</t>
  </si>
  <si>
    <t>ESP-DAI-177</t>
  </si>
  <si>
    <t>ESP-DAI-178</t>
  </si>
  <si>
    <t>ESP-DAI-179</t>
  </si>
  <si>
    <t>VINILES PKG0157</t>
  </si>
  <si>
    <t>ESP-DAI-180</t>
  </si>
  <si>
    <t>https://drive.google.com/file/d/14UZS5xlKzlZWT4YH-GAuKwKbiLW-eefY/view?usp=share_link</t>
  </si>
  <si>
    <t>INDIVIDUAL PKG0156</t>
  </si>
  <si>
    <t>ESP-DAI-181</t>
  </si>
  <si>
    <t>https://drive.google.com/file/d/1kymjjXZmYLPqJVOOd1-ugVBSP14Zu1bU/view?usp=share_link</t>
  </si>
  <si>
    <t>ESP-DAI-182</t>
  </si>
  <si>
    <t>https://drive.google.com/file/d/1epz2FAn7DRCbxPstkW2_eXtUxlGCQG_S/view?usp=share_link</t>
  </si>
  <si>
    <t>ESP-DAI-183</t>
  </si>
  <si>
    <t>ESP-DAI-184</t>
  </si>
  <si>
    <t>DELPHI DIESEL</t>
  </si>
  <si>
    <t>ESP-DD-001</t>
  </si>
  <si>
    <t>https://drive.google.com/file/d/1MwGVzE3dnE9gOBXiJGTbrV-gNOi8iXdU/view?usp=share_link</t>
  </si>
  <si>
    <t>9069-292</t>
  </si>
  <si>
    <t>ESP-DD-002</t>
  </si>
  <si>
    <t>https://drive.google.com/file/d/17fvAKd36sNC-fTHp5ncXzj4cqSTsTr6h/view?usp=share_link</t>
  </si>
  <si>
    <t>9069-409</t>
  </si>
  <si>
    <t>ESP-DD-003</t>
  </si>
  <si>
    <t>https://drive.google.com/file/d/1YP5hTp2vSpq0W7q2-3NNMFNjrN-VlAYI/view?usp=share_link</t>
  </si>
  <si>
    <t>ESP-DD-004</t>
  </si>
  <si>
    <t>https://drive.google.com/file/d/19rO6LjA1BXDpX3et_LGqQ-rI09W-MdXc/view?usp=share_link</t>
  </si>
  <si>
    <t>9069-193</t>
  </si>
  <si>
    <t>ESP-DD-005</t>
  </si>
  <si>
    <t>https://drive.google.com/file/d/1l4bA1WW9XOh2LonmAQ0AhGW2sG8gjLTZ/view?usp=share_link</t>
  </si>
  <si>
    <t>9069-204 B</t>
  </si>
  <si>
    <t>ESP-DD-006</t>
  </si>
  <si>
    <t>https://drive.google.com/file/d/1iZZR5oXBeTitpkp5BMjId_f6tP9EqZog/view?usp=share_link</t>
  </si>
  <si>
    <t>9069-353 C</t>
  </si>
  <si>
    <t>ESP-DD-007</t>
  </si>
  <si>
    <t>https://drive.google.com/file/d/1sasoHgBzlCUux4AbDvaN3C44A7VEjgUD/view?usp=share_link</t>
  </si>
  <si>
    <t>9069-53</t>
  </si>
  <si>
    <t>ESP-DD-008</t>
  </si>
  <si>
    <t>https://drive.google.com/file/d/1qMeyqoikJt7vxQhbRUOl75zSVzIJyKRN/view?usp=share_link</t>
  </si>
  <si>
    <t>ESP-DD-009</t>
  </si>
  <si>
    <t>https://drive.google.com/file/d/1i-7eZdNF5DPBcUC8Pud2QQNV5KD1JAQg/view?usp=share_link</t>
  </si>
  <si>
    <t>ESP-DD-010</t>
  </si>
  <si>
    <t>https://drive.google.com/file/d/1czo9bC7wUeSRQ-y0-SnrUNYUk8OjhKxl/view?usp=share_link</t>
  </si>
  <si>
    <t>9059-352</t>
  </si>
  <si>
    <t>ESP-DD-011</t>
  </si>
  <si>
    <t>https://drive.google.com/file/d/1PGYslkCX3WaHCASnrREMyRmTK5VFDau4/view?usp=share_link</t>
  </si>
  <si>
    <t>PAQUETERIA 1</t>
  </si>
  <si>
    <t>ESP-DD-012</t>
  </si>
  <si>
    <t>https://drive.google.com/file/d/1hOazHnkhBvX1t6TlLpAjoWlzyt8VwJJ6/view?usp=share_link</t>
  </si>
  <si>
    <t>28 X 7 X 27 cm</t>
  </si>
  <si>
    <t>PAQUETERIA</t>
  </si>
  <si>
    <t>ESP-DD-013</t>
  </si>
  <si>
    <t>https://drive.google.com/file/d/1y3RfDjlYSRNqSsma_IpNlvDEqvugArxe/view?usp=share_link</t>
  </si>
  <si>
    <t>DENSO</t>
  </si>
  <si>
    <t>LS10D + 3"</t>
  </si>
  <si>
    <t>ESP-DSO-001</t>
  </si>
  <si>
    <t>https://drive.google.com/file/d/1ivTydqeJKOJSw1X0l7D3LsCOQN2-5tuT/view?usp=share_link</t>
  </si>
  <si>
    <t>LS2A</t>
  </si>
  <si>
    <t>ESP-DSO-002</t>
  </si>
  <si>
    <t>https://drive.google.com/file/d/10q1bxRip2rs9WBVJfYRtxRbeRK1yYnTU/view?usp=share_link</t>
  </si>
  <si>
    <t>NISSAN</t>
  </si>
  <si>
    <t>ESP-DSO-003</t>
  </si>
  <si>
    <t>https://drive.google.com/file/d/1LK2mricr_sNeJo16N9mc5q-knGECZ3nQ/view?usp=share_link</t>
  </si>
  <si>
    <t>TAPA CDMD</t>
  </si>
  <si>
    <t>LS1A</t>
  </si>
  <si>
    <t>ESP-DSO-004</t>
  </si>
  <si>
    <t>https://drive.google.com/file/d/1SfZwZJGVdh2ith7dW9C2Ueer_pNd7Ck5/view?usp=share_link</t>
  </si>
  <si>
    <t>TAPA TUBO</t>
  </si>
  <si>
    <t>ESP-DSO-005</t>
  </si>
  <si>
    <t>https://drive.google.com/file/d/1r7QzIwfmTR2K8R-8fpOiOYJjH3wrEYQi/view?usp=share_link</t>
  </si>
  <si>
    <t>LS7D</t>
  </si>
  <si>
    <t>ESP-DSO-006</t>
  </si>
  <si>
    <t>https://drive.google.com/file/d/1ilyqCkuWwZYdAwJKB2T3adGKZunwgegV/view?usp=share_link</t>
  </si>
  <si>
    <t>ESP-DSO-007</t>
  </si>
  <si>
    <t>https://drive.google.com/file/d/1Xq4vUufFcnMylfm6hk3i3h9bSZLIakNt/view?usp=share_link</t>
  </si>
  <si>
    <t>ASMI</t>
  </si>
  <si>
    <t>ESP-DSO-008</t>
  </si>
  <si>
    <t>https://drive.google.com/file/d/1MA4SaMxuHXazkYZAsn4LEYlZreDKEHQM/view?usp=share_link</t>
  </si>
  <si>
    <t>LS324</t>
  </si>
  <si>
    <t>ESP-DSO-009</t>
  </si>
  <si>
    <t>https://drive.google.com/file/d/1jNNyy4-Sdm_k_tdPH_Ob7sudjzSt7R4g/view?usp=share_link</t>
  </si>
  <si>
    <t>LS4F</t>
  </si>
  <si>
    <t>ESP-DSO-010</t>
  </si>
  <si>
    <t>https://drive.google.com/file/d/1z_tjFdAeWuUNVJ9lbHYinGGD8dMYLQZ1/view?usp=share_link</t>
  </si>
  <si>
    <t>LS7H</t>
  </si>
  <si>
    <t>ESP-DSO-011</t>
  </si>
  <si>
    <t>https://drive.google.com/file/d/1IH3jOqPXFOy7FDThT6zc1naa2b--ZP5d/view?usp=share_link</t>
  </si>
  <si>
    <t>LS7M</t>
  </si>
  <si>
    <t>ESP-DSO-012</t>
  </si>
  <si>
    <t>https://drive.google.com/file/d/1eORZJ0aBar7MymVT_Ez95shEkw7YldQH/view?usp=share_link</t>
  </si>
  <si>
    <t>ESP-DSO-013</t>
  </si>
  <si>
    <t>https://drive.google.com/file/d/1n7-_wE7LRYCIH_ctCNz0LswMYBhbJ3uQ/view?usp=share_link</t>
  </si>
  <si>
    <t>LS6F</t>
  </si>
  <si>
    <t>ESP-DSO-014</t>
  </si>
  <si>
    <t>https://drive.google.com/file/d/1obI_MN0B-p7uLQDwDYr_ATa23Lqe5DSC/view?usp=share_link</t>
  </si>
  <si>
    <t>ESP-DSO-015</t>
  </si>
  <si>
    <t>https://drive.google.com/file/d/1RN6FM8Hnv81pdlU5_V2n7FsWBw1JbbwG/view?usp=share_link</t>
  </si>
  <si>
    <t>LS4H</t>
  </si>
  <si>
    <t>ESP-DSO-016</t>
  </si>
  <si>
    <t>https://drive.google.com/file/d/1zUNt-3fx6N7rgo12NQWQdOkSlMZvth0g/view?usp=share_link</t>
  </si>
  <si>
    <t>ESP-DSO-017</t>
  </si>
  <si>
    <t>https://drive.google.com/file/d/19LR-AO5U2ZghkyXeZ4n3CwrjboitlFIO/view?usp=share_link</t>
  </si>
  <si>
    <t>LS5M</t>
  </si>
  <si>
    <t>ESP-DSO-018</t>
  </si>
  <si>
    <t>https://drive.google.com/file/d/1dwUjrbK7DlvE9PSLL8QOhrcmxcWxYboC/view?usp=share_link</t>
  </si>
  <si>
    <t>LS4M</t>
  </si>
  <si>
    <t>ESP-DSO-019</t>
  </si>
  <si>
    <t>https://drive.google.com/file/d/1Wp6JpPsVps8WrJODxq1S1qVFk0Qy4Hb8/view?usp=share_link</t>
  </si>
  <si>
    <t>ESP-DSO-020</t>
  </si>
  <si>
    <t>https://drive.google.com/file/d/1KrXIjtRc7IOkh2sU19FKVEmgsMhkeswD/view?usp=share_link</t>
  </si>
  <si>
    <t>ESP-DSO-021</t>
  </si>
  <si>
    <t>https://drive.google.com/file/d/1jI3jIZHCNVZ89Wew67vnssqJroP9alND/view?usp=share_link</t>
  </si>
  <si>
    <t>AMSI</t>
  </si>
  <si>
    <t>ESP-DSO-022</t>
  </si>
  <si>
    <t>https://drive.google.com/file/d/1CVFoR_aqquX7bCJXmo1GU6nr6ulOHf4Y/view?usp=share_link</t>
  </si>
  <si>
    <t>CAMA 10D</t>
  </si>
  <si>
    <t>ESP-DSO-023</t>
  </si>
  <si>
    <t>https://drive.google.com/file/d/1lDOSKXrPVxmktLnNQ0CH22lt2wNISw42/view?usp=share_link</t>
  </si>
  <si>
    <t>MANGA 10D</t>
  </si>
  <si>
    <t>ESP-DSO-024</t>
  </si>
  <si>
    <t>https://drive.google.com/file/d/1BYg7N58le_3zJg8VB5vnG9whraKkXaKf/view?usp=share_link</t>
  </si>
  <si>
    <t>TUBO BK25</t>
  </si>
  <si>
    <t>ESP-DSO-025</t>
  </si>
  <si>
    <t>https://drive.google.com/file/d/1JMiHzWYtYH4uk1khrUQNWHLPtf3u1cjQ/view?usp=share_link</t>
  </si>
  <si>
    <t>TUBO LS10D</t>
  </si>
  <si>
    <t>RUBO LS10D</t>
  </si>
  <si>
    <t>ESP-DSO-026</t>
  </si>
  <si>
    <t>https://drive.google.com/file/d/122q1xPwWbXp0PVnIw-Ao8DGLGsvhZCiT/view?usp=share_link</t>
  </si>
  <si>
    <t>TUBO 0401</t>
  </si>
  <si>
    <t>ESP-DSO-027</t>
  </si>
  <si>
    <t>https://drive.google.com/file/d/11cXWIBovkqlU1vrgamcEPtsNYQtKdSpR/view?usp=share_link</t>
  </si>
  <si>
    <t>CAJA LS5M RUSS</t>
  </si>
  <si>
    <t>ESP-DSO-028</t>
  </si>
  <si>
    <t>https://drive.google.com/file/d/1FnjvC81Ad9INryK53HRBgVQNvYRYD07D/view?usp=share_link</t>
  </si>
  <si>
    <t>CAJA LS7D RUSS</t>
  </si>
  <si>
    <t>ESP-DSO-029</t>
  </si>
  <si>
    <t>https://drive.google.com/file/d/1nLphZ1yvtzQHtFbXnAhwpOdyzOrWKine/view?usp=share_link</t>
  </si>
  <si>
    <t>TAPA PKGLS7L</t>
  </si>
  <si>
    <t>TAPA PKGS7L</t>
  </si>
  <si>
    <t>ESP-DSO-030</t>
  </si>
  <si>
    <t>https://drive.google.com/file/d/1q81XCkJ2Z5DoB0jKPe24xJIcDty-hvod/view?usp=share_link</t>
  </si>
  <si>
    <t>CAJA PKGLS7L</t>
  </si>
  <si>
    <t>ESP-DSO-031</t>
  </si>
  <si>
    <t>https://drive.google.com/file/d/1y1cErS2VuG43o8TOChRGQc15GJEYhsfF/view?usp=share_link</t>
  </si>
  <si>
    <t>TUBO 1A</t>
  </si>
  <si>
    <t>ESP-DSO-032</t>
  </si>
  <si>
    <t>https://drive.google.com/file/d/1J0cZvuUkwpEE4wylvIhrGKNNNRpingCW/view?usp=share_link</t>
  </si>
  <si>
    <t>CHAROLA ASMI-4</t>
  </si>
  <si>
    <t>ESP-DSO-033</t>
  </si>
  <si>
    <t>https://drive.google.com/file/d/1vdA2D5nhGXntXPf4bCcmdyb0EUtp-FY_/view?usp=share_link</t>
  </si>
  <si>
    <t>SEPARADOR 10D</t>
  </si>
  <si>
    <t>ESP-DSO-034</t>
  </si>
  <si>
    <t>https://drive.google.com/file/d/10GS_2UIZOlBSxqmIOCZGRyi-cEopz-i6/view?usp=share_link</t>
  </si>
  <si>
    <t>ESP-DSO-035</t>
  </si>
  <si>
    <t>https://drive.google.com/file/d/1ElwfLp7JKHQuNwL4R2VQRX2ent62gvgr/view?usp=share_link</t>
  </si>
  <si>
    <t>TAPA LS7D RUSS</t>
  </si>
  <si>
    <t>ESP-DSO-036</t>
  </si>
  <si>
    <t>https://drive.google.com/file/d/1DyTWgO9KS22oow_y9ssnsp9IDXkCrAHQ/view?usp=share_link</t>
  </si>
  <si>
    <t>PKG-4500</t>
  </si>
  <si>
    <t>ESP-DSO-037</t>
  </si>
  <si>
    <t>https://drive.google.com/file/d/1c7EKq_qbMcA7xhzFjhEciaALnzhn4eYy/view?usp=share_link</t>
  </si>
  <si>
    <t>PKG-6771</t>
  </si>
  <si>
    <t>ESP-DSO-038</t>
  </si>
  <si>
    <t>https://drive.google.com/file/d/1A_sI3xjEtHmfqoHTu2gDNJBKauSJ4OkC/view?usp=share_link</t>
  </si>
  <si>
    <t>TUBO PKG8H</t>
  </si>
  <si>
    <t>ESP-DSO-039</t>
  </si>
  <si>
    <t>https://drive.google.com/file/d/1Y9uuz9n2Nkm1mRgv88cMj5FnvFzACHd0/view?usp=share_link</t>
  </si>
  <si>
    <t>ESP-DSO-040</t>
  </si>
  <si>
    <t>https://drive.google.com/file/d/1ER2BdX9v5SMMuJDOQ1KoukvUFAAeBR00/view?usp=share_link</t>
  </si>
  <si>
    <t>DUNAGE 4830</t>
  </si>
  <si>
    <t>ESP-DSO-041</t>
  </si>
  <si>
    <t>https://drive.google.com/file/d/1AgvKssVhkMLHuOx0KJ46_XePC-pfmI8W/view?usp=share_link</t>
  </si>
  <si>
    <t>ESP-DSO-042</t>
  </si>
  <si>
    <t>https://drive.google.com/file/d/1ipLD1pEZgpqjEkSTzncRAJuBDi1XtoXg/view?usp=share_link</t>
  </si>
  <si>
    <t>ESP-DSO-043</t>
  </si>
  <si>
    <t>https://drive.google.com/file/d/1e2LU0-I7hfJBM42HiAMS_pxTerLLnXgP/view?usp=share_link</t>
  </si>
  <si>
    <t>ESP-DSO-044</t>
  </si>
  <si>
    <t>https://drive.google.com/file/d/1UxgzdTDmDl6YUWAqokYsNnkDy65qAxcs/view?usp=share_link</t>
  </si>
  <si>
    <t>ESP-DSO-045</t>
  </si>
  <si>
    <t>https://drive.google.com/file/d/18XPldZ8WlSeKzrLOAZrZIttrTaWj5rCL/view?usp=share_link</t>
  </si>
  <si>
    <t>ESP-DSO-046</t>
  </si>
  <si>
    <t>https://drive.google.com/file/d/1lXtTpgttmeElXsCxlDwP34WtXjBDpBjE/view?usp=share_link</t>
  </si>
  <si>
    <t>TUBO 4580</t>
  </si>
  <si>
    <t>ESP-DSO-047</t>
  </si>
  <si>
    <t>https://drive.google.com/file/d/1mGVQsgs1ZZJ6v_wD2zfG3qLar0SAwTzL/view?usp=share_link</t>
  </si>
  <si>
    <t>ESP-DSO-048</t>
  </si>
  <si>
    <t>https://drive.google.com/file/d/1YrBKfCHMKEkl7He6YCb5RsvhjGYs-4tl/view?usp=share_link</t>
  </si>
  <si>
    <t>BLOCK LAMINADO</t>
  </si>
  <si>
    <t>ESP-DSO-049</t>
  </si>
  <si>
    <t>https://drive.google.com/file/d/196ja4UedlXtizuMx0iwbnH0GuUdbgVBN/view?usp=share_link</t>
  </si>
  <si>
    <t>BLOCK CINTADO ASMX</t>
  </si>
  <si>
    <t>ESP-DSO-050</t>
  </si>
  <si>
    <t>https://drive.google.com/file/d/1qR6yvFryS41IzmFh3w4ufuCMTK5qnekW/view?usp=share_link</t>
  </si>
  <si>
    <t>ESP-DSO-051</t>
  </si>
  <si>
    <t>https://drive.google.com/file/d/1Di-mIooiuqIDAArm3RH6JoLv8yXxpF3P/view?usp=share_link</t>
  </si>
  <si>
    <t>LS9H</t>
  </si>
  <si>
    <t>LAS9H</t>
  </si>
  <si>
    <t>ESP-DSO-052</t>
  </si>
  <si>
    <t>LS5D</t>
  </si>
  <si>
    <t>ESP-DSO-053</t>
  </si>
  <si>
    <t>https://drive.google.com/file/d/1NkPZF5DJg4pTwqfFkVwUeT_j-daur5_I/view?usp=share_link</t>
  </si>
  <si>
    <t>LS8H</t>
  </si>
  <si>
    <t>ESP-DSO-054</t>
  </si>
  <si>
    <t>https://drive.google.com/file/d/1WH2-ZBeIInuHF3VEXAZWt31fag_fnmui/view?usp=share_link</t>
  </si>
  <si>
    <t>LS9D</t>
  </si>
  <si>
    <t>ESP-DSO-055</t>
  </si>
  <si>
    <t>https://drive.google.com/file/d/1ODpGdB0CiOuf5mxMkQ5UdxugVs9e49qW/view?usp=share_link</t>
  </si>
  <si>
    <t>LS4D</t>
  </si>
  <si>
    <t>ESP-DSO-056</t>
  </si>
  <si>
    <t>https://drive.google.com/file/d/12r8dFH7iDIb5K_AxoPXD2IhGwT_If5Ok/view?usp=share_link</t>
  </si>
  <si>
    <t>ESP-DSO-057</t>
  </si>
  <si>
    <t>https://drive.google.com/file/d/1B5OLtYj0QqF_lPVB61xyL0wjL97KeTie/view?usp=share_link</t>
  </si>
  <si>
    <t>4H</t>
  </si>
  <si>
    <t>ESP-DSO-058</t>
  </si>
  <si>
    <t>https://drive.google.com/file/d/1Uq2EwTCOS95HFGxVJVHanUwq2PsCNqin/view?usp=share_link</t>
  </si>
  <si>
    <t>6F</t>
  </si>
  <si>
    <t>ESP-DSO-059</t>
  </si>
  <si>
    <t>https://drive.google.com/file/d/11M-4qFEXAMa7W6XICF2DqzwBgJcXL1XK/view?usp=share_link</t>
  </si>
  <si>
    <t>TUBO 1590</t>
  </si>
  <si>
    <t>ESP-DSO-060</t>
  </si>
  <si>
    <t>https://drive.google.com/file/d/1e3qcJKBzh0WSzB8B8L_ZW74Htil8hloL/view?usp=share_link</t>
  </si>
  <si>
    <t>4F</t>
  </si>
  <si>
    <t>ESP-DSO-061</t>
  </si>
  <si>
    <t>https://drive.google.com/file/d/1i2HNWWhADcEKdc5BanqlBldqCx4ZmiEF/view?usp=share_link</t>
  </si>
  <si>
    <t>SEPARADOR 7000</t>
  </si>
  <si>
    <t>ESP-DSO-062</t>
  </si>
  <si>
    <t>https://drive.google.com/file/d/1HaACqe_q_lYYq1hGxoNb9cDjDqi2Hqe4/view?usp=share_link</t>
  </si>
  <si>
    <t>DUNAGE 4F</t>
  </si>
  <si>
    <t>ESP-DSO-063</t>
  </si>
  <si>
    <t>https://drive.google.com/file/d/1C8oTVBbaLOGzVHs-oWhBJCmqIz10diAt/view?usp=share_link</t>
  </si>
  <si>
    <t>ESP-DSO-064</t>
  </si>
  <si>
    <t>https://drive.google.com/file/d/1ZxP9-csZXJhmFK3PDfimv3jTP0-fB6kn/view?usp=share_link</t>
  </si>
  <si>
    <t>TAPA CAMA LS1-TC</t>
  </si>
  <si>
    <t>ESP-DSO-065</t>
  </si>
  <si>
    <t>https://drive.google.com/file/d/1uRt_4SWdPbt-xOa_CyPEJeuBUkGK32MC/view?usp=share_link</t>
  </si>
  <si>
    <t>TAPA MANGA LS1A-TM</t>
  </si>
  <si>
    <t>ESP-DSO-066</t>
  </si>
  <si>
    <t>https://drive.google.com/file/d/12JmIqLyyzW-g3MouUy8iaYdkBtzE2L7Y/view?usp=share_link</t>
  </si>
  <si>
    <t>TUBO 10D P/6</t>
  </si>
  <si>
    <t>ESP-DSO-067</t>
  </si>
  <si>
    <t>https://drive.google.com/file/d/1p7oRDpyM4bBCSpCJ2PubmMfc6F6AqNNl/view?usp=share_link</t>
  </si>
  <si>
    <t>TUBO 10D P/12</t>
  </si>
  <si>
    <t>ESP-DSO-068</t>
  </si>
  <si>
    <t>https://drive.google.com/file/d/1JnnccBqUKzJQbsfB1Dj8xxxfooyBI6tm/view?usp=share_link</t>
  </si>
  <si>
    <t>TUBO 10D P/18</t>
  </si>
  <si>
    <t>ESP-DSO-069</t>
  </si>
  <si>
    <t>https://drive.google.com/file/d/1BuEq5l_th8Cetddj63zihvsu87b5TTwJ/view?usp=share_link</t>
  </si>
  <si>
    <t>TUBO 10D P/24</t>
  </si>
  <si>
    <t>ESP-DSO-070</t>
  </si>
  <si>
    <t>https://drive.google.com/file/d/146aGHMa_egTk9c7z6ewsAQ-Nq-UXWH4i/view?usp=share_link</t>
  </si>
  <si>
    <t>TUBO 9H P/3</t>
  </si>
  <si>
    <t>ESP-DSO-071</t>
  </si>
  <si>
    <t>https://drive.google.com/file/d/14hozaxQTjenRRFXX71QsMPpqfHpN9foe/view?usp=share_link</t>
  </si>
  <si>
    <t>TUBO 9H P/6</t>
  </si>
  <si>
    <t>ESP-DSO-072</t>
  </si>
  <si>
    <t>https://drive.google.com/file/d/1hILNSQcC0DEyRa9axNmLUviBXuL0h9Ms/view?usp=share_link</t>
  </si>
  <si>
    <t>TUBO 9H P/9</t>
  </si>
  <si>
    <t>TUBO 9H/9</t>
  </si>
  <si>
    <t>ESP-DSO-073</t>
  </si>
  <si>
    <t>https://drive.google.com/file/d/1EqfULDUnx0NYa-osSL5nOKD2vGJl7YII/view?usp=share_link</t>
  </si>
  <si>
    <t>TUNO 1A</t>
  </si>
  <si>
    <t>ESP-DSO-074</t>
  </si>
  <si>
    <t>https://drive.google.com/file/d/1YWM638u0BDxsJLPariXghiMquzk2ZES_/view?usp=share_link</t>
  </si>
  <si>
    <t>TUBO 8H</t>
  </si>
  <si>
    <t>ESP-DSO-075</t>
  </si>
  <si>
    <t>https://drive.google.com/file/d/1qbl0Fq--Nh7Wjzv0iY8z-CgAO0gjLgd6/view?usp=share_link</t>
  </si>
  <si>
    <t>TUBO NISSAN</t>
  </si>
  <si>
    <t xml:space="preserve">TUBO NISSAN </t>
  </si>
  <si>
    <t>ESP-DSO-076</t>
  </si>
  <si>
    <t>https://drive.google.com/file/d/1Xc9qG_63F0E1dtbAjJiM_7bNhGRWnat8/view?usp=share_link</t>
  </si>
  <si>
    <t>TUBO RK</t>
  </si>
  <si>
    <t>ESP-DSO-077</t>
  </si>
  <si>
    <t>https://drive.google.com/file/d/1F-m1_zlGHvwJ1gNT1cPLo1z9Yo-fiRTQ/view?usp=share_link</t>
  </si>
  <si>
    <t>DIRAAL</t>
  </si>
  <si>
    <t>DIRAAL-1</t>
  </si>
  <si>
    <t>34 X 16 X 40 cm</t>
  </si>
  <si>
    <t>ESP-DIR-001</t>
  </si>
  <si>
    <t>https://drive.google.com/file/d/1AqL-ad_1J2f4U35N3NZjauJJZQZ8o9GC/view?usp=share_link</t>
  </si>
  <si>
    <t>DOTUMEX</t>
  </si>
  <si>
    <t>12 GUN</t>
  </si>
  <si>
    <t>GABINETE</t>
  </si>
  <si>
    <t>ESP-DTM-001</t>
  </si>
  <si>
    <t>https://drive.google.com/file/d/1OR3UC8lFOduZqUaULreK05CuupUcjPnW/view?usp=share_link</t>
  </si>
  <si>
    <t>18 GUN</t>
  </si>
  <si>
    <t>ESP-DTM-002</t>
  </si>
  <si>
    <t>https://drive.google.com/file/d/1ylZR0OPD-gOkxgCyR9jRfTrzP223H6AJ/view?usp=share_link</t>
  </si>
  <si>
    <t>LION</t>
  </si>
  <si>
    <t>ESP-DTM-003</t>
  </si>
  <si>
    <t>https://drive.google.com/file/d/12QNy2CwYt1iVhbnQhDiYtThZGjtPasGW/view?usp=share_link</t>
  </si>
  <si>
    <t>EMERSON</t>
  </si>
  <si>
    <t>168528-017 (067)</t>
  </si>
  <si>
    <t>ESP-EMS-001</t>
  </si>
  <si>
    <t>https://drive.google.com/file/d/1yqF1lzfhO25VkISTY0sWKhR8b1Z_ZjAF/view?usp=share_link</t>
  </si>
  <si>
    <t>16528-035 (032)</t>
  </si>
  <si>
    <t>ESP-EMS-002</t>
  </si>
  <si>
    <t>https://drive.google.com/file/d/1jDun7lprdidmDAY5rBT5wYgrD6bGA_BR/view?usp=share_link</t>
  </si>
  <si>
    <t>168528-37 (032 F)</t>
  </si>
  <si>
    <t>ESP-EMS-003</t>
  </si>
  <si>
    <t>https://drive.google.com/file/d/1bSdyT1DBGUjf7vQuumV6pKf13MWvGNtZ/view?usp=share_link</t>
  </si>
  <si>
    <t>168528-005</t>
  </si>
  <si>
    <t>ESP-EMS-004</t>
  </si>
  <si>
    <t>https://drive.google.com/file/d/1JUV7eC1xPJQpsdFKbzOPLvDbRrx0GIxw/view?usp=share_link</t>
  </si>
  <si>
    <t>16528-018 (218)</t>
  </si>
  <si>
    <t>ESP-EMS-005</t>
  </si>
  <si>
    <t>https://drive.google.com/file/d/1i89so9d76CoxyG_35Pz8yBEdFJrWpNjr/view?usp=share_link</t>
  </si>
  <si>
    <t>168528-032</t>
  </si>
  <si>
    <t>ESP-EMS-006</t>
  </si>
  <si>
    <t>https://drive.google.com/file/d/1nn0J19vL2WitgKFTZyIc-AjIz-OD9RA4/view?usp=share_link</t>
  </si>
  <si>
    <t>169528-073</t>
  </si>
  <si>
    <t>ESP-EMS-007</t>
  </si>
  <si>
    <t>https://drive.google.com/file/d/13YsoAvDDgMh1RuWGegtCwHQynbXAK09V/view?usp=share_link</t>
  </si>
  <si>
    <t>168528-074 (073)</t>
  </si>
  <si>
    <t>ESP-EMS-008</t>
  </si>
  <si>
    <t>https://drive.google.com/file/d/1Veup_KAYQI4-sT2rxC_RgIigAvc4rMC-/view?usp=share_link</t>
  </si>
  <si>
    <t>50.5 x 47 x 35</t>
  </si>
  <si>
    <t>VALVULAS GRANDE 12 PZ</t>
  </si>
  <si>
    <t>ESP-EMS-009</t>
  </si>
  <si>
    <t>REJILLA 12 VALVULAS</t>
  </si>
  <si>
    <t>ESP-EMS-010</t>
  </si>
  <si>
    <t>47 X 50.5</t>
  </si>
  <si>
    <t>ESP-EMS-011</t>
  </si>
  <si>
    <t>50.5 X 33 X 28</t>
  </si>
  <si>
    <t>VALVULAS MEDIANA 18 PZ</t>
  </si>
  <si>
    <t>ESP-EMS-012</t>
  </si>
  <si>
    <t>REJILLA 18 VALVULAS</t>
  </si>
  <si>
    <t>ESP-EMS-013</t>
  </si>
  <si>
    <t>33 X 50.5</t>
  </si>
  <si>
    <t>ESP-EMS-014</t>
  </si>
  <si>
    <t>33 X 33 X 21</t>
  </si>
  <si>
    <t>VALVULAS CHICA 18 PZ</t>
  </si>
  <si>
    <t>ESP-EMS-015</t>
  </si>
  <si>
    <t>REJILLAS 12 VALVULAS</t>
  </si>
  <si>
    <t>ESP-EMS-016</t>
  </si>
  <si>
    <t>33 X 33</t>
  </si>
  <si>
    <t>ESP-EMS-017</t>
  </si>
  <si>
    <t>EXPORIUM</t>
  </si>
  <si>
    <t>12 LTS</t>
  </si>
  <si>
    <t>ESP-EXP-001</t>
  </si>
  <si>
    <t>https://drive.google.com/file/d/1ZilC-W8zfiQzaf-aTargvtzh-YBv6xFH/view?usp=share_link</t>
  </si>
  <si>
    <t>4 GAL</t>
  </si>
  <si>
    <t>ESP-EXP-002</t>
  </si>
  <si>
    <t>https://drive.google.com/file/d/1rNV-NxRszxaQXV17tEtjt_hVZ0ck6ccY/view?usp=share_link</t>
  </si>
  <si>
    <t>GECO</t>
  </si>
  <si>
    <t>ESP-GCO-001</t>
  </si>
  <si>
    <t>https://drive.google.com/file/d/10bisxys9AvDRXBpXxoT7IIbuZ0xoZIys/view?usp=share_link</t>
  </si>
  <si>
    <t>GHSP</t>
  </si>
  <si>
    <t>51000029-01</t>
  </si>
  <si>
    <t>NORTE AMÉRICA</t>
  </si>
  <si>
    <t>ESP-GH-001</t>
  </si>
  <si>
    <t>https://drive.google.com/file/d/1J3srT82WuenXjypTlEAkipJmr3zUSces/view?usp=share_link</t>
  </si>
  <si>
    <t>51000030-01</t>
  </si>
  <si>
    <t>MEXICANA</t>
  </si>
  <si>
    <t>ESP-GH-007</t>
  </si>
  <si>
    <t>https://drive.google.com/file/d/1TY1aWH-0gj1jQj3tURJjg0KCx-9-FtX9/view?usp=share_link</t>
  </si>
  <si>
    <t>ESP-GH-008</t>
  </si>
  <si>
    <t>ESP-GH-009</t>
  </si>
  <si>
    <t>ESP-GH-010</t>
  </si>
  <si>
    <t>ESP-GH-011</t>
  </si>
  <si>
    <t>ESP-GH-012</t>
  </si>
  <si>
    <t>ESP-GH-013</t>
  </si>
  <si>
    <t>ESP-GH-014</t>
  </si>
  <si>
    <t>V363MCA-IMC200 EXPORTPACK</t>
  </si>
  <si>
    <t>ESP-GH-024</t>
  </si>
  <si>
    <t>https://drive.google.com/file/d/1RaM5d5XUjeuqMh_KOfaH3qO_BAeY65fw/view?usp=share_link</t>
  </si>
  <si>
    <t>ESP-GH-025</t>
  </si>
  <si>
    <t>https://drive.google.com/file/d/15JV0VXuq8bzVrvVm-iZWt3VmxI5OSONh/view?usp=share_link</t>
  </si>
  <si>
    <t>ESP-GH-026</t>
  </si>
  <si>
    <t>https://drive.google.com/file/d/1M-1EKEQGlcDzduREPIMg2kDjvJrWEsZS/view?usp=share_link</t>
  </si>
  <si>
    <t>ESP-GH-027</t>
  </si>
  <si>
    <t>https://drive.google.com/file/d/1E554BrRxYOcbmHh3ph3IJhm3SjZB4dTk/view?usp=share_link</t>
  </si>
  <si>
    <t>ESP-GH-028</t>
  </si>
  <si>
    <t>https://drive.google.com/file/d/1Hf51I1miczTf6qHgKKUpLSgeBbnq9Vj6/view?usp=share_link</t>
  </si>
  <si>
    <t>V363</t>
  </si>
  <si>
    <t>ESP-GH-031</t>
  </si>
  <si>
    <t>https://drive.google.com/file/d/1P0hBI8MlzejFMG6EoKTidByqKBCLcx_i/view?usp=share_link</t>
  </si>
  <si>
    <t>C363</t>
  </si>
  <si>
    <t>ESP-GH-032</t>
  </si>
  <si>
    <t>https://drive.google.com/file/d/14apShVoPw0BR11TSxF_o_PlXVQGRTxw7/view?usp=share_link</t>
  </si>
  <si>
    <t>ESP-GH-033</t>
  </si>
  <si>
    <t>https://drive.google.com/file/d/1vqsOwrS918GY2qxKPpveUibcBy_qp2WI/view?usp=share_link</t>
  </si>
  <si>
    <t>ESP-GH-034</t>
  </si>
  <si>
    <t>https://drive.google.com/file/d/1Aifmhu-zBRM_NAS-oJ-GxYG_ujOPc3NZ/view?usp=share_link</t>
  </si>
  <si>
    <t>T1XX</t>
  </si>
  <si>
    <t>ESP-GH-035</t>
  </si>
  <si>
    <t>https://drive.google.com/file/d/15LItC9N1xPG8UAnZWYu_9xGEo53kO2pw/view?usp=share_link</t>
  </si>
  <si>
    <t>ESP-GH-036</t>
  </si>
  <si>
    <t>https://drive.google.com/file/d/16HCRNlUhZHgZLddBnZvUI1XQyXWx_h8p/view?usp=share_link</t>
  </si>
  <si>
    <t>IMC 200 21 CELDAS</t>
  </si>
  <si>
    <t>ESP-GH-043</t>
  </si>
  <si>
    <t>https://drive.google.com/file/d/1uIwXIEjIyGeon4ExU6vut0wLMzeEqedj/view?usp=share_link</t>
  </si>
  <si>
    <t>ESP-GH-044</t>
  </si>
  <si>
    <t>https://drive.google.com/file/d/1c8Cle-LjOs0MQl_FOEXW1328JccNlm-w/view?usp=share_link</t>
  </si>
  <si>
    <t>36 ESPACIOS</t>
  </si>
  <si>
    <t>ESP-GH-045</t>
  </si>
  <si>
    <t>https://drive.google.com/file/d/1GM7-jDA6FiEpeUs1PuJyibcTL7HHpkRu/view?usp=share_link</t>
  </si>
  <si>
    <t>34.5 X 26 X 20</t>
  </si>
  <si>
    <t>24.5 X 26 X 20</t>
  </si>
  <si>
    <t>ESP-GH-046</t>
  </si>
  <si>
    <t>https://drive.google.com/file/d/1pB0eBLcgL7ef9VcADPcM1IoTciRxI9eq/view?usp=share_link</t>
  </si>
  <si>
    <t>JL/JT SHIFTER</t>
  </si>
  <si>
    <t>CC2228J</t>
  </si>
  <si>
    <t>ESP-GH-047</t>
  </si>
  <si>
    <t>https://drive.google.com/file/d/1gYeaux598PxrZL6HR7qoCkWbWBu1QzoB/view?usp=share_link</t>
  </si>
  <si>
    <t>ESP-GH-048</t>
  </si>
  <si>
    <t>https://drive.google.com/file/d/1w5GECrkdgHX65zaJ9gU8IDd7WA6sxfYk/view?usp=share_link</t>
  </si>
  <si>
    <t>ARNESES</t>
  </si>
  <si>
    <t>16 ESPACIOS</t>
  </si>
  <si>
    <t>ESP-GH-049</t>
  </si>
  <si>
    <t>https://drive.google.com/file/d/11f-SyqyHfiN-CtSWVty2bYD2gc1qTRFi/view?usp=share_link</t>
  </si>
  <si>
    <t>ESP-GH-050</t>
  </si>
  <si>
    <t>https://drive.google.com/file/d/1Runpm6Nbt9_MBODP8JA6JIJpybmQHLfn/view?usp=share_link</t>
  </si>
  <si>
    <t>ESP-GH-051</t>
  </si>
  <si>
    <t>https://drive.google.com/file/d/1wQZFDNzKRxrRbuuYUhwyg-jSVVDSXKFW/view?usp=share_link</t>
  </si>
  <si>
    <t>ESP-GH-052</t>
  </si>
  <si>
    <t>https://drive.google.com/file/d/1ng35ecCDejP_0rSNy0XCyzwm5ylNjtQh/view?usp=share_link</t>
  </si>
  <si>
    <t>SHIFTER</t>
  </si>
  <si>
    <t>CC 3444 B</t>
  </si>
  <si>
    <t>ESP-GH-053</t>
  </si>
  <si>
    <t>https://drive.google.com/file/d/1KeR87s5aFHkZuQvfrPmOKq_gZP72LK5b/view?usp=share_link</t>
  </si>
  <si>
    <t>CC 2228 i</t>
  </si>
  <si>
    <t>ESP-GH-054</t>
  </si>
  <si>
    <t>https://drive.google.com/file/d/1VSdpO-NoFOqdNiOrakwcBeASFz98_5iQ/view?usp=share_link</t>
  </si>
  <si>
    <t>ESP-GH-055</t>
  </si>
  <si>
    <t>https://drive.google.com/file/d/1PN7dzLJmDQbfBl3P8cT0UWpxDNOjHKWo/view?usp=share_link</t>
  </si>
  <si>
    <t>CC 2228 D</t>
  </si>
  <si>
    <t>ESP-GH-056</t>
  </si>
  <si>
    <t>CC 2175 B</t>
  </si>
  <si>
    <t>ESP-GH-057</t>
  </si>
  <si>
    <t>https://drive.google.com/file/d/1gjmk13VoerDkNNEgPnpWmKl1Mzf4iIHI/view?usp=share_link</t>
  </si>
  <si>
    <t>KNOB</t>
  </si>
  <si>
    <t>CC 2410 G</t>
  </si>
  <si>
    <t>ESP-GH-058</t>
  </si>
  <si>
    <t>CC2410 l</t>
  </si>
  <si>
    <t>ESP-GH-059</t>
  </si>
  <si>
    <t>https://drive.google.com/file/d/1ML8qCy9on9uRq-IGoZFCPuU_BZpEiDl6/view?usp=share_link</t>
  </si>
  <si>
    <t>ESP-GH-060</t>
  </si>
  <si>
    <t>https://drive.google.com/file/d/1rizkSDX8LNEJUXtsocTj7EU6EmhMaLkk/view?usp=share_link</t>
  </si>
  <si>
    <t>CC 2410 E</t>
  </si>
  <si>
    <t>ESP-GH-061</t>
  </si>
  <si>
    <t>https://drive.google.com/file/d/1g6a4wfTzik3Jp3jXABiL3UKw89MgXWjp/view?usp=share_link</t>
  </si>
  <si>
    <t>ESP-GH-062</t>
  </si>
  <si>
    <t>https://drive.google.com/file/d/1Kz-UTGHYso6Ts1qtkSMCF9usS6Gd-wCQ/view?usp=share_link</t>
  </si>
  <si>
    <t>CASSETTE</t>
  </si>
  <si>
    <t>CC4702 C</t>
  </si>
  <si>
    <t>ESP-GH-063</t>
  </si>
  <si>
    <t>https://drive.google.com/file/d/1I0QaaJ2fkpsKALuvA7AT0nL5cVGJBe0a/view?usp=share_link</t>
  </si>
  <si>
    <t>ESP-GH-064</t>
  </si>
  <si>
    <t>CC 4702 C</t>
  </si>
  <si>
    <t>ESP-GH-065</t>
  </si>
  <si>
    <t>https://drive.google.com/file/d/1UOzSekT7jn3ivia6BUUYbsKInW1xQ46V/view?usp=share_link</t>
  </si>
  <si>
    <t>ESP-GH-066</t>
  </si>
  <si>
    <t>https://drive.google.com/file/d/18YBAGcJjGIrzineGAY8H1fcypAbVY5Mx/view?usp=share_link</t>
  </si>
  <si>
    <t>CC 314 C</t>
  </si>
  <si>
    <t>ESP-GH-067</t>
  </si>
  <si>
    <t>https://drive.google.com/file/d/1J2dS483uq03l3XPQzJyp6sVyeYFKctKn/view?usp=share_link</t>
  </si>
  <si>
    <t>CC 3114C</t>
  </si>
  <si>
    <t>ESP-GH-068</t>
  </si>
  <si>
    <t>https://drive.google.com/file/d/12365VUxontRctYFT1o7wDQ67GBCWi8dU/view?usp=share_link</t>
  </si>
  <si>
    <t>CC 4706 A</t>
  </si>
  <si>
    <t>ESP-GH-069</t>
  </si>
  <si>
    <t>https://drive.google.com/file/d/1rJNs4ePJUDIe2asa7yRIa7am40nTMAeO/view?usp=share_link</t>
  </si>
  <si>
    <t>ESP-GH-070</t>
  </si>
  <si>
    <t>https://drive.google.com/file/d/1Kq7S55c5wmE2kZgAEhD_PuTlVZTmH-vH/view?usp=share_link</t>
  </si>
  <si>
    <t>ESP-GH-072</t>
  </si>
  <si>
    <t>ESP-GH-073</t>
  </si>
  <si>
    <t>ESP-GH-074</t>
  </si>
  <si>
    <t>CC4922</t>
  </si>
  <si>
    <t>ESP-GH-078</t>
  </si>
  <si>
    <t>https://drive.google.com/file/d/16fcGrW9Ar-5DgxHXwTbOKMoLyvOH4VdG/view?usp=share_link</t>
  </si>
  <si>
    <t>1130-01</t>
  </si>
  <si>
    <t>ESP-GH-079</t>
  </si>
  <si>
    <t>https://drive.google.com/file/d/1eHNm9UqX4bFFynpd2yet0MCS_lk52zZI/view?usp=share_link</t>
  </si>
  <si>
    <t>1130-1</t>
  </si>
  <si>
    <t>ESP-GH-080</t>
  </si>
  <si>
    <t>https://drive.google.com/file/d/1Ajp6xJ_N39hnkV9WLNLsV4mdvXyje3fq/view?usp=share_link</t>
  </si>
  <si>
    <t>PKG-064</t>
  </si>
  <si>
    <t>ESP-GH-081</t>
  </si>
  <si>
    <t>https://drive.google.com/file/d/1IsDm5YHFOsVj96AJZy8TQWp1jWOrRqC7/view?usp=share_link</t>
  </si>
  <si>
    <t>PKG-065 A</t>
  </si>
  <si>
    <t>REJILLA A</t>
  </si>
  <si>
    <t>ESP-GH-082</t>
  </si>
  <si>
    <t>https://drive.google.com/file/d/1sJPN4UGQSItugz4TqMnQZwQEr_7f7OqS/view?usp=share_link</t>
  </si>
  <si>
    <t>ESP-GH-083</t>
  </si>
  <si>
    <t>ESP-GH-084</t>
  </si>
  <si>
    <t>ESP-GH-085</t>
  </si>
  <si>
    <t>ESP-GH-086</t>
  </si>
  <si>
    <t>126060801-01</t>
  </si>
  <si>
    <t>HRV SHIFTER BACKUP (126060801-01)</t>
  </si>
  <si>
    <t>ESP-GH-087</t>
  </si>
  <si>
    <t>https://drive.google.com/file/d/12ZHibDixzx2jLd82n1RAZtX8gsjWurnP/view?usp=share_link</t>
  </si>
  <si>
    <t>REJILLA B</t>
  </si>
  <si>
    <t>ESP-GH-088</t>
  </si>
  <si>
    <t>https://drive.google.com/file/d/16E9si81FhlpBo7aqeShye6W9iehLcZue/view?usp=share_link</t>
  </si>
  <si>
    <t>126060801-02</t>
  </si>
  <si>
    <t>REJILLA C</t>
  </si>
  <si>
    <t>ESP-GH-089</t>
  </si>
  <si>
    <t>https://drive.google.com/file/d/1wxJrsLntdGDvc3DcNMIUK1Y3t6na8t52/view?usp=share_link</t>
  </si>
  <si>
    <t>ESP-GH-090</t>
  </si>
  <si>
    <t>126060801-04</t>
  </si>
  <si>
    <t>ESP-GH-091</t>
  </si>
  <si>
    <t>https://drive.google.com/file/d/1JxaqeC3waWcTC6MfAwu7DbhJXFQ52aM5/view?usp=share_link</t>
  </si>
  <si>
    <t>GM SLP</t>
  </si>
  <si>
    <t>BODY</t>
  </si>
  <si>
    <t>ESP-GMS-001</t>
  </si>
  <si>
    <t>https://drive.google.com/file/d/1GIMlbxu2gJ5jQnvJVWEfw9lSusnazjti/view?usp=share_link</t>
  </si>
  <si>
    <t>ESP-GMS-002</t>
  </si>
  <si>
    <t>https://drive.google.com/file/d/128PKFtH0D8XlEegOwRUe1x00RofRqCx2/view?usp=share_link</t>
  </si>
  <si>
    <t>ESP-GMS-003</t>
  </si>
  <si>
    <t>https://drive.google.com/file/d/16nuuGuFxuVde9I5tPIga_DuJZga61CHZ/view?usp=share_link</t>
  </si>
  <si>
    <t>ESP-GMS-004</t>
  </si>
  <si>
    <t>https://drive.google.com/file/d/1bpkikSyrnzTto_D7CksXZsRIhy6whDjl/view?usp=share_link</t>
  </si>
  <si>
    <t>ESP-GMS-005</t>
  </si>
  <si>
    <t>https://drive.google.com/file/d/1CPYDegT47sHYa1d7BAsi9_QJzXwkisVU/view?usp=share_link</t>
  </si>
  <si>
    <t>GST Autoleather</t>
  </si>
  <si>
    <t>C-1</t>
  </si>
  <si>
    <t>ESP-GST-001</t>
  </si>
  <si>
    <t>https://drive.google.com/file/d/14MKdQkWcMBlNudYY82U2m3JYDt2D0eQ6/view?usp=share_link</t>
  </si>
  <si>
    <t>C-7</t>
  </si>
  <si>
    <t>ESP-GST-002</t>
  </si>
  <si>
    <t>https://drive.google.com/file/d/1WhvrmUYlRFFS-ovI284gcRSnEATZ_Ra2/view?usp=share_link</t>
  </si>
  <si>
    <t>HFI Matehuala</t>
  </si>
  <si>
    <t>ESP-HFIMA-001</t>
  </si>
  <si>
    <t>https://drive.google.com/file/d/1XCdz0Q7IPQBDNljgjEQL2GarcQsbqgMl/view?usp=share_link</t>
  </si>
  <si>
    <t>VOLVO MACK CUSHION + ARS</t>
  </si>
  <si>
    <t>ESP-HFIMA-002</t>
  </si>
  <si>
    <t>https://drive.google.com/file/d/1hflH23rorC9TifNMRlnqdbiYC8YAdRpy/view?usp=share_link</t>
  </si>
  <si>
    <t>VOLVO MACK BACKS</t>
  </si>
  <si>
    <t>ESP-HFIMA-003</t>
  </si>
  <si>
    <t>https://drive.google.com/file/d/16MKPEj0fi6gMER8bI12tz7DziULJMB8X/view?usp=share_link</t>
  </si>
  <si>
    <t>YAMAHA UTV COVER</t>
  </si>
  <si>
    <t>ESP-HFIMA-004</t>
  </si>
  <si>
    <t>https://drive.google.com/file/d/1PeSSXBb01IUM2l916jqN0nsPePb_iZPN/view?usp=share_link</t>
  </si>
  <si>
    <t>NEXUS 19M-HR COVER</t>
  </si>
  <si>
    <t>ESP-HFIMA-005</t>
  </si>
  <si>
    <t>https://drive.google.com/file/d/1lxoiXU_03u2R1bRgHXWvNfnH0rySYeJe/view?usp=share_link</t>
  </si>
  <si>
    <t>ESP-HFIMA-006</t>
  </si>
  <si>
    <t>https://drive.google.com/file/d/1qFdUiHeIReQNL06rKRVvtwfFgyXhb7Rc/view?usp=share_link</t>
  </si>
  <si>
    <t>SEARS SENTRY</t>
  </si>
  <si>
    <t>ESP-HFIMA-007</t>
  </si>
  <si>
    <t>https://drive.google.com/file/d/1LFtFkM58bHUrZvmcsm10vIhkfmTFFfIm/view?usp=share_link</t>
  </si>
  <si>
    <t>SEARS PETERBILT</t>
  </si>
  <si>
    <t>ESP-HFIMA-008</t>
  </si>
  <si>
    <t>https://drive.google.com/file/d/1We5EMRYubRlXtDAkBfCsXAcg5XOqGDM8/view?usp=share_link</t>
  </si>
  <si>
    <t>HFI Monclova</t>
  </si>
  <si>
    <t>ESP-HFIM-010</t>
  </si>
  <si>
    <t>TRB BACKUP</t>
  </si>
  <si>
    <t>ESP-HFIM-011</t>
  </si>
  <si>
    <t>https://drive.google.com/file/d/101vUHLOaEkkwwKQoxc8wjbvj74yvGEn7/view?usp=share_link</t>
  </si>
  <si>
    <t>ESP-HFIM-012</t>
  </si>
  <si>
    <t>https://drive.google.com/file/d/1FUhYn6zlZFO3bXK5mHZJkaqnoWN-qkqA/view?usp=share_link</t>
  </si>
  <si>
    <t>ESP-HFIM-013</t>
  </si>
  <si>
    <t>https://drive.google.com/file/d/1mFReXMugAd_J1xK0fW27YrS2LKmpngtB/view?usp=share_link</t>
  </si>
  <si>
    <t>ESP-HFIM-014</t>
  </si>
  <si>
    <t>https://drive.google.com/file/d/1BCPvcgKbNsYzomqtAr23TaEJLcDqFKPI/view?usp=share_link</t>
  </si>
  <si>
    <t>GAP HIDER</t>
  </si>
  <si>
    <t>ESP-HFIM-015</t>
  </si>
  <si>
    <t>https://drive.google.com/file/d/1gY1hI1Mm6l1wr0xfcTTd1aTQfZg4KyxJ/view?usp=share_link</t>
  </si>
  <si>
    <t>ESP-HFIM-016</t>
  </si>
  <si>
    <t>https://drive.google.com/file/d/1L8_hm0Clc1stYMUzQQDnDN2yxYgkDuGj/view?usp=share_link</t>
  </si>
  <si>
    <t>ESP-HFIM-017</t>
  </si>
  <si>
    <t>https://drive.google.com/file/d/1YTdjqd-16C-73QsM2RGoTvxIMF71ymI7/view?usp=share_link</t>
  </si>
  <si>
    <t>ESP-HFIM-018</t>
  </si>
  <si>
    <t>CX 483-RH MID TROOPER</t>
  </si>
  <si>
    <t>ESP-HFIM-019</t>
  </si>
  <si>
    <t>https://drive.google.com/file/d/12fjbb_3-mNXT54iE4KcOnaajWZ09KIvg/view?usp=share_link</t>
  </si>
  <si>
    <t>ESP-HFIM-020</t>
  </si>
  <si>
    <t>https://drive.google.com/file/d/1Epx8-l2ZhwpFOfnTxsfh0K6cSVT7--vH/view?usp=share_link</t>
  </si>
  <si>
    <t>ESP-HFIM-021</t>
  </si>
  <si>
    <t>https://drive.google.com/file/d/1bWMEZULEVXDkhCMCygh9RCstJIqKdiSR/view?usp=share_link</t>
  </si>
  <si>
    <t>ESP-HFIM-022</t>
  </si>
  <si>
    <t>https://drive.google.com/file/d/1KvKHUAPkUkUOvJRfkJc998cc43i-35Hn/view?usp=share_link</t>
  </si>
  <si>
    <t>LINCOLN CHIN SURROUNO</t>
  </si>
  <si>
    <t>LICOLN CHIN SURROUND</t>
  </si>
  <si>
    <t>ESP-HFIM-023</t>
  </si>
  <si>
    <t>https://drive.google.com/file/d/1Mykq0uq2bgwnzUgkolH6_ngckyAaPle_/view?usp=share_link</t>
  </si>
  <si>
    <t>ESP-HFIM-024</t>
  </si>
  <si>
    <t>https://drive.google.com/file/d/1m_RzWcYFz9Yy2KqlLvoQZJ6Aja-MKQ_M/view?usp=sharing</t>
  </si>
  <si>
    <t>ESP-HFIM-025</t>
  </si>
  <si>
    <t>https://drive.google.com/file/d/1R5k9p21G6eCWTGZSk0BhDz-I3wjIbD7q/view?usp=share_link</t>
  </si>
  <si>
    <t>LINCOLN RH MID ROPPER</t>
  </si>
  <si>
    <t>ESP-HFIM-026</t>
  </si>
  <si>
    <t>https://drive.google.com/file/d/1nbGA8O-BRFWe8g_QJ1zzN8sPHMkYOspm/view?usp=share_link</t>
  </si>
  <si>
    <t>ESP-HFIM-027</t>
  </si>
  <si>
    <t>https://drive.google.com/file/d/1sMJg0uNx5Z3hiN7Xv-n2JEdNoGMysFXl/view?usp=share_link</t>
  </si>
  <si>
    <t>ESP-HFIM-028</t>
  </si>
  <si>
    <t>https://drive.google.com/file/d/1EdE70NISDq1QcDljJZVF3N5XNmWnCQuP/view?usp=share_link</t>
  </si>
  <si>
    <t>ESP-HFIM-029</t>
  </si>
  <si>
    <t>https://drive.google.com/file/d/1UTJesIcW9EllCKrcU-9QPZwyVyMejrjv/view?usp=share_link</t>
  </si>
  <si>
    <t>ESP-HFIM-032</t>
  </si>
  <si>
    <t>ESP-HFIM-033</t>
  </si>
  <si>
    <t>ESP-HFIM-035</t>
  </si>
  <si>
    <t>RH MID TOPPER-CX483</t>
  </si>
  <si>
    <t>ESP-HFIM-036</t>
  </si>
  <si>
    <t>https://drive.google.com/file/d/14uBBXb6XjoJUuqQ82-NWsrEh3eZz17Yx/view?usp=share_link</t>
  </si>
  <si>
    <t>MUSTANG BOLSTER</t>
  </si>
  <si>
    <t>ESP-HFIM-037</t>
  </si>
  <si>
    <t>https://drive.google.com/file/d/1F-75MYC2hh8j-0lWvfUQSe7-BbHQIf9f/view?usp=share_link</t>
  </si>
  <si>
    <t>C110 BOLT- FR DAR</t>
  </si>
  <si>
    <t>ESP-HFIM-038</t>
  </si>
  <si>
    <t>https://drive.google.com/file/d/10TI1vnnMpGLiDR_62qA2Lx7ZbAlWkbcZ/view?usp=share_link</t>
  </si>
  <si>
    <t>ESP-HFIM-039</t>
  </si>
  <si>
    <t>https://drive.google.com/file/d/16j1h_FiNB9SOGXOKfu54-dJHVoDRLcOX/view?usp=share_link</t>
  </si>
  <si>
    <t>ESP-HFIM-040</t>
  </si>
  <si>
    <t>https://drive.google.com/file/d/16K2HGyJit9EhVUifuV3j3NIVj0ftQbNp/view?usp=share_link</t>
  </si>
  <si>
    <t>C110 BOLT-REAR DAR</t>
  </si>
  <si>
    <t>ESP-HFIM-041</t>
  </si>
  <si>
    <t>https://drive.google.com/file/d/1SS4km95_sO8HF7UjMr2DR_GbGGEQ--vD/view?usp=share_link</t>
  </si>
  <si>
    <t>ESP-HFIM-042</t>
  </si>
  <si>
    <t>https://drive.google.com/file/d/1pHzT6454Z8fGLZZKxFMPJSpDJqGZAVuc/view?usp=share_link</t>
  </si>
  <si>
    <t>ESP-HFIM-043</t>
  </si>
  <si>
    <t>ESP-HFIM-044</t>
  </si>
  <si>
    <t>500 B AR-SENNA</t>
  </si>
  <si>
    <t>ESP-HFIM-047</t>
  </si>
  <si>
    <t>https://drive.google.com/file/d/13hmIsoswwWD6PauWOORWG65KJJ7jsnDT/view?usp=share_link</t>
  </si>
  <si>
    <t>500 B AR-SIENNA</t>
  </si>
  <si>
    <t>ESP-HFIM-048</t>
  </si>
  <si>
    <t>https://drive.google.com/file/d/1w-DPSGSsLj51Zn-7BxyM7rLfNXRc5BuR/view?usp=share_link</t>
  </si>
  <si>
    <t>ESP-HFIM-049</t>
  </si>
  <si>
    <t>https://drive.google.com/file/d/1RbHIGCUouMcB1A24uv7lIqm8JpqLvXWk/view?usp=share_link</t>
  </si>
  <si>
    <t>ESP-HFIM-050</t>
  </si>
  <si>
    <t>https://drive.google.com/file/d/1nmPcGimwJHSaL6qyFKQOUbh11zroOop3/view?usp=share_link</t>
  </si>
  <si>
    <t>ESP-HFIM-051</t>
  </si>
  <si>
    <t>https://drive.google.com/file/d/14Z5HsICHWF0NRmbnIA9otewKH7TaF_F5/view?usp=share_link</t>
  </si>
  <si>
    <t>RIVIAN AI-DRIVER</t>
  </si>
  <si>
    <t>ESP-HFIM-052</t>
  </si>
  <si>
    <t>https://drive.google.com/file/d/1B0ds_tYJke3rVEuBef1JMj_QQL3qxNmY/view?usp=share_link</t>
  </si>
  <si>
    <t>ESP-HFIM-053</t>
  </si>
  <si>
    <t>https://drive.google.com/file/d/1uil1XugB_OEjEfzO92_g7pHXw9sXmKqZ/view?usp=share_link</t>
  </si>
  <si>
    <t>ESP-HFIM-054</t>
  </si>
  <si>
    <t>https://drive.google.com/file/d/1KRSGbhSY-qM_JqYeteHb5GVmkWZ1c0OX/view?usp=share_link</t>
  </si>
  <si>
    <t>ESP-HFIM-055</t>
  </si>
  <si>
    <t>https://drive.google.com/file/d/1tybBBE--EwpBjKL2Uc1VDho86A1CpQua/view?usp=share_link</t>
  </si>
  <si>
    <t>RIVIAN-AISSTS</t>
  </si>
  <si>
    <t>ESP-HFIM-056</t>
  </si>
  <si>
    <t>https://drive.google.com/file/d/1N7zF_cihgN15gTOqRVZa7psbSES0KOaF/view?usp=share_link</t>
  </si>
  <si>
    <t>RIVIAN-ASSIST</t>
  </si>
  <si>
    <t>ESP-HFIM-057</t>
  </si>
  <si>
    <t>https://drive.google.com/file/d/1DHNeECQ4swYJk2ftJD9bY5fc8AOlNiS2/view?usp=share_link</t>
  </si>
  <si>
    <t>ESP-HFIM-058</t>
  </si>
  <si>
    <t>https://drive.google.com/file/d/1uOkAAf_l_n5BuCIlWrCZaqErZQFOopW8/view?usp=share_link</t>
  </si>
  <si>
    <t>RIVIAN-DOOR</t>
  </si>
  <si>
    <t>ESP-HFIM-059</t>
  </si>
  <si>
    <t>https://drive.google.com/file/d/1Xo5rP8ST4EfD8zOfQLdECd03JIBYjsmp/view?usp=share_link</t>
  </si>
  <si>
    <t>ESP-HFIM-060</t>
  </si>
  <si>
    <t>https://drive.google.com/file/d/1FWZs_VWE4z_K9X583CpDC-zHepWHEYcj/view?usp=share_link</t>
  </si>
  <si>
    <t>ESP-HFIM-061</t>
  </si>
  <si>
    <t>https://drive.google.com/file/d/11H0RjlguHRvect4ubYH8UoKkEIlwgX19/view?usp=share_link</t>
  </si>
  <si>
    <t>RIVIAN-CONSOLE</t>
  </si>
  <si>
    <t>ESP-HFIM-062</t>
  </si>
  <si>
    <t>https://drive.google.com/file/d/104d37jM8P_i2aYXJyMGolHtwVHmZr5qc/view?usp=share_link</t>
  </si>
  <si>
    <t>ESP-HFIM-063</t>
  </si>
  <si>
    <t>https://drive.google.com/file/d/1GO8QeLnN-7wo30YQZDygHcrs-ZT8I6FK/view?usp=share_link</t>
  </si>
  <si>
    <t>ESP-HFIM-064</t>
  </si>
  <si>
    <t>https://drive.google.com/file/d/1dOCepporVRrW7--03IX63JgiLWT6YEE0/view?usp=share_link</t>
  </si>
  <si>
    <t>RIVIAN-DRIVER OB</t>
  </si>
  <si>
    <t>ESP-HFIM-065</t>
  </si>
  <si>
    <t>https://drive.google.com/file/d/1ISkbv14elFu8QDT2Em8OKr92cGG6uC56/view?usp=share_link</t>
  </si>
  <si>
    <t>ESP-HFIM-066</t>
  </si>
  <si>
    <t>https://drive.google.com/file/d/1IFgF1P4f4Zlt-pV-h9KQz4_BXon5SOY4/view?usp=share_link</t>
  </si>
  <si>
    <t>ESP-HFIM-067</t>
  </si>
  <si>
    <t>https://drive.google.com/file/d/1gW0RWdsiyCfU_TzXX0sq5d4Ujy0HbSwS/view?usp=share_link</t>
  </si>
  <si>
    <t>ESP-HFIM-068</t>
  </si>
  <si>
    <t>https://drive.google.com/file/d/1R3bS0blwC-ZfHXsFc6oJsOA2gXHiqEkj/view?usp=share_link</t>
  </si>
  <si>
    <t>RIVIAN-DIRVER OB</t>
  </si>
  <si>
    <t>ESP-HFIM-069</t>
  </si>
  <si>
    <t>RIVIAN-DRIVER IP</t>
  </si>
  <si>
    <t>ESP-HFIM-070</t>
  </si>
  <si>
    <t>https://drive.google.com/file/d/1nx4AqZOVDic1YWk1dtvUMZQvpnSvZG9O/view?usp=share_link</t>
  </si>
  <si>
    <t>ESP-HFIM-071</t>
  </si>
  <si>
    <t>https://drive.google.com/file/d/1FfkgMd0NtIC_so9snkMVsrbETpCtWmtk/view?usp=share_link</t>
  </si>
  <si>
    <t>RIVIAN-PASSENGER</t>
  </si>
  <si>
    <t>ESP-HFIM-072</t>
  </si>
  <si>
    <t>https://drive.google.com/file/d/1fGKv1DRt7A1UYkyFmbWiJDZ35BMPplh0/view?usp=share_link</t>
  </si>
  <si>
    <t>ESP-HFIM-073</t>
  </si>
  <si>
    <t>https://drive.google.com/file/d/1g_T2lW-2YqRFWRaJ5CxCAdESj85oRLqF/view?usp=share_link</t>
  </si>
  <si>
    <t>ESP-HFIM-074</t>
  </si>
  <si>
    <t>https://drive.google.com/file/d/1c33kno6tX9adeowUXa1RHo7XWTax-z0a/view?usp=share_link</t>
  </si>
  <si>
    <t>FEFCO 0204</t>
  </si>
  <si>
    <t>ESP-HFIM-075</t>
  </si>
  <si>
    <t>https://drive.google.com/file/d/1XVinad7ZIyrUJvOIatMiUKOsOtCkyIIJ/view?usp=share_link</t>
  </si>
  <si>
    <t>ESP-HFIM-076</t>
  </si>
  <si>
    <t>https://drive.google.com/file/d/1thneWrykXO6TGHouWKVYzWMNKjmQ5SkU/view?usp=share_link</t>
  </si>
  <si>
    <t>ESP-HFIM-077</t>
  </si>
  <si>
    <t>https://drive.google.com/file/d/1sbokhwS42XeItdHNQqb7HE89m-6EVVr_/view?usp=share_link</t>
  </si>
  <si>
    <t>ESP-HFIM-078</t>
  </si>
  <si>
    <t>https://drive.google.com/file/d/17EaIsRZdCoVZtyITdEcXoFws6cXmJN9L/view?usp=share_link</t>
  </si>
  <si>
    <t>RDX-SET BACK KICK BOARD</t>
  </si>
  <si>
    <t>EDX-SET BACK KICK BOARD</t>
  </si>
  <si>
    <t>ESP-HFIM-079</t>
  </si>
  <si>
    <t>https://drive.google.com/file/d/1Fgd8LjQdDWaYXhTzQR18-mWTcKjuSMnM/view?usp=share_link</t>
  </si>
  <si>
    <t>ESP-HFIM-080</t>
  </si>
  <si>
    <t>https://drive.google.com/file/d/1tpZtpwFgXbrX8gq8Ku0t9q36y-HH0b-p/view?usp=share_link</t>
  </si>
  <si>
    <t>C110 RR DAR</t>
  </si>
  <si>
    <t>ESP-HFIM-081</t>
  </si>
  <si>
    <t>https://drive.google.com/file/d/14genQp1XYB0VwWuyeG0lkvTobxCRvqtx/view?usp=share_link</t>
  </si>
  <si>
    <t>ESP-HFIM-082</t>
  </si>
  <si>
    <t>https://drive.google.com/file/d/1we4jRphvxWniXmuhoNvRf5ogFoInDkvG/view?usp=share_link</t>
  </si>
  <si>
    <t>ESP-HFIM-083</t>
  </si>
  <si>
    <t>https://drive.google.com/file/d/1kupm6SFYgJ1huiWjMUVGQn9PqZnJYJu4/view?usp=share_link</t>
  </si>
  <si>
    <t>C110-CONSOLE</t>
  </si>
  <si>
    <t>ESP-HFIM-084</t>
  </si>
  <si>
    <t>https://drive.google.com/file/d/1XI3CkzorCGE75xdQVgBm_Z-DI55QI1sK/view?usp=share_link</t>
  </si>
  <si>
    <t>ESP-HFIM-085</t>
  </si>
  <si>
    <t>https://drive.google.com/file/d/1EV54jC519ueyR6CfgtAWdE9bgRrgv7Ib/view?usp=share_link</t>
  </si>
  <si>
    <t>ESP-HFIM-086</t>
  </si>
  <si>
    <t>https://drive.google.com/file/d/1kz5D8rnGXDo63_uKyiXitMVRHxc4ZKoI/view?usp=share_link</t>
  </si>
  <si>
    <t>ESP-HFIM-087</t>
  </si>
  <si>
    <t>CIVIC 21M -FR-DAR</t>
  </si>
  <si>
    <t>ESP-HFIM-088</t>
  </si>
  <si>
    <t>https://drive.google.com/file/d/1Er9u2bK4RqlXYTD6cfzAIjC1NUq_VmNf/view?usp=share_link</t>
  </si>
  <si>
    <t>ESP-HFIM-089</t>
  </si>
  <si>
    <t>https://drive.google.com/file/d/1WHzrLBG4FoACyv86teGiFjz6tYOZIw0A/view?usp=share_link</t>
  </si>
  <si>
    <t>ESP-HFIM-090</t>
  </si>
  <si>
    <t>https://drive.google.com/file/d/1DpLiHawG8wspVMoegYrSPbzW48X9jsSK/view?usp=share_link</t>
  </si>
  <si>
    <t>ESP-HFIM-091</t>
  </si>
  <si>
    <t>https://drive.google.com/file/d/1iWYD59gIu4BDsoDcrgiUobRgc4qW8T4F/view?usp=share_link</t>
  </si>
  <si>
    <t>ESP-HFIM-092</t>
  </si>
  <si>
    <t>https://drive.google.com/file/d/18audhr8gPyak1r7rs21eEkrIgcG90wS6/view?usp=share_link</t>
  </si>
  <si>
    <t>ESP-HFIM-093</t>
  </si>
  <si>
    <t>https://drive.google.com/file/d/1gp_eczCsSPNHJdIBAtopb66XsaHhnFRY/view?usp=share_link</t>
  </si>
  <si>
    <t>WS WAGONER</t>
  </si>
  <si>
    <t>ESP-HFIM-094</t>
  </si>
  <si>
    <t>https://drive.google.com/file/d/1rXUDzkd4YCdqR8IkDt9-lJNNHA1RRrXS/view?usp=share_link</t>
  </si>
  <si>
    <t>ESP-HFIM-095</t>
  </si>
  <si>
    <t>https://drive.google.com/file/d/1Q_HLgxtvlZOCQ_OGjUZ1A1LFhzM5p4jv/view?usp=share_link</t>
  </si>
  <si>
    <t>ESP-HFIM-096</t>
  </si>
  <si>
    <t>https://drive.google.com/file/d/1o4-BwB8IsJFIkpYl9o-02LnaYakWGj-k/view?usp=share_link</t>
  </si>
  <si>
    <t>ESP-HFIM-097</t>
  </si>
  <si>
    <t>https://drive.google.com/file/d/1L37ziZLFqM26WY1rDFu9lg5Ucmae-Nwe/view?usp=share_link</t>
  </si>
  <si>
    <t>ESP-HFIM-098</t>
  </si>
  <si>
    <t>https://drive.google.com/file/d/1qqTHATKGqg6lNlaR0lqzBQjNKu1iX3EV/view?usp=share_link</t>
  </si>
  <si>
    <t>ESP-HFIM-099</t>
  </si>
  <si>
    <t>https://drive.google.com/file/d/1BPiXNnevrVmzpQDIFjk2LXgVvbbEFfGI/view?usp=share_link</t>
  </si>
  <si>
    <t>ESP-HFIM-100</t>
  </si>
  <si>
    <t>https://drive.google.com/file/d/1h7O-9HSOeymzcYcmQujMKmXRZ7qdLHD7/view?usp=share_link</t>
  </si>
  <si>
    <t>ESP-HFIM-101</t>
  </si>
  <si>
    <t>https://drive.google.com/file/d/1JJhaTywuXLm0pdwnh1zBK4PuMIsZQ-20/view?usp=share_link</t>
  </si>
  <si>
    <t>ESP-HFIM-102</t>
  </si>
  <si>
    <t>https://drive.google.com/file/d/1RkU7sjD_CFCdKvwSiPq62e2ke8A3Ulvd/view?usp=share_link</t>
  </si>
  <si>
    <t>ESP-HFIM-103</t>
  </si>
  <si>
    <t>https://drive.google.com/file/d/1aNXRG3fsA72Xd5OK61F6W3cdz5FJN50x/view?usp=share_link</t>
  </si>
  <si>
    <t>ESP-HFIM-104</t>
  </si>
  <si>
    <t>ESP-HFIM-105</t>
  </si>
  <si>
    <t>ESP-HFIM-106</t>
  </si>
  <si>
    <t>ESP-HFIM-107</t>
  </si>
  <si>
    <t>ESP-HFIM-108</t>
  </si>
  <si>
    <t>ESP-HFIM-109</t>
  </si>
  <si>
    <t>ESP-HFIM-110</t>
  </si>
  <si>
    <t>RIVIAN A1</t>
  </si>
  <si>
    <t>ESP-HFIM-111</t>
  </si>
  <si>
    <t>https://drive.google.com/file/d/1oFPMXZAswJB-N04m-CUrQPJx2ZKkEm5i/view?usp=share_link</t>
  </si>
  <si>
    <t>ESP-HFIM-112</t>
  </si>
  <si>
    <t>https://drive.google.com/file/d/1PqyTL79UTfiWLIVuLKypK_Uyu0KezVni/view?usp=share_link</t>
  </si>
  <si>
    <t>ESP-HFIM-113</t>
  </si>
  <si>
    <t>https://drive.google.com/file/d/1pxDAuucZVO8v8NoUfg5u3BCorgPjXUZ9/view?usp=share_link</t>
  </si>
  <si>
    <t>ESP-HFIM-114</t>
  </si>
  <si>
    <t>ESP-HFIM-115</t>
  </si>
  <si>
    <t>ESP-HFIM-116</t>
  </si>
  <si>
    <t>ESP-HFIM-117</t>
  </si>
  <si>
    <t>ESP-HFIM-118</t>
  </si>
  <si>
    <t>ESP-HFIM-119</t>
  </si>
  <si>
    <t>ESP-HFIM-120</t>
  </si>
  <si>
    <t>ESP-HFIM-121</t>
  </si>
  <si>
    <t>ESP-HFIM-122</t>
  </si>
  <si>
    <t>ESP-HFIM-123</t>
  </si>
  <si>
    <t>ESP-HFIM-124</t>
  </si>
  <si>
    <t>ESP-HFIM-125</t>
  </si>
  <si>
    <t>ESP-HFIM-126</t>
  </si>
  <si>
    <t>U553-CONSOLE SIDE RAILS</t>
  </si>
  <si>
    <t>ESP-HFIM-127</t>
  </si>
  <si>
    <t>https://drive.google.com/file/d/1nu6hVLu9CJzf187PWY5bG7qHpPLJs6v0/view?usp=share_link</t>
  </si>
  <si>
    <t>ESP-HFIM-128</t>
  </si>
  <si>
    <t>https://drive.google.com/file/d/1u4xpUNrN9Q8J79RnD2TkqQeGTUo3clRz/view?usp=share_link</t>
  </si>
  <si>
    <t>ESP-HFIM-129</t>
  </si>
  <si>
    <t>https://drive.google.com/file/d/1jhOMqKYgkpXrhyAXcqR8n1krsen2wkpJ/view?usp=share_link</t>
  </si>
  <si>
    <t>ESP-HFIM-130</t>
  </si>
  <si>
    <t>https://drive.google.com/file/d/1WQ5Smi38_gKV-XItWuUKpB5jbt377a8E/view?usp=share_link</t>
  </si>
  <si>
    <t>ESP-HFIM-131</t>
  </si>
  <si>
    <t>ESP-HFIM-132</t>
  </si>
  <si>
    <t>ESP-HFIM-133</t>
  </si>
  <si>
    <t>ESP-HFIM-134</t>
  </si>
  <si>
    <t>ESP-HFIM-135</t>
  </si>
  <si>
    <t>ESP-HFIM-136</t>
  </si>
  <si>
    <t>ESP-HFIM-137</t>
  </si>
  <si>
    <t>T1XX 24M ASM-I/P TR</t>
  </si>
  <si>
    <t>ESP-HFIM-138</t>
  </si>
  <si>
    <t>https://drive.google.com/file/d/17rhdIUngnVvKTCyH235z5hDHomQ75P0H/view?usp=share_link</t>
  </si>
  <si>
    <t>ESP-HFIM-139</t>
  </si>
  <si>
    <t>https://drive.google.com/file/d/1SipMHOXu-I4i4u4T96Te19myD8LkoNGV/view?usp=share_link</t>
  </si>
  <si>
    <t>ESP-HFIM-140</t>
  </si>
  <si>
    <t>https://drive.google.com/file/d/1DNsCEV5yVUfIdApMwGVeLzKHheLfpsO0/view?usp=share_link</t>
  </si>
  <si>
    <t>ESP-HFIM-141</t>
  </si>
  <si>
    <t>https://drive.google.com/file/d/1q26C2GIfWBicLKG6zVoL8wmWntwtl0VE/view?usp=share_link</t>
  </si>
  <si>
    <t>ESP-HFIM-142</t>
  </si>
  <si>
    <t>https://drive.google.com/file/d/1Phk6rnAJ8PJb5H7MsrJdNs_PKungg81y/view?usp=share_link</t>
  </si>
  <si>
    <t>T1XX 24M ASM3-HVAC OUTLET TIM RH</t>
  </si>
  <si>
    <t>ESP-HFIM-143</t>
  </si>
  <si>
    <t>https://drive.google.com/file/d/1u_a08WExldVTRu5DuHUk5WSV2pRIiT5E/view?usp=share_link</t>
  </si>
  <si>
    <t>T1XX 24M ASM3-HVAC OUTLET TRIM RH</t>
  </si>
  <si>
    <t>ESP-HFIM-144</t>
  </si>
  <si>
    <t>https://drive.google.com/file/d/1O6Q4ZyNO5PrOrRiab32xZjN_uDpbC0X-/view?usp=share_link</t>
  </si>
  <si>
    <t>T1XX 24M ASM3-HAVC OUTLET TRIM RH</t>
  </si>
  <si>
    <t>ESP-HFIM-145</t>
  </si>
  <si>
    <t>https://drive.google.com/file/d/1JSsuSsqhCYyiTlIqPWE8xGwLNgSKC3r3/view?usp=share_link</t>
  </si>
  <si>
    <t>ESP-HFIM-146</t>
  </si>
  <si>
    <t>https://drive.google.com/file/d/17jXdLvxh837mV9_3WwwxdjJpDN0DhPCD/view?usp=share_link</t>
  </si>
  <si>
    <t>ESP-HFIM-147</t>
  </si>
  <si>
    <t>https://drive.google.com/file/d/13-rcDidxeWxK6XuOITvaPEIkd-RALq2u/view?usp=share_link</t>
  </si>
  <si>
    <t>T1XX 24M ASM2-TRIM OUTLET TRIM LH</t>
  </si>
  <si>
    <t>ESP-HFIM-148</t>
  </si>
  <si>
    <t>https://drive.google.com/file/d/156SS4Px3Q7OjAVC_C9cOofs4SsqcjxSA/view?usp=share_link</t>
  </si>
  <si>
    <t>ESP-HFIM-149</t>
  </si>
  <si>
    <t>https://drive.google.com/file/d/1GGDdigOHcqPapSfiq-o7kd8P-OnVSVIi/view?usp=share_link</t>
  </si>
  <si>
    <t>ESP-HFIM-150</t>
  </si>
  <si>
    <t>https://drive.google.com/file/d/1ifHzf-ORf5emcoU6vxB9qLsJmviuMESC/view?usp=share_link</t>
  </si>
  <si>
    <t>ESP-HFIM-152</t>
  </si>
  <si>
    <t>https://drive.google.com/file/d/1pErbvyIK4Frsj04NdKRKy5LAZeCZMN4o/view?usp=share_link</t>
  </si>
  <si>
    <t>T1XX 24M ASM I/P CTR TR</t>
  </si>
  <si>
    <t>ESP-HFIM-153</t>
  </si>
  <si>
    <t>https://drive.google.com/file/d/1aDHG1CsoDXEtWk6JZ1kGnc3jX5_BPbnx/view?usp=share_link</t>
  </si>
  <si>
    <t>ESP-HFIM-154</t>
  </si>
  <si>
    <t>https://drive.google.com/file/d/1fTUbWygpeA0Cur0g92q7MDb01YAzNNsF/view?usp=share_link</t>
  </si>
  <si>
    <t>ESP-HFIM-155</t>
  </si>
  <si>
    <t>https://drive.google.com/file/d/1pomWo3qV_ACKrdXpcQad7795eXXjclb4/view?usp=share_link</t>
  </si>
  <si>
    <t>ESP-HFIM-156</t>
  </si>
  <si>
    <t>https://drive.google.com/file/d/1k7-p6ske5_LgpUywLgKqrIw45kjerFSN/view?usp=share_link</t>
  </si>
  <si>
    <t>T1XX 24M ASM I/P LWR TR START/STOP SW PANEL</t>
  </si>
  <si>
    <t>ESP-HFIM-157</t>
  </si>
  <si>
    <t>https://drive.google.com/file/d/1VZkAkrzNmr61-Er7fyMoxyqYh2GBpGQH/view?usp=share_link</t>
  </si>
  <si>
    <t>ESP-HFIM-158</t>
  </si>
  <si>
    <t>https://drive.google.com/file/d/1-4nUrcV87SkJH2zuaFdorycRGogg5TL0/view?usp=share_link</t>
  </si>
  <si>
    <t>ESP-HFIM-159</t>
  </si>
  <si>
    <t>https://drive.google.com/file/d/1xoxjPZusPOc5pkKJ5LywOVpAMZXBHNa2/view?usp=share_link</t>
  </si>
  <si>
    <t>ESP-HFIM-160</t>
  </si>
  <si>
    <t>https://drive.google.com/file/d/1iNuEgSOmJ0OyhCkS98Zdu5QCI77f4g3p/view?usp=share_link</t>
  </si>
  <si>
    <t>START-STOP</t>
  </si>
  <si>
    <t>ESP-HFIM-161</t>
  </si>
  <si>
    <t>https://drive.google.com/file/d/1nqCFzwOkRdrEdf02sF4KGi1U-fBY6AuK/view?usp=share_link</t>
  </si>
  <si>
    <t>ESP-HFIM-162</t>
  </si>
  <si>
    <t>ESP-HFIM-163</t>
  </si>
  <si>
    <t>ESP-HFIM-164</t>
  </si>
  <si>
    <t>https://drive.google.com/file/d/1LhU8J1ioCaUhpVK_TsTuSr4MkIInKMV9/view?usp=share_link</t>
  </si>
  <si>
    <t>T1XX 24M ASM I/P UPR TR LH</t>
  </si>
  <si>
    <t>ESP-HFIM-165</t>
  </si>
  <si>
    <t>https://drive.google.com/file/d/1jV3VFVG-w36zlcim7ODjnsDGqNZJnOoz/view?usp=share_link</t>
  </si>
  <si>
    <t xml:space="preserve">DIV1 </t>
  </si>
  <si>
    <t>ESP-HFIM-166</t>
  </si>
  <si>
    <t>https://drive.google.com/file/d/10QXcry2YIPGSiaRXzkG9pKdXVgYpMN-_/view?usp=share_link</t>
  </si>
  <si>
    <t>ESP-HFIM-167</t>
  </si>
  <si>
    <t>https://drive.google.com/file/d/1vs40YLaENNA2rX_gBFOgo-9vqibS-3Hj/view?usp=share_link</t>
  </si>
  <si>
    <t>ESP-HFIM-168</t>
  </si>
  <si>
    <t>https://drive.google.com/file/d/1CJp77nggLPoww16ezAYOz34xbv1Omouz/view?usp=share_link</t>
  </si>
  <si>
    <t>T1XX 24M MID PANEL ASM-OTLT1</t>
  </si>
  <si>
    <t>ESP-HFIM-169</t>
  </si>
  <si>
    <t>https://drive.google.com/file/d/1WkIMBztG6inC8eYZCC-JGtNY5hijM9Xq/view?usp=share_link</t>
  </si>
  <si>
    <t>ESP-HFIM-170</t>
  </si>
  <si>
    <t>https://drive.google.com/file/d/1r-iTBke_xi8dskYoYFu0mn8iSYPIMQnL/view?usp=share_link</t>
  </si>
  <si>
    <t>ESP-HFIM-171</t>
  </si>
  <si>
    <t>https://drive.google.com/file/d/1K3JDpbaZWuYSIi8ryUb_IFZOxw7LNILA/view?usp=share_link</t>
  </si>
  <si>
    <t>ESP-HFIM-172</t>
  </si>
  <si>
    <t>https://drive.google.com/file/d/1nHpNOhTXYmD-ExLFk_FaUgIoB3nP68MW/view?usp=share_link</t>
  </si>
  <si>
    <t>U552 CONSOLE SIDE RAIL II</t>
  </si>
  <si>
    <t>ESP-HFIM-173</t>
  </si>
  <si>
    <t>https://drive.google.com/file/d/1WPwSdOjzL6Js18JKnzyTJdtPtkoxBASV/view?usp=share_link</t>
  </si>
  <si>
    <t>ESP-HFIM-174</t>
  </si>
  <si>
    <t>https://drive.google.com/file/d/1IchCuGJsUz_AvbH9FtWkrrbndp3uBLAm/view?usp=share_link</t>
  </si>
  <si>
    <t>ESP-HFIM-175</t>
  </si>
  <si>
    <t>https://drive.google.com/file/d/1MPvI9yJV4HALE3aWgVYdx6NzPfwGc2Nx/view?usp=share_link</t>
  </si>
  <si>
    <t>ESP-HFIM-176</t>
  </si>
  <si>
    <t>https://drive.google.com/file/d/1cve1u8qoLUbGVHQ5W9i5u1io8JOJWrGs/view?usp=share_link</t>
  </si>
  <si>
    <t>T1XX 24M BT1 ASM-I/P LWR TR RH</t>
  </si>
  <si>
    <t>ESP-HFIM-177</t>
  </si>
  <si>
    <t>https://drive.google.com/file/d/1J3PYMUTlI5dzXWefJhHI2BxkH0YTxnFQ/view?usp=share_link</t>
  </si>
  <si>
    <t>ESP-HFIM-178</t>
  </si>
  <si>
    <t>https://drive.google.com/file/d/1_sqDqruMA5z9yk8tNHpRw6wlTIZ0QAlF/view?usp=share_link</t>
  </si>
  <si>
    <t>ESP-HFIM-179</t>
  </si>
  <si>
    <t>https://drive.google.com/file/d/1kFdghNWZRq98mjyn7e0Uyjb1bEkZ-ZEQ/view?usp=share_link</t>
  </si>
  <si>
    <t>ESP-HFIM-180</t>
  </si>
  <si>
    <t>https://drive.google.com/file/d/1cguP_JZGWpfhlZ2Q-y1upBzQ20xJZLXY/view?usp=share_link</t>
  </si>
  <si>
    <t>ESP-HFIM-181</t>
  </si>
  <si>
    <t>https://drive.google.com/file/d/10F_8g1WtfnG3pe-qVaCiW3vk0THe93r_/view?usp=share_link</t>
  </si>
  <si>
    <t>ESP-HFIM-182</t>
  </si>
  <si>
    <t>https://drive.google.com/file/d/1a-yedUGmWzVCKby1WIyYmmp0NIxyCXcP/view?usp=share_link</t>
  </si>
  <si>
    <t>ESP-HFIM-183</t>
  </si>
  <si>
    <t>https://drive.google.com/file/d/11UFHrV8keyjrKVFWK7S615jvjTsF5t0m/view?usp=share_link</t>
  </si>
  <si>
    <t>ESP-HFIM-184</t>
  </si>
  <si>
    <t>https://drive.google.com/file/d/1ixtjTpREbSIckLSOi9zYfEes3KizjUaL/view?usp=share_link</t>
  </si>
  <si>
    <t>ESP-HFIM-185</t>
  </si>
  <si>
    <t>ESP-HFIM-186</t>
  </si>
  <si>
    <t>ESP-HFIM-187</t>
  </si>
  <si>
    <t>ESP-HFIM-188</t>
  </si>
  <si>
    <t>T1XX 24M BT PAD ASM-I/P TR LH</t>
  </si>
  <si>
    <t>ESP-HFIM-189</t>
  </si>
  <si>
    <t>https://drive.google.com/file/d/1d3hruIu1NS_5UwVdwPGAn_zf81VrEMhK/view?usp=share_link</t>
  </si>
  <si>
    <t>ESP-HFIM-190</t>
  </si>
  <si>
    <t>https://drive.google.com/file/d/1CO97tokOnOhyN76spq8VkzfB4GSMKhOW/view?usp=share_link</t>
  </si>
  <si>
    <t>ESP-HFIM-191</t>
  </si>
  <si>
    <t>https://drive.google.com/file/d/1jJDqd5SmDVdBTGSHRrTib5_acgWbshUU/view?usp=share_link</t>
  </si>
  <si>
    <t>ESP-HFIM-192</t>
  </si>
  <si>
    <t>https://drive.google.com/file/d/18zfieo-TyrpFhP63soI-ijvVuDKxIBYB/view?usp=share_link</t>
  </si>
  <si>
    <t>T1XX 24M BT1 TRIM ASM-UPPER COLUMN</t>
  </si>
  <si>
    <t>ESP-HFIM-193</t>
  </si>
  <si>
    <t>https://drive.google.com/file/d/137OOmvgNvKoY7vqCLIKUdmsI2hsyM8iM/view?usp=share_link</t>
  </si>
  <si>
    <t>T1XX 24M BT1 TRIM PLATE ASM (5)</t>
  </si>
  <si>
    <t>ESP-HFIM-194</t>
  </si>
  <si>
    <t>https://drive.google.com/file/d/1eYuV5l795okqDz-J2vxTmX0fDa0i7CVo/view?usp=share_link</t>
  </si>
  <si>
    <t>ESP-HFIM-195</t>
  </si>
  <si>
    <t>https://drive.google.com/file/d/1BofSuk--JxdghacEFEwUk-gS-ZchgtZR/view?usp=share_link</t>
  </si>
  <si>
    <t>ESP-HFIM-196</t>
  </si>
  <si>
    <t>https://drive.google.com/file/d/1avDanSJrHwBDgx3_bIerI2kl6RmHEGAY/view?usp=share_link</t>
  </si>
  <si>
    <t>T1XX 24M BT1 TRIM PLATE ASM (6)</t>
  </si>
  <si>
    <t>T1XX 24M BT1 PAD ASM-I/P TR RH</t>
  </si>
  <si>
    <t>ESP-HFIM-197</t>
  </si>
  <si>
    <t>https://drive.google.com/file/d/1Aw4h5qJTCwNzpm1M_l35-2yVurqu_aRs/view?usp=share_link</t>
  </si>
  <si>
    <t>ESP-HFIM-198</t>
  </si>
  <si>
    <t>https://drive.google.com/file/d/1lw1gZH_Nlo3t-G2lXf5oX_MueWQV4oZP/view?usp=share_link</t>
  </si>
  <si>
    <t>ESP-HFIM-199</t>
  </si>
  <si>
    <t>https://drive.google.com/file/d/1QRyY387DcvzWIjAtKhuez2jOWoIPZRgj/view?usp=share_link</t>
  </si>
  <si>
    <t>ESP-HFIM-200</t>
  </si>
  <si>
    <t>https://drive.google.com/file/d/1HFlzLSeQpjUy9lj6EPP_DRLSOEGCrBtJ/view?usp=share_link</t>
  </si>
  <si>
    <t>RIVIAN DECO ASSIST BASE</t>
  </si>
  <si>
    <t>ESP-HFIM-201</t>
  </si>
  <si>
    <t>https://drive.google.com/file/d/1VuUX1T-yEGjVHhs19uxFnExsd0kmYPPf/view?usp=share_link</t>
  </si>
  <si>
    <t>ESP-HFIM-202</t>
  </si>
  <si>
    <t>https://drive.google.com/file/d/1CvbfyraBqrPeaFQqXYVfBDI61Km1fIc4/view?usp=share_link</t>
  </si>
  <si>
    <t>ESP-HFIM-203</t>
  </si>
  <si>
    <t>https://drive.google.com/file/d/1fvd66NkgxFnxFMQtO8wJq_8NXXKi2-in/view?usp=share_link</t>
  </si>
  <si>
    <t>RIVIAN DRIVER BASE</t>
  </si>
  <si>
    <t>ESP-HFIM-204</t>
  </si>
  <si>
    <t>https://drive.google.com/file/d/14v3qxM05S0PctXJ8BFq6PYrxsqqIJsUk/view?usp=share_link</t>
  </si>
  <si>
    <t>ESP-HFIM-205</t>
  </si>
  <si>
    <t>https://drive.google.com/file/d/1XbogLopETYKnyX5AwElkmgS4CF5dI6PR/view?usp=share_link</t>
  </si>
  <si>
    <t>ESP-HFIM-206</t>
  </si>
  <si>
    <t>https://drive.google.com/file/d/1z7JJDvSjnJVRISzyHOhepsZ-KDc2RkBh/view?usp=share_link</t>
  </si>
  <si>
    <t>ESP-HFIM-207</t>
  </si>
  <si>
    <t>https://drive.google.com/file/d/1rkqlESxPV-P4aUrtHOpKLyoPz-3wrBEq/view?usp=share_link</t>
  </si>
  <si>
    <t>RIVIAN ASIST BASE</t>
  </si>
  <si>
    <t>ESP-HFIM-208</t>
  </si>
  <si>
    <t>https://drive.google.com/file/d/1YZ6RymbU-7UzPzo_OWDC5Nt2bqaCtxAV/view?usp=share_link</t>
  </si>
  <si>
    <t>ESP-HFIM-209</t>
  </si>
  <si>
    <t>https://drive.google.com/file/d/12KPu5f_KYSAs02FYI8Ss5exBsbFOKRWq/view?usp=share_link</t>
  </si>
  <si>
    <t>ESP-HFIM-210</t>
  </si>
  <si>
    <t>https://drive.google.com/file/d/1UFNWTr11RTuDZ3pCqX17gNS1WvDDtzAH/view?usp=share_link</t>
  </si>
  <si>
    <t>RIVIANDOOR BASE</t>
  </si>
  <si>
    <t>ESP-HFIM-211</t>
  </si>
  <si>
    <t>https://drive.google.com/file/d/1OeInXJp1FXzS12zA6yeNM2Kwcd012A4w/view?usp=share_link</t>
  </si>
  <si>
    <t>ESP-HFIM-212</t>
  </si>
  <si>
    <t>https://drive.google.com/file/d/1e1BbX6et71uYXyiJEwpRy8Z8VYWDyj0T/view?usp=share_link</t>
  </si>
  <si>
    <t>ESP-HFIM-213</t>
  </si>
  <si>
    <t>https://drive.google.com/file/d/1rn66DmwRumoKvJimPoR-nqHysiUQyqob/view?usp=share_link</t>
  </si>
  <si>
    <t>RIVIA CONSOLE BASE</t>
  </si>
  <si>
    <t>ESP-HFIM-214</t>
  </si>
  <si>
    <t>https://drive.google.com/file/d/1Dtjd4YDEwLUfVbCq-UJ4u_gJD_2VFjTo/view?usp=share_link</t>
  </si>
  <si>
    <t>RIVIAN CONSOLE BASE</t>
  </si>
  <si>
    <t>ESP-HFIM-215</t>
  </si>
  <si>
    <t>https://drive.google.com/file/d/1bKuXRYn0wGXCr4_8YUQJJth41kXr1kqi/view?usp=sharing</t>
  </si>
  <si>
    <t>ESP-HFIM-216</t>
  </si>
  <si>
    <t>https://drive.google.com/file/d/1n58BwS7_fGPMqJZwA00nWRXgrc39lGLM/view?usp=share_link</t>
  </si>
  <si>
    <t>CONSOLE SIDE PANEL A3 BIN</t>
  </si>
  <si>
    <t>ESP-HFIM-217</t>
  </si>
  <si>
    <t>https://drive.google.com/file/d/1MXC7SvqlUVOlwx-9g7tTtnE4dBJb10NI/view?usp=share_link</t>
  </si>
  <si>
    <t>ESP-HFIM-218</t>
  </si>
  <si>
    <t>https://drive.google.com/file/d/1RLii2iA6meNe6SE3UfFnQ7OKUId3lTUe/view?usp=share_link</t>
  </si>
  <si>
    <t>ESP-HFIM-219</t>
  </si>
  <si>
    <t>THR7 21M FR M FR AR (ODYSSEY FR)</t>
  </si>
  <si>
    <t>THR7 24 M FR AR (ODYSSEY) FR</t>
  </si>
  <si>
    <t>ESP-HFIM-220</t>
  </si>
  <si>
    <t>https://drive.google.com/file/d/1jnEfONp__tkd_VLNDS2_bJv16a89lC7t/view?usp=share_link</t>
  </si>
  <si>
    <t>ESP-HFIM-221</t>
  </si>
  <si>
    <t>https://drive.google.com/file/d/1kigI7lofWGG8MQVwQaaviDZncoEsBVzw/view?usp=share_link</t>
  </si>
  <si>
    <t>ESP-HFIM-222</t>
  </si>
  <si>
    <t>https://drive.google.com/file/d/1uJ9hKkfSoDlAwpR-3LRJye2B8L1IkCrs/view?usp=share_link</t>
  </si>
  <si>
    <t>ESP-HFIM-223</t>
  </si>
  <si>
    <t>https://drive.google.com/file/d/1dH-dG7sMLqjNEXQ9cAhhoOQGv5CJJEqp/view?usp=share_link</t>
  </si>
  <si>
    <t>ESP-HFIM-224</t>
  </si>
  <si>
    <t>https://drive.google.com/file/d/15jxOhIXoJ3PObCBj2LUMZMhZwpmkBnFn/view?usp=share_link</t>
  </si>
  <si>
    <t>THR7 21M RR AR (ODYSSEY MID)</t>
  </si>
  <si>
    <t>ESP-HFIM-225</t>
  </si>
  <si>
    <t>https://drive.google.com/file/d/1Cr7_Spk_QNfh6RMY445Ktuxe_vtwOZQo/view?usp=share_link</t>
  </si>
  <si>
    <t>ESP-HFIM-226</t>
  </si>
  <si>
    <t>https://drive.google.com/file/d/1lM5rTdjf-xy9FqvnqZ4mQVz7pcVgKm1A/view?usp=sharing</t>
  </si>
  <si>
    <t>ESP-HFIM-227</t>
  </si>
  <si>
    <t>https://drive.google.com/file/d/1dKBYFHOuUseD26Gs-oExSfNXmI4zB8XI/view?usp=share_link</t>
  </si>
  <si>
    <t>ESP-HFIM-228</t>
  </si>
  <si>
    <t>https://drive.google.com/file/d/1Z2VM_vJnFXegjGpCbV6U6AMe4WuCunZG/view?usp=share_link</t>
  </si>
  <si>
    <t>ESP-HFIM-229</t>
  </si>
  <si>
    <t>https://drive.google.com/file/d/1NUQMDqp6HGXRWaQ0U0kLREL-bhBc12W4/view?usp=share_link</t>
  </si>
  <si>
    <t>PL576 RL FR AR (ODYSSEY RIDGELINE)</t>
  </si>
  <si>
    <t>ESP-HFIM-230</t>
  </si>
  <si>
    <t>https://drive.google.com/file/d/1SOugOJRb3rRoFYYxCrDakURHqvfjnfkZ/view?usp=share_link</t>
  </si>
  <si>
    <t>ESP-HFIM-231</t>
  </si>
  <si>
    <t>https://drive.google.com/file/d/14bhR_9LjC3-vQO4SaJ0Pw8WkZ_xAfIgS/view?usp=share_link</t>
  </si>
  <si>
    <t>ESP-HFIM-232</t>
  </si>
  <si>
    <t>https://drive.google.com/file/d/1bLbHvoMTU2CXvxvjEQXs6l0A3v3ZhuPk/view?usp=share_link</t>
  </si>
  <si>
    <t>ESP-HFIM-233</t>
  </si>
  <si>
    <t>https://drive.google.com/file/d/1kupjHm9ku1K242OBF2D_kcvVRIlui-ye/view?usp=share_link</t>
  </si>
  <si>
    <t>ESP-HFIM-234</t>
  </si>
  <si>
    <t>https://drive.google.com/file/d/1DOvvLYTXL2IenQ3TeS60BRkgFrvbR9Ol/view?usp=share_link</t>
  </si>
  <si>
    <t>ESP-HFIM-235</t>
  </si>
  <si>
    <t>ESP-HFIM-236</t>
  </si>
  <si>
    <t>ESP-HFIM-237</t>
  </si>
  <si>
    <t>ESP-HFIM-238</t>
  </si>
  <si>
    <t>ESP-HFIM-239</t>
  </si>
  <si>
    <t>ESP-HFIM-240</t>
  </si>
  <si>
    <t>ESP-HFIM-241</t>
  </si>
  <si>
    <t>ESP-HFIM-242</t>
  </si>
  <si>
    <t>ESP-HFIM-243</t>
  </si>
  <si>
    <t>ESP-HFIM-244</t>
  </si>
  <si>
    <t>2020 C1UG ACADIA CONSOLA</t>
  </si>
  <si>
    <t>ESP-HFIR-013</t>
  </si>
  <si>
    <t>https://drive.google.com/file/d/1xwsqGtgFEyqUmVmoQB53ipTfUK6XGS5e/view?usp=share_link</t>
  </si>
  <si>
    <t>ESP-HFIR-014</t>
  </si>
  <si>
    <t>https://drive.google.com/file/d/19DG2zzCppj8CMM0ucD2TnsWtW1TAIJf6/view?usp=share_link</t>
  </si>
  <si>
    <t>ESP-HFIR-015</t>
  </si>
  <si>
    <t>https://drive.google.com/file/d/1mD3Vq_jfhp7_tgeNFZjs2anjdJbqN3Lk/view?usp=share_link</t>
  </si>
  <si>
    <t>ESP-HFIR-016</t>
  </si>
  <si>
    <t>ESP-HFIR-017</t>
  </si>
  <si>
    <t>ESP-HFIR-018</t>
  </si>
  <si>
    <t>ESP-HFIR-019</t>
  </si>
  <si>
    <t>ESP-HFIR-020</t>
  </si>
  <si>
    <t>ESP-HFIR-021</t>
  </si>
  <si>
    <t>ESP-HFIR-022</t>
  </si>
  <si>
    <t>ESP-HFIR-023</t>
  </si>
  <si>
    <t>ESP-HFIR-024</t>
  </si>
  <si>
    <t>ESP-HFIR-025</t>
  </si>
  <si>
    <t>ESP-HFIR-026</t>
  </si>
  <si>
    <t>ESP-HFIR-027</t>
  </si>
  <si>
    <t>ESP-HFIR-028</t>
  </si>
  <si>
    <t>ESP-HFIR-029</t>
  </si>
  <si>
    <t>ESP-HFIR-030</t>
  </si>
  <si>
    <t>ESP-HFIR-031</t>
  </si>
  <si>
    <t>ESP-HFIR-032</t>
  </si>
  <si>
    <t>ESP-HFIR-033</t>
  </si>
  <si>
    <t>ESP-HFIR-034</t>
  </si>
  <si>
    <t>ESP-HFIR-035</t>
  </si>
  <si>
    <t>ESP-HFIR-036</t>
  </si>
  <si>
    <t>ESP-HFIR-037</t>
  </si>
  <si>
    <t>ESP-HFIR-038</t>
  </si>
  <si>
    <t>ESP-HFIR-039</t>
  </si>
  <si>
    <t>ESP-HFIR-040</t>
  </si>
  <si>
    <t>ESP-HFIR-041</t>
  </si>
  <si>
    <t>ESP-HFIR-042</t>
  </si>
  <si>
    <t>ESP-HFIR-043</t>
  </si>
  <si>
    <t>ESP-HFIR-044</t>
  </si>
  <si>
    <t>ESP-HFIR-045</t>
  </si>
  <si>
    <t>ESP-HFIR-046</t>
  </si>
  <si>
    <t>ESP-HFIR-047</t>
  </si>
  <si>
    <t>ESP-HFIR-048</t>
  </si>
  <si>
    <t>ESP-HFIR-049</t>
  </si>
  <si>
    <t>ESP-HFIR-050</t>
  </si>
  <si>
    <t>ESP-HFIR-051</t>
  </si>
  <si>
    <t>ESP-HFIR-052</t>
  </si>
  <si>
    <t>ESP-HFIR-053</t>
  </si>
  <si>
    <t>ESP-HFIR-054</t>
  </si>
  <si>
    <t>ESP-HFIR-055</t>
  </si>
  <si>
    <t>ESP-HFIR-056</t>
  </si>
  <si>
    <t>ESP-HFIR-057</t>
  </si>
  <si>
    <t>ESP-HFIR-058</t>
  </si>
  <si>
    <t>ESP-HFIR-059</t>
  </si>
  <si>
    <t>ESP-HFIR-060</t>
  </si>
  <si>
    <t>ESP-HFIR-061</t>
  </si>
  <si>
    <t>P702 GAPHIDER</t>
  </si>
  <si>
    <t>ESP-HFIR-062</t>
  </si>
  <si>
    <t>https://drive.google.com/file/d/1XkYergx2Uwbo-7sBKEHvO0ozeAqIcBR1/view?usp=share_link</t>
  </si>
  <si>
    <t>ESP-HFIR-063</t>
  </si>
  <si>
    <t>https://drive.google.com/file/d/19K661p_KRSLbT05a-lLfFbxvpZn0YNxt/view?usp=share_link</t>
  </si>
  <si>
    <t>ESP-HFIR-064</t>
  </si>
  <si>
    <t>https://drive.google.com/file/d/1-LCv2zS8ZturhJH5PL_6IvFSsDI0M6b5/view?usp=share_link</t>
  </si>
  <si>
    <t>RDX DAR-PL156</t>
  </si>
  <si>
    <t>ESP-HFIR-065</t>
  </si>
  <si>
    <t>https://drive.google.com/file/d/1EonCdVnwddeTMyZooqSOMcA23ijy7kmq/view?usp=share_link</t>
  </si>
  <si>
    <t>ESP-HFIR-066</t>
  </si>
  <si>
    <t>https://drive.google.com/file/d/1Fhz1qv6gf2RpuR8PyZe1-UvunVY0cNn5/view?usp=share_link</t>
  </si>
  <si>
    <t>ESP-HFIR-067</t>
  </si>
  <si>
    <t>https://drive.google.com/file/d/10JBmpZSX_vDq_Ta8UhChdt7hZ2w8NQ7N/view?usp=share_link</t>
  </si>
  <si>
    <t>P702-GAP HIDER</t>
  </si>
  <si>
    <t>ESP-HFIR-068</t>
  </si>
  <si>
    <t>https://drive.google.com/file/d/1jclVR24mvEK8MgTOJveRzEmbENfugjg6/view?usp=share_link</t>
  </si>
  <si>
    <t>ESP-HFIR-069</t>
  </si>
  <si>
    <t>https://drive.google.com/file/d/153IgWtZm1TBQY0YDV0v4RitqVXGOlhUy/view?usp=share_link</t>
  </si>
  <si>
    <t>ESP-HFIR-070</t>
  </si>
  <si>
    <t>https://drive.google.com/file/d/1CTNcyDvuI6z2X-xCU9TRU4l8s4ex7JLb/view?usp=share_link</t>
  </si>
  <si>
    <t>ESP-HFIR-071</t>
  </si>
  <si>
    <t>https://drive.google.com/file/d/1xqclHKlJ_y_zE56BIvfPxmBbHSkMikRY/view?usp=share_link</t>
  </si>
  <si>
    <t>DOOR BOLSTER</t>
  </si>
  <si>
    <t>ESP-HFIR-074</t>
  </si>
  <si>
    <t>https://drive.google.com/file/d/1QhKmeThPy-o-LsFeKoWotfZUQh441x5h/view?usp=share_link</t>
  </si>
  <si>
    <t>ESP-HFIR-075</t>
  </si>
  <si>
    <t>https://drive.google.com/file/d/1QZuNzmnXaEa0iXsMdm-_hMRMEXH7Ciqh/view?usp=share_link</t>
  </si>
  <si>
    <t>T1XX 22M FR/RR DECO INSERT</t>
  </si>
  <si>
    <t>ESP-HFIR-076</t>
  </si>
  <si>
    <t>https://drive.google.com/file/d/1epU_ef2uYMLE3Mvd75WQXKn6wwXJId_1/view?usp=share_link</t>
  </si>
  <si>
    <t>ESP-HFIR-077</t>
  </si>
  <si>
    <t>https://drive.google.com/file/d/1DCUC790uqYetgFo2OG6D-F-wRaw1N0cu/view?usp=share_link</t>
  </si>
  <si>
    <t>ESP-HFIR-078</t>
  </si>
  <si>
    <t>https://drive.google.com/file/d/1iR7yMZuTjFhA6r5VokpmPvETr1BlmTTc/view?usp=share_link</t>
  </si>
  <si>
    <t>T1XX 22M RR EXT DECO INSERT</t>
  </si>
  <si>
    <t>ESP-HFIR-079</t>
  </si>
  <si>
    <t>https://drive.google.com/file/d/1bHoZXuE7c1bB1PRjsPLG47ITRtFHgSdQ/view?usp=share_link</t>
  </si>
  <si>
    <t>ESP-HFIR-080</t>
  </si>
  <si>
    <t>https://drive.google.com/file/d/15UbTUmIENCunez201H0MGuWkYXvN57ih/view?usp=share_link</t>
  </si>
  <si>
    <t>ESP-HFIR-081</t>
  </si>
  <si>
    <t>https://drive.google.com/file/d/1QBaJak8yC17wHNSzmvXnL-cqvYAc-N3m/view?usp=share_link</t>
  </si>
  <si>
    <t>T1XX 22M FR/RR</t>
  </si>
  <si>
    <t>ESP-HFIR-082</t>
  </si>
  <si>
    <t>https://drive.google.com/file/d/1dmU3sr6pe_I_5XtqW6kzYzTV7BfF44j3/view?usp=share_link</t>
  </si>
  <si>
    <t>ESP-HFIR-083</t>
  </si>
  <si>
    <t>https://drive.google.com/file/d/1BB32YnEO8LV81WZCKDw_5ZrCZCHSuC65/view?usp=share_link</t>
  </si>
  <si>
    <t>ESP-HFIR-084</t>
  </si>
  <si>
    <t>ESP-HFIR-085</t>
  </si>
  <si>
    <t>ESP-HFIR-086</t>
  </si>
  <si>
    <t>ESP-HFIR-087</t>
  </si>
  <si>
    <t>ESP-HFIR-088</t>
  </si>
  <si>
    <t>ESP-HFIR-089</t>
  </si>
  <si>
    <t>ESP-HFIR-090</t>
  </si>
  <si>
    <t>ESP-HFIR-091</t>
  </si>
  <si>
    <t>ESP-HFIR-092</t>
  </si>
  <si>
    <t>ESP-HFIR-093</t>
  </si>
  <si>
    <t>ESP-HFIR-094</t>
  </si>
  <si>
    <t>ESP-HFIR-095</t>
  </si>
  <si>
    <t>ESP-HFIR-096</t>
  </si>
  <si>
    <t>https://drive.google.com/file/d/1a4mM-P9TlGqfqM31l3UtXgTY4UKt1b1v/view?usp=share_link</t>
  </si>
  <si>
    <t>ESP-HFIR-097</t>
  </si>
  <si>
    <t>https://drive.google.com/file/d/124izjqm2HI1fZsFJ_u5fOjS506lhZu7J/view?usp=share_link</t>
  </si>
  <si>
    <t>ESP-HFIR-098</t>
  </si>
  <si>
    <t>https://drive.google.com/file/d/1Shp3Dma8AGLKvICeKEd8UJO86PanrpZ1/view?usp=share_link</t>
  </si>
  <si>
    <t>ESP-HFIR-099</t>
  </si>
  <si>
    <t>https://drive.google.com/file/d/1v4usEVU3kHOpkh0akApfLogUp_f6g2OC/view?usp=share_link</t>
  </si>
  <si>
    <t>ESP-HFIR-100</t>
  </si>
  <si>
    <t>https://drive.google.com/file/d/11x-qgf2t3hM4Jpd6u2oE2sS1cCtbteMI/view?usp=share_link</t>
  </si>
  <si>
    <t>ESP-HFIR-101</t>
  </si>
  <si>
    <t>https://drive.google.com/file/d/1chl77fdNxkZSkig2lLYAJyXcYbgZlG2o/view?usp=share_link</t>
  </si>
  <si>
    <t>ESP-HFIR-102</t>
  </si>
  <si>
    <t>https://drive.google.com/file/d/1uheAGkSA54OB3IImwPhoKuX76XaHmLmO/view?usp=share_link</t>
  </si>
  <si>
    <t>ESP-HFIR-103</t>
  </si>
  <si>
    <t>https://drive.google.com/file/d/1EQFiP81oE3NrE_MudP3k-6XWzBEVgTHX/view?usp=share_link</t>
  </si>
  <si>
    <t>ESP-HFIR-104</t>
  </si>
  <si>
    <t>https://drive.google.com/file/d/14zQS-y2go1J-_8AEaBj1ry4KPdVgook7/view?usp=share_link</t>
  </si>
  <si>
    <t>ESP-HFIR-105</t>
  </si>
  <si>
    <t>https://drive.google.com/file/d/1eB4Ag_zOL0quRtWWBSVk5XWjDeZqaQwC/view?usp=share_link</t>
  </si>
  <si>
    <t>ESP-HFIR-106</t>
  </si>
  <si>
    <t>https://drive.google.com/file/d/1MD77t8pik_vd7uPzvsbKFXwPfE5rnGOa/view?usp=share_link</t>
  </si>
  <si>
    <t>ESP-HFIR-107</t>
  </si>
  <si>
    <t>https://drive.google.com/file/d/1C6y2hxn_yTGVrddf_pWE_MCKd1qQcjAe/view?usp=share_link</t>
  </si>
  <si>
    <t>ESP-HFIR-108</t>
  </si>
  <si>
    <t>ESP-HFIR-109</t>
  </si>
  <si>
    <t>ESP-HFIR-110</t>
  </si>
  <si>
    <t>LD-LX FR RR</t>
  </si>
  <si>
    <t>ESP-HFIR-111</t>
  </si>
  <si>
    <t>https://drive.google.com/file/d/1nAYncWvaiynSkpuaJVl2toqSx49M_Gtg/view?usp=share_link</t>
  </si>
  <si>
    <t>ESP-HFIR-112</t>
  </si>
  <si>
    <t>https://drive.google.com/file/d/12jmioIncZ6aV1A7u02BqZleNjx7J9iuV/view?usp=share_link</t>
  </si>
  <si>
    <t>ESP-HFIR-113</t>
  </si>
  <si>
    <t>https://drive.google.com/file/d/1EHjYxrKNwMroE2lNjohNi_1cYZ86r2Xq/view?usp=share_link</t>
  </si>
  <si>
    <t>LA FR DAR LH/RH</t>
  </si>
  <si>
    <t>ESP-HFIR-114</t>
  </si>
  <si>
    <t>https://drive.google.com/file/d/1x1IghxQb6-2Vlg_Mbj024uiuFiq67ys2/view?usp=share_link</t>
  </si>
  <si>
    <t>ESP-HFIR-115</t>
  </si>
  <si>
    <t>https://drive.google.com/file/d/15C_ifNOU0aLrgIKbEigyfFhAG6GGgwSv/view?usp=share_link</t>
  </si>
  <si>
    <t>ESP-HFIR-116</t>
  </si>
  <si>
    <t>https://drive.google.com/file/d/1VBXN1U4cjIWgj3SBBh01Z4PG_ZV_lJYb/view?usp=share_link</t>
  </si>
  <si>
    <t>ESP-HFIR-117</t>
  </si>
  <si>
    <t>https://drive.google.com/file/d/129i9QhLAD4msfujY8c6PYE__Z7L5xMyD/view?usp=share_link</t>
  </si>
  <si>
    <t>LX CLUSTER BROW</t>
  </si>
  <si>
    <t>ESP-HFIR-118</t>
  </si>
  <si>
    <t>https://drive.google.com/file/d/1a2UqU9adtO9asoVZTEyfEN8OACRBz-W4/view?usp=share_link</t>
  </si>
  <si>
    <t>ESP-HFIR-119</t>
  </si>
  <si>
    <t>ESP-HFIR-120</t>
  </si>
  <si>
    <t>ESP-HFIR-121</t>
  </si>
  <si>
    <t>HFI SAN LUIS POTOSI</t>
  </si>
  <si>
    <t>ESP-HFIS-001</t>
  </si>
  <si>
    <t>https://drive.google.com/file/d/1ymMWhbqYxT4hgM56CJezo3tesO6MWpjz/view?usp=share_link</t>
  </si>
  <si>
    <t>ESP-HFIS-002</t>
  </si>
  <si>
    <t>https://drive.google.com/file/d/1Skd-pUqtMhDaSzRwpgwbYLmcaKMXw7U7/view?usp=share_link</t>
  </si>
  <si>
    <t>BR167 II (MERCEDES 2)</t>
  </si>
  <si>
    <t>ESP-HFIS-003</t>
  </si>
  <si>
    <t>https://drive.google.com/file/d/1Y47ybYXEXdbS6tmrZIKnca7R8Yl-QMVO/view?usp=share_link</t>
  </si>
  <si>
    <t>ESP-HFIS-004</t>
  </si>
  <si>
    <t>BR167 II</t>
  </si>
  <si>
    <t>ESP-HFIS-005</t>
  </si>
  <si>
    <t>https://drive.google.com/file/d/18pFr2i2P74upi0W8QTezodS_tSDpkLRI/view?usp=share_link</t>
  </si>
  <si>
    <t>ESP-HFIS-006</t>
  </si>
  <si>
    <t>https://drive.google.com/file/d/1UsPCXpFA-BB3hEfYzpN70c_ocgne8zvd/view?usp=share_link</t>
  </si>
  <si>
    <t>ESP-HFIS-007</t>
  </si>
  <si>
    <t>https://drive.google.com/file/d/17FeNZXiGSHf4vPdCIdtpPkp_CSo_Llw_/view?usp=share_link</t>
  </si>
  <si>
    <t>ESP-HFIS-008</t>
  </si>
  <si>
    <t>ESP-HFIS-009</t>
  </si>
  <si>
    <t>ESP-HFIS-011</t>
  </si>
  <si>
    <t>ESP-HFIS-012</t>
  </si>
  <si>
    <t>ESP-HFIS-013</t>
  </si>
  <si>
    <t>CIVIC 56 CAVIDADES</t>
  </si>
  <si>
    <t>ESP-HFIS-014</t>
  </si>
  <si>
    <t>https://drive.google.com/file/d/1UYreyYzbPqocVLLwzpXGAffbaGu9-qUY/view?usp=share_link</t>
  </si>
  <si>
    <t>ESP-HFIS-015</t>
  </si>
  <si>
    <t>https://drive.google.com/file/d/1qVQ5mDC3Tw641abU9v50ANH6dvFGRjyg/view?usp=share_link</t>
  </si>
  <si>
    <t>ESP-HFIS-016</t>
  </si>
  <si>
    <t>https://drive.google.com/file/d/1cdSptg-rg1fENllqDYKtohgYWLWlWGja/view?usp=share_link</t>
  </si>
  <si>
    <t>ESP-HFIS-017</t>
  </si>
  <si>
    <t>https://drive.google.com/file/d/1EEgp7PBIOTB8guT0o-raYaxBkAd8I5QR/view?usp=share_link</t>
  </si>
  <si>
    <t>910B-23M CONSOLE LID</t>
  </si>
  <si>
    <t>ESP-HFIS-018</t>
  </si>
  <si>
    <t>https://drive.google.com/file/d/1EqIP87P_i5-WtFg4OAXeOCRetnmP12D2/view?usp=share_link</t>
  </si>
  <si>
    <t>ESP-HFIS-019</t>
  </si>
  <si>
    <t>https://drive.google.com/file/d/18IBAIQ2JHx3b4IoXGP7oIfRevhvT9sqs/view?usp=share_link</t>
  </si>
  <si>
    <t>ESP-HFIS-020</t>
  </si>
  <si>
    <t>https://drive.google.com/file/d/1Gh-brUIerydS3LmH-OhVcScDHlvOiYXj/view?usp=share_link</t>
  </si>
  <si>
    <t>ESP-HFIS-021</t>
  </si>
  <si>
    <t>https://drive.google.com/file/d/1-Vf8T2NPW-4vn261ztf2Bpvvq-t-k3uo/view?usp=share_link</t>
  </si>
  <si>
    <t>ESP-HFIS-022</t>
  </si>
  <si>
    <t>https://drive.google.com/file/d/1Xg0l5qaRIe3P1ga_SpZSJODBNRMvvp4r/view?usp=share_link</t>
  </si>
  <si>
    <t>HFI SILAO</t>
  </si>
  <si>
    <t>60 X 56 X 58</t>
  </si>
  <si>
    <t>30 AA ACORD 23 RR DAR PL489</t>
  </si>
  <si>
    <t>ESP-HFISO-011</t>
  </si>
  <si>
    <t>https://drive.google.com/file/d/1Ld6ssTXKyhvfq4UCU2kphT2sGwoIQghr/view?usp=share_link</t>
  </si>
  <si>
    <t>REJILLA ACORD</t>
  </si>
  <si>
    <t>31 AA ACORD 23 RR DAR PL489</t>
  </si>
  <si>
    <t>ESP-HFISO-012</t>
  </si>
  <si>
    <t>https://drive.google.com/file/d/1ie1TDS-XPehSJBfYiUGql_PtF2cV0kge/view?usp=share_link</t>
  </si>
  <si>
    <t>60 X 56 X 70</t>
  </si>
  <si>
    <t>30 AA ACORD 23 FR DAR PL489</t>
  </si>
  <si>
    <t>ESP-HFISO-013</t>
  </si>
  <si>
    <t>https://drive.google.com/file/d/1wunUYIqarosTrwfwrpu3LMfZUVw32mr0/view?usp=share_link</t>
  </si>
  <si>
    <t>REJILLA ACORD FR</t>
  </si>
  <si>
    <t>ESP-HFISO-014</t>
  </si>
  <si>
    <t>https://drive.google.com/file/d/14xz3mMgLmxogbPkSHsRSmaY1fA_oRlF9/view?usp=share_link</t>
  </si>
  <si>
    <t>INDUMENTARIA LOPEZ</t>
  </si>
  <si>
    <t>ESP-INL-001</t>
  </si>
  <si>
    <t>https://drive.google.com/file/d/1J8DqiVxoJLkmy-dMZ6V5Bc3geVQU-fh0/view?usp=share_link</t>
  </si>
  <si>
    <t>TAPA TROQUELADA</t>
  </si>
  <si>
    <t>ESP-INL-002</t>
  </si>
  <si>
    <t>https://drive.google.com/file/d/1Sd0qU9MhwSRpRIP1yxCE0x2DnL31A0vu/view?usp=share_link</t>
  </si>
  <si>
    <t>SEPARADOR TROQUELADO</t>
  </si>
  <si>
    <t>ESP-INL-003</t>
  </si>
  <si>
    <t>https://drive.google.com/file/d/1ErSX3nPes0bg0QRt7E2aklXBFX_m1r2z/view?usp=share_link</t>
  </si>
  <si>
    <t>CAJA TROQ GRANDE</t>
  </si>
  <si>
    <t xml:space="preserve">CAJA TROQUELAD GRANDE </t>
  </si>
  <si>
    <t xml:space="preserve">CAJA TROQUELADA GRANDE </t>
  </si>
  <si>
    <t>ESP-INL-004</t>
  </si>
  <si>
    <t>https://drive.google.com/file/d/150T9illvFM5SEz_siXZVOZRgB2gDTU0U/view?usp=share_link</t>
  </si>
  <si>
    <t xml:space="preserve">TAPA TROQUELADA GRANDE </t>
  </si>
  <si>
    <t>TAPA TROQUELADA GRANDE</t>
  </si>
  <si>
    <t>ESP-INL-005</t>
  </si>
  <si>
    <t>https://drive.google.com/file/d/1OMKxgkPhSwtfxSlevKRwKmz2FNb8m3fs/view?usp=share_link</t>
  </si>
  <si>
    <t>SEP TROQ GRANDE</t>
  </si>
  <si>
    <t>SEPARADOR TROQUELADO GRANDE</t>
  </si>
  <si>
    <t>ESP-INL-006</t>
  </si>
  <si>
    <t>https://drive.google.com/file/d/12iNjgRoZCg70Tyt1TWe7QDEldUZR8IrO/view?usp=share_link</t>
  </si>
  <si>
    <t>INSERTO CHICO</t>
  </si>
  <si>
    <t>CHICO</t>
  </si>
  <si>
    <t>ESP-INL-007</t>
  </si>
  <si>
    <t>https://drive.google.com/file/d/1yTwuF6Mgit4-KIr1b4aub1T-IuhIMMjq/view?usp=share_link</t>
  </si>
  <si>
    <t xml:space="preserve">INSERTO GRANDE </t>
  </si>
  <si>
    <t>GRANDE</t>
  </si>
  <si>
    <t>ESP-INL-008</t>
  </si>
  <si>
    <t>https://drive.google.com/file/d/1suRP-3-Y195HQuMuBAwZuFNuDm_lye_9/view?usp=share_link</t>
  </si>
  <si>
    <t>INMAGUSA</t>
  </si>
  <si>
    <t xml:space="preserve">29" X 27" </t>
  </si>
  <si>
    <t>ESP-INM-001</t>
  </si>
  <si>
    <t>https://drive.google.com/file/d/179kYQd0QTcR1Vd31SiHj_SAhP41jHpEW/view?usp=share_link</t>
  </si>
  <si>
    <t>48" X 48" X 33"</t>
  </si>
  <si>
    <t>ESP-INM-002</t>
  </si>
  <si>
    <t>https://drive.google.com/file/d/1C0FNstAnsshfw7JwfXQl8US3q5oGNg2L/view?usp=share_link</t>
  </si>
  <si>
    <t>28" X 45" X 29"</t>
  </si>
  <si>
    <t>ESP-INM-003</t>
  </si>
  <si>
    <t>https://drive.google.com/file/d/1f0syLddUYJaL1XORrhsvC6rqR_pKhfXf/view?usp=share_link</t>
  </si>
  <si>
    <t>INOVALTERNA</t>
  </si>
  <si>
    <t>033870001U</t>
  </si>
  <si>
    <t>ESP-INV-002</t>
  </si>
  <si>
    <t>https://drive.google.com/file/d/1USXK_5ADqTUCE7IWsoCvOPghNwCpFvEU/view?usp=share_link</t>
  </si>
  <si>
    <t>GAYLOR -48" X 38" X 28"</t>
  </si>
  <si>
    <t>ESP-INV-003</t>
  </si>
  <si>
    <t>https://drive.google.com/file/d/1Wk5ZDla8dT-TKPF9_MO2Su3lg3FZt84O/view?usp=share_link</t>
  </si>
  <si>
    <t>ESP-INV-004</t>
  </si>
  <si>
    <t>https://drive.google.com/file/d/1U-eVhbQ77F7zVr604DatGoQ8VQvMjQFB/view?usp=share_link</t>
  </si>
  <si>
    <t>IRVIN PRODUCTS</t>
  </si>
  <si>
    <t>CARD 18 X 17 X 16</t>
  </si>
  <si>
    <t>I-SERIES</t>
  </si>
  <si>
    <t>ESP-IRV-001</t>
  </si>
  <si>
    <t>https://drive.google.com/file/d/147nYZwwRFRZE8xTuRQZ5kscRN7FPQRae/view?usp=share_link</t>
  </si>
  <si>
    <t>JCI DERRAMADERO</t>
  </si>
  <si>
    <t>ESP-JCI-001</t>
  </si>
  <si>
    <t>https://drive.google.com/file/d/1S62ihVuOOkJ9pAV6Nbra5fIWcphb6PJp/view?usp=share_link</t>
  </si>
  <si>
    <t>JCI METALES</t>
  </si>
  <si>
    <t>ESP-JCIM-001</t>
  </si>
  <si>
    <t>https://drive.google.com/file/d/1WDJsOkhONaGwmSCp_2gDAE6LLjIVhbV7/view?usp=share_link</t>
  </si>
  <si>
    <t>JCI RAMOS II</t>
  </si>
  <si>
    <t>GMX-352</t>
  </si>
  <si>
    <t>TAPA 352</t>
  </si>
  <si>
    <t>ESP-JCIR-016</t>
  </si>
  <si>
    <t>https://drive.google.com/file/d/1kiwhyCK1KcP4BSNajq1uCsXVY3qDtBVo/view?usp=share_link</t>
  </si>
  <si>
    <t>ASIENTO</t>
  </si>
  <si>
    <t>ASIENTO INDIVIDUAL</t>
  </si>
  <si>
    <t>ESP-JCIR-017</t>
  </si>
  <si>
    <t>https://drive.google.com/file/d/1Qx3Rur6VWD2WTI4PXgOQ8yEL69h7-Vgx/view?usp=share_link</t>
  </si>
  <si>
    <t>ASIENTO 4PZ</t>
  </si>
  <si>
    <t>ESP-JCIR-018</t>
  </si>
  <si>
    <t>https://drive.google.com/file/d/1lv-SyFOpLDTzXw6jtNCb2ECiEayCOL3P/view?usp=share_link</t>
  </si>
  <si>
    <t>RESPALDO</t>
  </si>
  <si>
    <t>CAJA TELESCÓPICA</t>
  </si>
  <si>
    <t>RESPALDO INDIVIDUAL</t>
  </si>
  <si>
    <t>ESP-JCIR-019</t>
  </si>
  <si>
    <t>https://drive.google.com/file/d/1vvcQi3kfZPSxH45lfRpQLiT108JBaA77/view?usp=share_link</t>
  </si>
  <si>
    <t>RESPADO UNIVERSAL 4PZS</t>
  </si>
  <si>
    <t>ESP-JCIR-020</t>
  </si>
  <si>
    <t>https://drive.google.com/file/d/1V0Od56hHfRwporjTwfbRFpj2O6UGW4Rc/view?usp=share_link</t>
  </si>
  <si>
    <t>U-625</t>
  </si>
  <si>
    <t>ESP-JCIR-021</t>
  </si>
  <si>
    <t>https://drive.google.com/file/d/1Q9mSnJcd7eGSokMJg1hndPSfDDsG7R34/view?usp=share_link</t>
  </si>
  <si>
    <t>ESP-JCIR-022</t>
  </si>
  <si>
    <t>https://drive.google.com/file/d/1niO_W8SA5FGmk0Bm0IvUZpw6paGXxFJK/view?usp=share_link</t>
  </si>
  <si>
    <t>ESP-JCIR-023</t>
  </si>
  <si>
    <t>https://drive.google.com/file/d/15qYyn3dCyrKZitUAw4In-eYfDRGwlwGr/view?usp=share_link</t>
  </si>
  <si>
    <t>ESP-JCIR-024</t>
  </si>
  <si>
    <t>https://drive.google.com/file/d/13Na6JYWLbBRgtn2sCTZJjUGBT1a4qX6c/view?usp=share_link</t>
  </si>
  <si>
    <t>ESP-JCIR-025</t>
  </si>
  <si>
    <t>https://drive.google.com/file/d/1hHxU9G6QZVcmRQ4SrK1c0UOxGlrE0Syx/view?usp=share_link</t>
  </si>
  <si>
    <t>JOKER IMPRESIONES</t>
  </si>
  <si>
    <t>ARCHIVO CH</t>
  </si>
  <si>
    <t>TROQ ARCHIVO</t>
  </si>
  <si>
    <t>CAJA ARCHIVO EXP</t>
  </si>
  <si>
    <t>ESP-JOK-001</t>
  </si>
  <si>
    <t>https://drive.google.com/file/d/1XPF-TQvQAzdWa-fOaW01bk969Pq5F81G/view?usp=share_link</t>
  </si>
  <si>
    <t>JOSE A. DAVILA</t>
  </si>
  <si>
    <t>REJ 3 CAV</t>
  </si>
  <si>
    <t>ESP-JAD-001</t>
  </si>
  <si>
    <t>https://drive.google.com/file/d/1xLzOU5nP1cpoQP_0sbNMtvU0DPfhEZSd/view?usp=share_link</t>
  </si>
  <si>
    <t>KETEMA</t>
  </si>
  <si>
    <t>49.5 X 29.5 X 23</t>
  </si>
  <si>
    <t>ESP-KET-001</t>
  </si>
  <si>
    <t>https://drive.google.com/file/d/1ww_IkOWKxzCHVSl9jE71HflqAQ-MFems/view?usp=share_link</t>
  </si>
  <si>
    <t>48" X 45" X 34"</t>
  </si>
  <si>
    <t>https://drive.google.com/file/d/1RH4D200qKzdg3nlZ5oMtwPma1UZ60lkJ/view?usp=share_link</t>
  </si>
  <si>
    <t>19.5 X 12.5 X 10</t>
  </si>
  <si>
    <t>https://drive.google.com/file/d/127oZ_5AslnF5oRlP80AnW6J4wH0RN9f0/view?usp=share_link</t>
  </si>
  <si>
    <t>https://drive.google.com/file/d/1xWjWfCZOICMJLGrNvCYRZ5uG5gXFDCx4/view?usp=share_link</t>
  </si>
  <si>
    <t>https://drive.google.com/file/d/1wIN97DEBs1wwBHgCPO72zgpe9mSl-CR6/view?usp=share_link</t>
  </si>
  <si>
    <t>LUIS CORTÉS</t>
  </si>
  <si>
    <t>40 PIEZAS</t>
  </si>
  <si>
    <t>ESP-LCT-001</t>
  </si>
  <si>
    <t>https://drive.google.com/file/d/1lhE0fwG4kPf-4V1XbJ762JR3P-b3aJaB/view?usp=share_link</t>
  </si>
  <si>
    <t>ESP-LCT-002</t>
  </si>
  <si>
    <t>https://drive.google.com/file/d/1Fuumx9lF8_4Tlhr7OYG3FfXD5SaESk9T/view?usp=share_link</t>
  </si>
  <si>
    <t>ESP-LCT-003</t>
  </si>
  <si>
    <t>https://drive.google.com/file/d/1aCM7UBy-qk6qIIUb6zbcatJHd7D08Yoz/view?usp=share_link</t>
  </si>
  <si>
    <t>SEPADOR</t>
  </si>
  <si>
    <t>ESP-LCT-004</t>
  </si>
  <si>
    <t>https://drive.google.com/file/d/1O2IynxtA23OaUYYRaIWcdbyAGD8oy9Td/view?usp=share_link</t>
  </si>
  <si>
    <t>ESP-LCT-005</t>
  </si>
  <si>
    <t>https://drive.google.com/file/d/1nLxe1qkWAI9wuDDJQbuJLIUVMgdzkD4A/view?usp=share_link</t>
  </si>
  <si>
    <t>TARIAMA</t>
  </si>
  <si>
    <t>ESP-LCT-006</t>
  </si>
  <si>
    <t>https://drive.google.com/file/d/1NyWkDHXzpxZVgaZa4efvuWlLpJLzVRKn/view?usp=share_link</t>
  </si>
  <si>
    <t>50 PIEZAS</t>
  </si>
  <si>
    <t>ESP-LCT-007</t>
  </si>
  <si>
    <t>https://drive.google.com/file/d/1d5wrrSNDxXe6Ji9DhwpjaIBaCQasDmr8/view?usp=share_link</t>
  </si>
  <si>
    <t>ESP-LCT-008</t>
  </si>
  <si>
    <t>https://drive.google.com/file/d/1x8CYK7jLs3Yb0dl-GTzkVViyavzZZSk1/view?usp=share_link</t>
  </si>
  <si>
    <t>ESP-LCT-009</t>
  </si>
  <si>
    <t>https://drive.google.com/file/d/12TgLeUM2pFVsJLW8fVXukp6pqtkb55l6/view?usp=share_link</t>
  </si>
  <si>
    <t>ESP-LCT-010</t>
  </si>
  <si>
    <t>https://drive.google.com/file/d/1sxN5lWR0Yw3DX1wycVh3REHeKJtVLZnU/view?usp=share_link</t>
  </si>
  <si>
    <t>ESP-LCT-011</t>
  </si>
  <si>
    <t>https://drive.google.com/file/d/1_eu391f_oCr-36FC2FGaF7AafqzJeZYM/view?usp=share_link</t>
  </si>
  <si>
    <t>ESP-LCT-012</t>
  </si>
  <si>
    <t>https://drive.google.com/file/d/1VjlF33mJzKp1I7XYvHwg0UBs_o7QQS6a/view?usp=share_link</t>
  </si>
  <si>
    <t>LUNALABSMÉXICO</t>
  </si>
  <si>
    <t>COLECTIVA</t>
  </si>
  <si>
    <t>ESP-LUN-001</t>
  </si>
  <si>
    <t>https://drive.google.com/file/d/1_2gb6P0Zfa7VzIU4e0NRUnqvtXXj2eKe/view?usp=share_link</t>
  </si>
  <si>
    <t>CHICA</t>
  </si>
  <si>
    <t>ESP-LUN-002</t>
  </si>
  <si>
    <t>https://drive.google.com/file/d/1varYv3MhUU6pHUwM1Gj69YUtQy3jxLyN/view?usp=share_link</t>
  </si>
  <si>
    <t>ESP-LUN-003</t>
  </si>
  <si>
    <t>https://drive.google.com/file/d/11-KrDhDdtvu0Nb270ntw2_geroOsO0mC/view?usp=share_link</t>
  </si>
  <si>
    <t>ESP-LUN-004</t>
  </si>
  <si>
    <t>https://drive.google.com/file/d/1KhaM3D-Aq2_GN1wbj3qVUKSb3iv2JPWX/view?usp=share_link</t>
  </si>
  <si>
    <t xml:space="preserve">MEDIANA </t>
  </si>
  <si>
    <t>ESP-LUN-005</t>
  </si>
  <si>
    <t>https://drive.google.com/file/d/1f1J_INF8tBWME4IhyZs-D9EuoOKYcrXd/view?usp=share_link</t>
  </si>
  <si>
    <t>ESP-LUN-006</t>
  </si>
  <si>
    <t>https://drive.google.com/file/d/1RpK0SuUYKb-F6UvgH5md5azZlBcm0Fw_/view?usp=share_link</t>
  </si>
  <si>
    <t>ESP-LUN-007</t>
  </si>
  <si>
    <t>https://drive.google.com/file/d/1t3Dp4ccESobsaTGRszluJ0JeYSbL50j2/view?usp=share_link</t>
  </si>
  <si>
    <t xml:space="preserve">GRANDE </t>
  </si>
  <si>
    <t>ESP-LUN-008</t>
  </si>
  <si>
    <t>https://drive.google.com/file/d/1CbdIldH4ryvA2P1jrxYLsKOfKlXV1Wct/view?usp=share_link</t>
  </si>
  <si>
    <t>ESP-LUN-009</t>
  </si>
  <si>
    <t>https://drive.google.com/file/d/1EA4qJZsRI0w-UHqRAo8u0YJkdPFo0Oho/view?usp=share_link</t>
  </si>
  <si>
    <t>ESP-LUN-010</t>
  </si>
  <si>
    <t>https://drive.google.com/file/d/13IZyyyLMozarJCLlJV0-6rHycaVmGo7q/view?usp=share_link</t>
  </si>
  <si>
    <t>MANGA CIMS</t>
  </si>
  <si>
    <t xml:space="preserve">21" X 14" X 14" </t>
  </si>
  <si>
    <t>ESP-MAGC-001</t>
  </si>
  <si>
    <t>https://drive.google.com/file/d/16uzmJQZPB4KD04nkd_yqM1BZiEu_B4oB/view?usp=share_link</t>
  </si>
  <si>
    <t>MANGA ESTAMPADOS</t>
  </si>
  <si>
    <t>PACKARD</t>
  </si>
  <si>
    <t>ESP-EST-001</t>
  </si>
  <si>
    <t>https://drive.google.com/file/d/1P2TYrpTetcpejfqp2qDIAvoYplV72xBg/view?usp=share_link</t>
  </si>
  <si>
    <t>ESP-EST-002</t>
  </si>
  <si>
    <t>https://drive.google.com/file/d/1BkCUldxpJ-Aluzly8714pxxa56A1jm_t/view?usp=share_link</t>
  </si>
  <si>
    <t>ESP-EST-003</t>
  </si>
  <si>
    <t>https://drive.google.com/file/d/1-kQ_UlPDUzFDvm0RluGFTMYSHLu_UJyU/view?usp=share_link</t>
  </si>
  <si>
    <t>ESP-EST-004</t>
  </si>
  <si>
    <t>https://drive.google.com/file/d/1x1HbmJ8JVNPKVbK8vjCygucbqqcXgK4y/view?usp=share_link</t>
  </si>
  <si>
    <t>PACKARD 12 LH-RH</t>
  </si>
  <si>
    <t>ESP-EST-005</t>
  </si>
  <si>
    <t>https://drive.google.com/file/d/1cHwrIZNJRgh6oZdzBfTO_QopGFdLq76-/view?usp=share_link</t>
  </si>
  <si>
    <t>ESP-EST-006</t>
  </si>
  <si>
    <t>https://drive.google.com/file/d/1gLHikZhI0hepC0ySY166k9hUeT9mkNHf/view?usp=share_link</t>
  </si>
  <si>
    <t>18-54528-000</t>
  </si>
  <si>
    <t>ESP-EST-007</t>
  </si>
  <si>
    <t>https://drive.google.com/file/d/1RQSlxaOpVcDnbYGoQYRpvH8IYEEcuuMK/view?usp=share_link</t>
  </si>
  <si>
    <t>18-54528-0000</t>
  </si>
  <si>
    <t>ESP-EST-008</t>
  </si>
  <si>
    <t>https://drive.google.com/file/d/1VckG62wsZpOyMeWk1jnLoMn2_boGiHc-/view?usp=share_link</t>
  </si>
  <si>
    <t>18-52412-000</t>
  </si>
  <si>
    <t>ESP-EST-009</t>
  </si>
  <si>
    <t>https://drive.google.com/file/d/17v-aon3CI8TB9SQfku0NToN3TYMck1Ek/view?usp=share_link</t>
  </si>
  <si>
    <t>ESP-EST-010</t>
  </si>
  <si>
    <t>https://drive.google.com/file/d/19o2LzT1-4HCry4PPAU5ALSw6Ag5-GmTe/view?usp=share_link</t>
  </si>
  <si>
    <t>18-67046-013</t>
  </si>
  <si>
    <t>ESP-EST-011</t>
  </si>
  <si>
    <t>https://drive.google.com/file/d/1J5vTuv-GZGmWRFJllc_YG0FDuJ3fP8Ps/view?usp=share_link</t>
  </si>
  <si>
    <t>ESP-EST-012</t>
  </si>
  <si>
    <t>https://drive.google.com/file/d/1LOfS2RjSNbD8qv2YpCZVxCw4wRrD4FVq/view?usp=share_link</t>
  </si>
  <si>
    <t>18-65529-004</t>
  </si>
  <si>
    <t>ESP-EST-013</t>
  </si>
  <si>
    <t>https://drive.google.com/file/d/1h11NzET_LwCmjAECpznJwok2VmPuxWn5/view?usp=share_link</t>
  </si>
  <si>
    <t>ESP-EST-014</t>
  </si>
  <si>
    <t>https://drive.google.com/file/d/1Iy4rCsGBEBfkW2V0yEoF1_HqdAKWoDPs/view?usp=share_link</t>
  </si>
  <si>
    <t>18-67151-228</t>
  </si>
  <si>
    <t>ESP-EST-015</t>
  </si>
  <si>
    <t>https://drive.google.com/file/d/191e3HBR4vxDRbs1O5iIfUVot_ENtbu1u/view?usp=share_link</t>
  </si>
  <si>
    <t>18-67151-005</t>
  </si>
  <si>
    <t>ESP-EST-016</t>
  </si>
  <si>
    <t>https://drive.google.com/file/d/17UXy62Avu8zwigjJKweP12QaMsfXSr67/view?usp=share_link</t>
  </si>
  <si>
    <t>18-67047-001</t>
  </si>
  <si>
    <t>ESP-EST-017</t>
  </si>
  <si>
    <t>https://drive.google.com/file/d/1N1EqKV3GP5PZRD2H8HUCutXVh_XBMuFo/view?usp=share_link</t>
  </si>
  <si>
    <t>ESP-EST-018</t>
  </si>
  <si>
    <t>https://drive.google.com/file/d/1zL7TglILJHNCdOrm5GuOJNvkDJZSxPth/view?usp=share_link</t>
  </si>
  <si>
    <t>18-52200-002</t>
  </si>
  <si>
    <t>ESP-EST-019</t>
  </si>
  <si>
    <t>https://drive.google.com/file/d/1suer9Ezxh_rNTNHnleayX7DE8JRMRmTn/view?usp=share_link</t>
  </si>
  <si>
    <t>ESP-EST-020</t>
  </si>
  <si>
    <t>https://drive.google.com/file/d/1ja2s3EOiREGoSrhkg-JWeOn1m9yuteWg/view?usp=share_link</t>
  </si>
  <si>
    <t>18-67044-001</t>
  </si>
  <si>
    <t>ESP-EST-021</t>
  </si>
  <si>
    <t>https://drive.google.com/file/d/1k3r2rNCluci-pDIHtP6jEkKO4JBygQX7/view?usp=share_link</t>
  </si>
  <si>
    <t>ESP-EST-022</t>
  </si>
  <si>
    <t>https://drive.google.com/file/d/1iA6x6ggwtMV4_78pjcQgKgS1wRpgs4HG/view?usp=share_link</t>
  </si>
  <si>
    <t>18-67043-000</t>
  </si>
  <si>
    <t>ESP-EST-023</t>
  </si>
  <si>
    <t>https://drive.google.com/file/d/1JgLeG1P7e-F1IIr_e9XbT6nGuXQJ4BTB/view?usp=share_link</t>
  </si>
  <si>
    <t>18-67043</t>
  </si>
  <si>
    <t>ESP-EST-024</t>
  </si>
  <si>
    <t>https://drive.google.com/file/d/1M2UFUen7RzKrUDZCGtVia-lVXlZ37dcs/view?usp=share_link</t>
  </si>
  <si>
    <t>88" X 48" X 21"</t>
  </si>
  <si>
    <t>ESP-EST-025</t>
  </si>
  <si>
    <t>https://drive.google.com/file/d/1pWbtUb1hgZd5AbgP85rKYkjDk8yaMsJF/view?usp=share_link</t>
  </si>
  <si>
    <t>ESP-EST-026</t>
  </si>
  <si>
    <t>https://drive.google.com/file/d/108Xx6X52VtK-Nz7TVZDcw1Vj8H4OWxGD/view?usp=share_link</t>
  </si>
  <si>
    <t>ESP-EST-027</t>
  </si>
  <si>
    <t>https://drive.google.com/file/d/1h5ADe367RImuqTGG3izr9ZOTBN738jPg/view?usp=share_link</t>
  </si>
  <si>
    <t>18-62157-001</t>
  </si>
  <si>
    <t>ESP-EST-028</t>
  </si>
  <si>
    <t>https://drive.google.com/file/d/1VgdgbSuPmLSbUnqIYEJWkSZs7BnlUy8G/view?usp=share_link</t>
  </si>
  <si>
    <t>ESP-EST-029</t>
  </si>
  <si>
    <t>https://drive.google.com/file/d/1AF_TKqS91tt9RxTOjon2jG1V6rXttq_e/view?usp=share_link</t>
  </si>
  <si>
    <t>18-69252-001</t>
  </si>
  <si>
    <t>ESP-EST-030</t>
  </si>
  <si>
    <t>https://drive.google.com/file/d/1nzhpdX7u-77qe5Swf803VX_tESfnBWLP/view?usp=share_link</t>
  </si>
  <si>
    <t>ESP-EST-031</t>
  </si>
  <si>
    <t>https://drive.google.com/file/d/1dboQn3jXz_aXf2OyDZjVs3H2gKcHg-YR/view?usp=share_link</t>
  </si>
  <si>
    <t>3594471C4</t>
  </si>
  <si>
    <t>ESP-EST-032</t>
  </si>
  <si>
    <t>https://drive.google.com/file/d/1Li7ZoHkAv4bgCPptuVLSK3VCYhexn-w0/view?usp=share_link</t>
  </si>
  <si>
    <t>ESP-EST-033</t>
  </si>
  <si>
    <t>https://drive.google.com/file/d/1MVAtQXoElPZm7yePZp7vLhtFbtEiKHJH/view?usp=share_link</t>
  </si>
  <si>
    <t>18-52161-008</t>
  </si>
  <si>
    <t>ESP-EST-034</t>
  </si>
  <si>
    <t>https://drive.google.com/file/d/18vevvYF5jJSbX61cCr70u4xSf-7snIa1/view?usp=share_link</t>
  </si>
  <si>
    <t>ESP-EST-035</t>
  </si>
  <si>
    <t>https://drive.google.com/file/d/1JAiqImMPwzYPu_uBLp4dLlYCwHu8H_lf/view?usp=share_link</t>
  </si>
  <si>
    <t>18-66378-007</t>
  </si>
  <si>
    <t>ESP-EST-036</t>
  </si>
  <si>
    <t>https://drive.google.com/file/d/1f1cDSUSD79t9XkgIendOJZ2WB3IVceZF/view?usp=share_link</t>
  </si>
  <si>
    <t>ESP-EST-037</t>
  </si>
  <si>
    <t>https://drive.google.com/file/d/1tA0iHCrKOflxww11OhLJS6YoZoP6r6qw/view?usp=share_link</t>
  </si>
  <si>
    <t>3594463C5</t>
  </si>
  <si>
    <t>ESP-EST-038</t>
  </si>
  <si>
    <t>https://drive.google.com/file/d/1QQseozMHNJefkTBIqmDZZD-G5oX2MJWp/view?usp=share_link</t>
  </si>
  <si>
    <t>3594453C5</t>
  </si>
  <si>
    <t>ESP-EST-039</t>
  </si>
  <si>
    <t>https://drive.google.com/file/d/1BtKSNLCARMFj_urwXfHa9FAo_27PDkQ0/view?usp=share_link</t>
  </si>
  <si>
    <t>18-57527-003</t>
  </si>
  <si>
    <t>ESP-EST-040</t>
  </si>
  <si>
    <t>https://drive.google.com/file/d/17v6w0vHvbqJldStvATDdbYPpTzPg3Vxw/view?usp=share_link</t>
  </si>
  <si>
    <t>ESP-EST-041</t>
  </si>
  <si>
    <t>https://drive.google.com/file/d/1tpR8_s1XJRD-T9--WHiE_0SEq3Z8rCiv/view?usp=share_link</t>
  </si>
  <si>
    <t>18-66377-000</t>
  </si>
  <si>
    <t>ESP-EST-042</t>
  </si>
  <si>
    <t>https://drive.google.com/file/d/16y3eGO4A-GA1i7JbzgNgHlc4JhHYmlA5/view?usp=share_link</t>
  </si>
  <si>
    <t>ESP-EST-043</t>
  </si>
  <si>
    <t>https://drive.google.com/file/d/1NjHr96wz_vwR2F4J8XWf-T1F84CcgnVz/view?usp=share_link</t>
  </si>
  <si>
    <t>18-71201-000</t>
  </si>
  <si>
    <t>ESP-EST-044</t>
  </si>
  <si>
    <t>https://drive.google.com/file/d/1pzUS7sLuZMAT9wlWgxQ_8W89xbFm6wIc/view?usp=share_link</t>
  </si>
  <si>
    <t>ESP-EST-045</t>
  </si>
  <si>
    <t>https://drive.google.com/file/d/1hD-78YuSJCfQuJaR5zpvsps12yJZq7Tj/view?usp=share_link</t>
  </si>
  <si>
    <t>18-67045-002</t>
  </si>
  <si>
    <t>ESP-EST-046</t>
  </si>
  <si>
    <t>https://drive.google.com/file/d/1AXO2ha6GI3eZxfDOwlwn23RTv1aEVuhQ/view?usp=share_link</t>
  </si>
  <si>
    <t>ESP-EST-047</t>
  </si>
  <si>
    <t>https://drive.google.com/file/d/1IZoB4sRM4EeIqC2TRKkn7ikWaqrAxmXe/view?usp=share_link</t>
  </si>
  <si>
    <t>18-52411-000</t>
  </si>
  <si>
    <t>ESP-EST-048</t>
  </si>
  <si>
    <t>https://drive.google.com/file/d/1sNA1ayS0cL33ftnVaGey7IZv4j1kJTQf/view?usp=share_link</t>
  </si>
  <si>
    <t>ESP-EST-049</t>
  </si>
  <si>
    <t>https://drive.google.com/file/d/1I30h3zXYSlwY_JIYHq8te359D5zDxnYe/view?usp=share_link</t>
  </si>
  <si>
    <t>18-66379-000</t>
  </si>
  <si>
    <t>ESP-EST-050</t>
  </si>
  <si>
    <t>https://drive.google.com/file/d/19sKY60nX1zbPFZQf47UEV1afWLIroG_a/view?usp=share_link</t>
  </si>
  <si>
    <t>ESP-EST-051</t>
  </si>
  <si>
    <t>https://drive.google.com/file/d/1EQMVfIhlNU5Naj4ynk6otedYXV8ET5uF/view?usp=share_link</t>
  </si>
  <si>
    <t>18-7436-000</t>
  </si>
  <si>
    <t>ESP-EST-052</t>
  </si>
  <si>
    <t>https://drive.google.com/file/d/1tUTciTC_IueGlINv1aPBwBgd1xwSoig3/view?usp=share_link</t>
  </si>
  <si>
    <t>18-6436-000</t>
  </si>
  <si>
    <t>ESP-EST-053</t>
  </si>
  <si>
    <t>https://drive.google.com/file/d/1GdpSmP2pEQXkm-hr6A4NSX7Im3Xi_WKn/view?usp=share_link</t>
  </si>
  <si>
    <t xml:space="preserve">54" X 44" X 25" </t>
  </si>
  <si>
    <t>ESP-EST-054</t>
  </si>
  <si>
    <t>https://drive.google.com/file/d/14KWHXoTub02DxEfcgIdPzd9tHBn8LoyM/view?usp=share_link</t>
  </si>
  <si>
    <t>ESP-EST-055</t>
  </si>
  <si>
    <t>https://drive.google.com/file/d/1to8IcJuiFi4RbJ5tihM0Xbf2Zj6xQBE3/view?usp=share_link</t>
  </si>
  <si>
    <t>ESP-EST-056</t>
  </si>
  <si>
    <t>https://drive.google.com/file/d/1fkmTo6xB5gDgJ-3ch6uZMJTVAFd0iYCt/view?usp=share_link</t>
  </si>
  <si>
    <t>48" X 40" X 27"</t>
  </si>
  <si>
    <t>ESP-EST-057</t>
  </si>
  <si>
    <t>https://drive.google.com/file/d/1umYLU8N-rog600YpXS38k6-VrYUSUCzU/view?usp=share_link</t>
  </si>
  <si>
    <t>ESP-EST-058</t>
  </si>
  <si>
    <t>https://drive.google.com/file/d/1wqTPuR40ozxIzUGDhLv3cUdetIR16JVH/view?usp=share_link</t>
  </si>
  <si>
    <t>ESP-EST-059</t>
  </si>
  <si>
    <t>https://drive.google.com/file/d/1RRAWROw23jSViiC1n99W9SAw_XA5d5x_/view?usp=share_link</t>
  </si>
  <si>
    <t>78" X 48" X 21"</t>
  </si>
  <si>
    <t>ESP-EST-060</t>
  </si>
  <si>
    <t>https://drive.google.com/file/d/1x-zsZVEHarHh3NkRt6M2ysyihDw_yg62/view?usp=share_link</t>
  </si>
  <si>
    <t>ESP-EST-061</t>
  </si>
  <si>
    <t>https://drive.google.com/file/d/1KzjtHuqg8U3uIB8xelsWNpE83A4nmLO-/view?usp=share_link</t>
  </si>
  <si>
    <t>ESP-EST-062</t>
  </si>
  <si>
    <t>https://drive.google.com/file/d/1PR8FOYl79izCzFHxhs5DargxDxpwXy5Z/view?usp=share_link</t>
  </si>
  <si>
    <t>ARCHIVO</t>
  </si>
  <si>
    <t>ESP-EST-063</t>
  </si>
  <si>
    <t>https://drive.google.com/file/d/1csE1ILx299IwV0DOotKzyhbKBhW4nvNE/view?usp=share_link</t>
  </si>
  <si>
    <t>SET SKIN VELCRO</t>
  </si>
  <si>
    <t>ESP-EST-064</t>
  </si>
  <si>
    <t>https://drive.google.com/file/d/1Y0PCY-Eof77lysJN4iMUWbVPvBMy47V_/view?usp=share_link</t>
  </si>
  <si>
    <t>SEGURO DE VELCRO</t>
  </si>
  <si>
    <t>ESP-EST-065</t>
  </si>
  <si>
    <t>https://drive.google.com/file/d/16edmiCK_Mb7dVhl8T33TFG8vpZUfeIPj/view?usp=share_link</t>
  </si>
  <si>
    <t>ESP-EST-066</t>
  </si>
  <si>
    <t>https://drive.google.com/file/d/1GZRPlGcEjxZ-mEixYhdPr9nssd7LkcK5/view?usp=share_link</t>
  </si>
  <si>
    <t>15 X 12 X 7.5</t>
  </si>
  <si>
    <t>ESP-EST-070</t>
  </si>
  <si>
    <t>https://drive.google.com/file/d/1to5qnbjgL51-g5UhF5An7n6KXiV5uQlE/view?usp=share_link</t>
  </si>
  <si>
    <t>ESP-EST-071</t>
  </si>
  <si>
    <t>https://drive.google.com/file/d/1_yuM3xFpcl_ZKMRDLZHZcIwfadkJBlt-/view?usp=share_link</t>
  </si>
  <si>
    <t>DTNA</t>
  </si>
  <si>
    <t>ESP-EST-072</t>
  </si>
  <si>
    <t>https://drive.google.com/file/d/1eZcfC8DBjYDh2hMptKVlfILg8raHNCVP/view?usp=share_link</t>
  </si>
  <si>
    <t>ESP-EST-073</t>
  </si>
  <si>
    <t>https://drive.google.com/file/d/1k5oUOS2_G04vsax4ZV0_T0j9RC7z1g_G/view?usp=share_link</t>
  </si>
  <si>
    <t>ESP-EST-074</t>
  </si>
  <si>
    <t>https://drive.google.com/file/d/1eHcNdfxVi9jeHA4vOtfpKvrN2xy0BZDZ/view?usp=share_link</t>
  </si>
  <si>
    <t>56/112 CAV</t>
  </si>
  <si>
    <t>ESP-EST-075</t>
  </si>
  <si>
    <t>https://drive.google.com/file/d/1_xXSpSrl7iLv8YniXHo1TOAhgCOM7Rh3/view?usp=share_link</t>
  </si>
  <si>
    <t>ESP-EST-076</t>
  </si>
  <si>
    <t>https://drive.google.com/file/d/1-J2hlF6tMLaNRPB_CBlJ806H3q2P-efu/view?usp=share_link</t>
  </si>
  <si>
    <t>ESP-EST-077</t>
  </si>
  <si>
    <t>https://drive.google.com/file/d/1tigFwkTcEiaauHLnpqogSuTBa3iDyXdJ/view?usp=share_link</t>
  </si>
  <si>
    <t>ESP-EST-078</t>
  </si>
  <si>
    <t>https://drive.google.com/file/d/1ObrFPZzLW0AwSigK2Cw8koMXb7A2y6I3/view?usp=share_link</t>
  </si>
  <si>
    <t>MAGNETI MARELLI</t>
  </si>
  <si>
    <t>MUÑON</t>
  </si>
  <si>
    <t>ESP-MMR-001</t>
  </si>
  <si>
    <t>https://drive.google.com/file/d/18J2SVq16LlHabVcD1fOiSq3LwuRDhVas/view?usp=share_link</t>
  </si>
  <si>
    <t>LINK 312</t>
  </si>
  <si>
    <t>ESP-MMR-002</t>
  </si>
  <si>
    <t>https://drive.google.com/file/d/1Pm-NmO0VWv5PRwBzzzRq0VH9_r89c3dU/view?usp=share_link</t>
  </si>
  <si>
    <t>BRAZO</t>
  </si>
  <si>
    <t>ESP-MMR-003</t>
  </si>
  <si>
    <t>https://drive.google.com/file/d/1Kp8DpLWFfCbV66WRuHXb9DyQd0nFVncr/view?usp=share_link</t>
  </si>
  <si>
    <t>AXLE</t>
  </si>
  <si>
    <t>ESP-MMR-004</t>
  </si>
  <si>
    <t>https://drive.google.com/file/d/10on9dVyiX9ZxtmDAylN4dNzk0MRJY_Nu/view?usp=share_link</t>
  </si>
  <si>
    <t>CROSS MEMBER</t>
  </si>
  <si>
    <t>ESP-MMR-005</t>
  </si>
  <si>
    <t>https://drive.google.com/file/d/1RRd6PCQMd9rBAsUaJsdjt01L1Qeq-B0E/view?usp=share_link</t>
  </si>
  <si>
    <t>MAPISA</t>
  </si>
  <si>
    <t>62.5 X 26 X 23.5 cm</t>
  </si>
  <si>
    <t>ESP-MAP-001</t>
  </si>
  <si>
    <t>https://drive.google.com/file/d/1_7WUto9zLqEpyjBLXvEBuwdgEpzrq9_k/view?usp=share_link</t>
  </si>
  <si>
    <t>MARSA</t>
  </si>
  <si>
    <t xml:space="preserve">36 X 24 X 23 </t>
  </si>
  <si>
    <t>PARRAS ES TUYO</t>
  </si>
  <si>
    <t>ESP-MAR-001</t>
  </si>
  <si>
    <t>https://drive.google.com/file/d/1Vu1HbQRB-eRr7RWMi_P35-sKxLGugj-x/view?usp=share_link</t>
  </si>
  <si>
    <t>GEL</t>
  </si>
  <si>
    <t>CAJA GEL</t>
  </si>
  <si>
    <t>ESP-MAR-003</t>
  </si>
  <si>
    <t>https://drive.google.com/file/d/1Dn7xLnkyPMXfJLlic4uWUbp1Bm5k6T1J/view?usp=share_link</t>
  </si>
  <si>
    <t>BCU</t>
  </si>
  <si>
    <t>ESP-MAR-004</t>
  </si>
  <si>
    <t>https://drive.google.com/file/d/1cPcKMna4zVuzPAUBy2Bxr9M4KKk_mJ8f/view?usp=share_link</t>
  </si>
  <si>
    <t>BMC BOTE MED</t>
  </si>
  <si>
    <t>BOTE MEDIANO</t>
  </si>
  <si>
    <t>ESP-MAR-005</t>
  </si>
  <si>
    <t>https://drive.google.com/file/d/1HlXPjPUwRWspKhuFwGy10RAGRpJkMGeg/view?usp=share_link</t>
  </si>
  <si>
    <t>MS BOTE CHICO</t>
  </si>
  <si>
    <t>ESP-MAR-006</t>
  </si>
  <si>
    <t>https://drive.google.com/file/d/1zvUCxkBkT2vQ88qIgDNuh8tSe9bsUu9F/view?usp=share_link</t>
  </si>
  <si>
    <t xml:space="preserve">ARTEAGA </t>
  </si>
  <si>
    <t>ESP-MAR-008</t>
  </si>
  <si>
    <t>https://drive.google.com/file/d/1Bts5kLe1doJ-iAvR6YWq3S8qchZkiljV/view?usp=share_link</t>
  </si>
  <si>
    <t xml:space="preserve">14" X 11" X 11" </t>
  </si>
  <si>
    <t>IMPRESA 14" X 11" X 11"</t>
  </si>
  <si>
    <t>ESP-MAR-009</t>
  </si>
  <si>
    <t>https://drive.google.com/file/d/17sGSWRN7EK887biMmSmOolCfEveiTshT/view?usp=share_link</t>
  </si>
  <si>
    <t>NUEZ</t>
  </si>
  <si>
    <t>ESP-MAR-010</t>
  </si>
  <si>
    <t>https://drive.google.com/file/d/1oEeBf4F0RSbH1oAVvOu_Cxe5qN9b8Wzz/view?usp=share_link</t>
  </si>
  <si>
    <t>MS GOURMET</t>
  </si>
  <si>
    <t>12 CAV</t>
  </si>
  <si>
    <t>ESP-MAR-011</t>
  </si>
  <si>
    <t>https://drive.google.com/file/d/1wnJYipBws0mMfZDYCJWW1Dv-Xa3-ylW7/view?usp=share_link</t>
  </si>
  <si>
    <t>ESP-MAR-012</t>
  </si>
  <si>
    <t>https://drive.google.com/file/d/1yTfHVKGGgzH7nAS1QxfruzCWkT3smlHe/view?usp=share_link</t>
  </si>
  <si>
    <t>ESP-MAR-013</t>
  </si>
  <si>
    <t>https://drive.google.com/file/d/1i3tYeWJzL-Rbg082FIdzno6QubA_FZaX/view?usp=share_link</t>
  </si>
  <si>
    <t>RUP-HEB</t>
  </si>
  <si>
    <t>ESP-MAR-014</t>
  </si>
  <si>
    <t>https://drive.google.com/file/d/1D6Bfhmqc4j5DTn0aNxJzQNjAh7FIv6Xe/view?usp=share_link</t>
  </si>
  <si>
    <t>ESP-MAR-015</t>
  </si>
  <si>
    <t>https://drive.google.com/file/d/14sBLplh2n2qIXRBUCOOhsofmyK-Nz3za/view?usp=share_link</t>
  </si>
  <si>
    <t>ESP-MAR-016</t>
  </si>
  <si>
    <t>https://drive.google.com/file/d/1sn5gcmiKaWkssz2-WIr8dLflA0o2OJZg/view?usp=share_link</t>
  </si>
  <si>
    <t>MAXION INMAGUSA</t>
  </si>
  <si>
    <t>28" X 40" X 32"</t>
  </si>
  <si>
    <t>48" X 40" X 32"</t>
  </si>
  <si>
    <t>ESP-MXI-001</t>
  </si>
  <si>
    <t>https://drive.google.com/file/d/1v7rYJzjOMETW-cPZOXmPs7WYFamgrhM4/view?usp=share_link</t>
  </si>
  <si>
    <t>ESP-MXI-002</t>
  </si>
  <si>
    <t>https://drive.google.com/file/d/1SlA_6uWDZFR0wPtiX2sP5-vB0SzV6pdZ/view?usp=share_link</t>
  </si>
  <si>
    <t>ESP-MXI-003</t>
  </si>
  <si>
    <t>https://drive.google.com/file/d/1WXokUQVRx-YPQAhXdTzC96tbEjiHp35d/view?usp=share_link</t>
  </si>
  <si>
    <t>BARRA DE MADERA</t>
  </si>
  <si>
    <t>ESP-MXI-004</t>
  </si>
  <si>
    <t>https://drive.google.com/file/d/11sxLSHf1sqpYzD2fhfpDWGY3mNUov7WO/view?usp=share_link</t>
  </si>
  <si>
    <t xml:space="preserve">TARIMA DE MADERA </t>
  </si>
  <si>
    <t>ESP-MXI-005</t>
  </si>
  <si>
    <t>https://drive.google.com/file/d/1P-b43ulkhiDMDabijt-0skkpxqqL7sKO/view?usp=share_link</t>
  </si>
  <si>
    <t>ESP-MXI-006</t>
  </si>
  <si>
    <t>https://drive.google.com/file/d/1xNONR3syV4MdrGSIgdaMwtPE34Vl7yKr/view?usp=share_link</t>
  </si>
  <si>
    <t>80 X 42 X 30</t>
  </si>
  <si>
    <t>ESP-MXI-007</t>
  </si>
  <si>
    <t>https://drive.google.com/file/d/1l-Q3IPHHCRsWkmsi4_fUSGLjcRKDZ0BY/view?usp=share_link</t>
  </si>
  <si>
    <t>81 X 42 X 30</t>
  </si>
  <si>
    <t>ESP-MXI-008</t>
  </si>
  <si>
    <t>https://drive.google.com/file/d/116jLi8bB9pUqQ1utGpmSgv3gHrFkRmjz/view?usp=share_link</t>
  </si>
  <si>
    <t>ESP-MXI-009</t>
  </si>
  <si>
    <t>https://drive.google.com/file/d/1GifG5lt6o3lK9QE4lVDvoS6CDt6ofOtG/view?usp=sharing</t>
  </si>
  <si>
    <t>MEDIO PLIEGO</t>
  </si>
  <si>
    <t>CRUZ CHICA</t>
  </si>
  <si>
    <t>CRUZ</t>
  </si>
  <si>
    <t>ESP-MDP-001</t>
  </si>
  <si>
    <t>https://drive.google.com/file/d/1qkixDJ_9DoGcK0sbuqQvw2CD6JPUniv-/view?usp=share_link</t>
  </si>
  <si>
    <t>CRUZ GRANDE</t>
  </si>
  <si>
    <t xml:space="preserve">CRUZ GRANDE </t>
  </si>
  <si>
    <t>ESP-MDP-002</t>
  </si>
  <si>
    <t>https://drive.google.com/file/d/1z7MSC1TUbh9lFdpo6i1L_BAq_QM8-cwK/view?usp=share_link</t>
  </si>
  <si>
    <t>30 X 30 X 27 cm</t>
  </si>
  <si>
    <t>ESP-MDP-003</t>
  </si>
  <si>
    <t>https://drive.google.com/file/d/1sFPGNRFMhDpjKJoy-BCQKm2Jor2_Ekia/view?usp=share_link</t>
  </si>
  <si>
    <t>PIZZA CHICA</t>
  </si>
  <si>
    <t>ESP-MDP-004</t>
  </si>
  <si>
    <t>https://drive.google.com/file/d/17gtWWioUpV9QKxE7q95nndxT2ufZVdv6/view?usp=share_link</t>
  </si>
  <si>
    <t>PIZZA MEDIANA</t>
  </si>
  <si>
    <t>ESP-MDP-005</t>
  </si>
  <si>
    <t>https://drive.google.com/file/d/1dlbTO-gQ6v2vQGtldDzPOXxgBw3zZA1A/view?usp=share_link</t>
  </si>
  <si>
    <t>MEZCAL SALTILLO</t>
  </si>
  <si>
    <t>CAJA 2 BOTELLAS</t>
  </si>
  <si>
    <t>ESP-MZS-001</t>
  </si>
  <si>
    <t>https://drive.google.com/file/d/1PTgqphS_x4Kki3WY5EdiUzzQBWaNMxjR/view?usp=share_link</t>
  </si>
  <si>
    <t>CAJA 3 BOTELLAS</t>
  </si>
  <si>
    <t>ESP-MZS-002</t>
  </si>
  <si>
    <t>https://drive.google.com/file/d/1BuzuxxstlaKQaNoSqnX7Yi4irWwPqX4T/view?usp=share_link</t>
  </si>
  <si>
    <t>MIGUEL RECIO</t>
  </si>
  <si>
    <t>60 X 40 X 42</t>
  </si>
  <si>
    <t>60 X 40 X 42 cm</t>
  </si>
  <si>
    <t>ESP-MIR-001</t>
  </si>
  <si>
    <t>https://drive.google.com/file/d/1au4nA1HtAUjffZ0_Tl31nyx6O6_evHnE/view?usp=share_link</t>
  </si>
  <si>
    <t>MOBASE</t>
  </si>
  <si>
    <t xml:space="preserve">CAJA </t>
  </si>
  <si>
    <t>KIT VOLANTES</t>
  </si>
  <si>
    <t>ESP-MOB-001</t>
  </si>
  <si>
    <t>https://drive.google.com/file/d/1eHprWfpdPoj3-CvX_GvUMeizhfd7DG8y/view?usp=share_link</t>
  </si>
  <si>
    <t>ESP-MOB-002</t>
  </si>
  <si>
    <t>https://drive.google.com/file/d/1d1V5HEVc3cc1R71HrFPw4RxthjrUEVP5/view?usp=share_link</t>
  </si>
  <si>
    <t>ESP-MOB-003</t>
  </si>
  <si>
    <t>https://drive.google.com/file/d/1O2ayDPlx4nn2nWs_ruHjNuor6jWlD8X1/view?usp=share_link</t>
  </si>
  <si>
    <t>ESP-MOB-004</t>
  </si>
  <si>
    <t>https://drive.google.com/file/d/1jLMeMSm3PxsPUzeViLHpZtF0_ZPYCSSu/view?usp=share_link</t>
  </si>
  <si>
    <t>ESP-MOB-005</t>
  </si>
  <si>
    <t>https://drive.google.com/file/d/1L7ZphkKs5_MKrfQ7eL83nbzULoUJYUbO/view?usp=share_link</t>
  </si>
  <si>
    <t>ESP-MOB-006</t>
  </si>
  <si>
    <t>https://drive.google.com/file/d/1-JtFKMeIq6qjNV5C7B5ArGWnTIiOxgvJ/view?usp=share_link</t>
  </si>
  <si>
    <t>ESP-MOB-007</t>
  </si>
  <si>
    <t>https://drive.google.com/file/d/1g_j1N6HiU0JRnqu2jyLrZgezYKTmjK3e/view?usp=share_link</t>
  </si>
  <si>
    <t>ESP-MOB-008</t>
  </si>
  <si>
    <t>https://drive.google.com/file/d/1PTrolENpBO9ujIUgQIuGi6-RS3rwjsNE/view?usp=share_link</t>
  </si>
  <si>
    <t>ESP-MOB-009</t>
  </si>
  <si>
    <t>https://drive.google.com/file/d/1SGeLdrlCsVHPGCmKKof22OjUBpe7gqEX/view?usp=share_link</t>
  </si>
  <si>
    <t>ESP-MOB-010</t>
  </si>
  <si>
    <t>https://drive.google.com/file/d/1uT6irBww582s2Chqj5MgHBlgD4kBsHc_/view?usp=share_link</t>
  </si>
  <si>
    <t>150-074M</t>
  </si>
  <si>
    <t>ESP-LMT-001</t>
  </si>
  <si>
    <t>https://drive.google.com/file/d/1HMKIaylO4YJxwUwfju2Ao0x2hKBPweXx/view?usp=share_link</t>
  </si>
  <si>
    <t>ESP-LMT-002</t>
  </si>
  <si>
    <t>https://drive.google.com/file/d/1LHcLWb02xA4Gqb3iuZvfGCvAWNdh3744/view?usp=share_link</t>
  </si>
  <si>
    <t>150-0704</t>
  </si>
  <si>
    <t>ESP-LMT-003</t>
  </si>
  <si>
    <t>https://drive.google.com/file/d/1T-t2YhhQtdvWxMHCE2rMMGpRSFWkrIhD/view?usp=share_link</t>
  </si>
  <si>
    <t>ESP-LMT-004</t>
  </si>
  <si>
    <t>https://drive.google.com/file/d/1NueqjHHDbSWQKNB3S0kXTsBPKrGFXKWs/view?usp=share_link</t>
  </si>
  <si>
    <t>150-0108M</t>
  </si>
  <si>
    <t>ESP-LMT-005</t>
  </si>
  <si>
    <t>https://drive.google.com/file/d/1bsPES8jwANkz2tT3Iz-5rDZHljn-weYP/view?usp=share_link</t>
  </si>
  <si>
    <t>15007005 MD</t>
  </si>
  <si>
    <t>ESP-LMT-006</t>
  </si>
  <si>
    <t>https://drive.google.com/file/d/1asFyg2VUprjXYN_tIZeAd65THXQWVYcZ/view?usp=share_link</t>
  </si>
  <si>
    <t>TRIM RING</t>
  </si>
  <si>
    <t>ESP-LMT-007</t>
  </si>
  <si>
    <t>https://drive.google.com/file/d/1vYK2yoQYQ-XGF2-LYkP_iTMBs_xZhep-/view?usp=share_link</t>
  </si>
  <si>
    <t>ESP-LMT-008</t>
  </si>
  <si>
    <t>https://drive.google.com/file/d/1XbU4p4y64kU0K28omzD-Lgee3UCFrx0C/view?usp=share_link</t>
  </si>
  <si>
    <t>ESP-LMT-009</t>
  </si>
  <si>
    <t>https://drive.google.com/file/d/1DVQVRlHC3K6unNoFjkH6ZQfbt35v-cCM/view?usp=share_link</t>
  </si>
  <si>
    <t>1500820M</t>
  </si>
  <si>
    <t>ESP-LMT-010</t>
  </si>
  <si>
    <t>https://drive.google.com/file/d/1Dj-tdZWzQeVO17nLC6M-cvyJuIopjNi3/view?usp=share_link</t>
  </si>
  <si>
    <t>15-0446M</t>
  </si>
  <si>
    <t>ESP-LMT-011</t>
  </si>
  <si>
    <t>https://drive.google.com/file/d/1_KQtLnesPNxO32EPLfeBPKtss20Uu1Xi/view?usp=share_link</t>
  </si>
  <si>
    <t>150-0804M</t>
  </si>
  <si>
    <t>ESP-LMT-012</t>
  </si>
  <si>
    <t>https://drive.google.com/file/d/1nNlkLRi47zqqlU3XG3RLg7V6y8FVVyP9/view?usp=share_link</t>
  </si>
  <si>
    <t>1500031M</t>
  </si>
  <si>
    <t>CHEVY UPPER / T1XX SIDE PANEL</t>
  </si>
  <si>
    <t>ESP-LMT-013</t>
  </si>
  <si>
    <t>https://drive.google.com/file/d/1n5tk466ckC3ogxOJCtsrW6OM1LZ8MtKl/view?usp=share_link</t>
  </si>
  <si>
    <t>1500036M</t>
  </si>
  <si>
    <t>ESP-LMT-014</t>
  </si>
  <si>
    <t>https://drive.google.com/file/d/1Xpp8ZVkLzRNiO3-GMKgexRKR_Vgfa0bg/view?usp=share_link</t>
  </si>
  <si>
    <t>ESP-LMT-015</t>
  </si>
  <si>
    <t>https://drive.google.com/file/d/1y3aYuAIdYqhTVnR-jdr4jt8mOd_8JGeo/view?usp=share_link</t>
  </si>
  <si>
    <t>1500033M</t>
  </si>
  <si>
    <t>CHEVY LOWER / T1XX SIDE PANEL</t>
  </si>
  <si>
    <t>ESP-LMT-016</t>
  </si>
  <si>
    <t>https://drive.google.com/file/d/1VapGAYARd2wCqmIblHFBnymiTb_hXcbQ/view?usp=share_link</t>
  </si>
  <si>
    <t>1500038M</t>
  </si>
  <si>
    <t>ESP-LMT-017</t>
  </si>
  <si>
    <t>https://drive.google.com/file/d/1QJgTBGFrnzSRJfm7_ye5CWBAq2ojQnUX/view?usp=share_link</t>
  </si>
  <si>
    <t>ESP-LMT-018</t>
  </si>
  <si>
    <t>https://drive.google.com/file/d/1iQREQYIZ_mDOjYBWWt3j8JiFPYl-xqvt/view?usp=share_link</t>
  </si>
  <si>
    <t>1500032M</t>
  </si>
  <si>
    <t>DELANTAL T1XX SIDE PANEL</t>
  </si>
  <si>
    <t>ESP-LMT-019</t>
  </si>
  <si>
    <t>https://drive.google.com/file/d/1kFh0iNGwhjJiZpeE_LXI8RYKrvfAd0dS/view?usp=share_link</t>
  </si>
  <si>
    <t>1500037M</t>
  </si>
  <si>
    <t>ESP-LMT-020</t>
  </si>
  <si>
    <t>https://drive.google.com/file/d/1VfP2AT5PYdQ21ZoyEF8P_Hi7WDX4nfSw/view?usp=share_link</t>
  </si>
  <si>
    <t>ESP-LMT-021</t>
  </si>
  <si>
    <t>https://drive.google.com/file/d/1_4ki0B-_F3SlgOv_cMHwKCemTWOtjNMO/view?usp=share_link</t>
  </si>
  <si>
    <t>P-702</t>
  </si>
  <si>
    <t>P-702 ARMREST</t>
  </si>
  <si>
    <t>ESP-LMT-022</t>
  </si>
  <si>
    <t>https://drive.google.com/file/d/1l0IHn5eXRo157v0x8MySlKLPO1YcGP7O/view?usp=share_link</t>
  </si>
  <si>
    <t>ESP-LMT-023</t>
  </si>
  <si>
    <t>https://drive.google.com/file/d/1HBVRTAWmZ5yn_0byCpk60SxGB2_WsHdc/view?usp=share_link</t>
  </si>
  <si>
    <t>ESP-LMT-024</t>
  </si>
  <si>
    <t>https://drive.google.com/file/d/1lFnEm5NXtP2anG1aSipZNWI0Rhp6z6ug/view?usp=share_link</t>
  </si>
  <si>
    <t>150-0220</t>
  </si>
  <si>
    <t>P-42</t>
  </si>
  <si>
    <t>ESP-LMT-025</t>
  </si>
  <si>
    <t>https://drive.google.com/file/d/1wJobzJo-8YAkuNjIeGuQEFkVZRCHe899/view?usp=share_link</t>
  </si>
  <si>
    <t>ESP-LMT-026</t>
  </si>
  <si>
    <t>https://drive.google.com/file/d/1Sn5UBy6cQaPonU-_qmT-B2wMkVJmi6A2/view?usp=share_link</t>
  </si>
  <si>
    <t>150-0219</t>
  </si>
  <si>
    <t>P-42 CONSOLE</t>
  </si>
  <si>
    <t>ESP-LMT-027</t>
  </si>
  <si>
    <t>https://drive.google.com/file/d/1-5ayn6UDI0nzjqSlRGT_hJMvBt-huQMR/view?usp=share_link</t>
  </si>
  <si>
    <t>ESP-LMT-028</t>
  </si>
  <si>
    <t>https://drive.google.com/file/d/1XV6sVZjCKCXi_NYJ6ljooZVlrFbHcrNB/view?usp=share_link</t>
  </si>
  <si>
    <t>ESP-LMT-029</t>
  </si>
  <si>
    <t>https://drive.google.com/file/d/1QssCZvh1kDRjx1CsZW2rUaXpkPrtnhVg/view?usp=share_link</t>
  </si>
  <si>
    <t>1500708X</t>
  </si>
  <si>
    <t>P702 CL (21 CAVIDADES)</t>
  </si>
  <si>
    <t>ESP-LMT-033</t>
  </si>
  <si>
    <t>https://drive.google.com/file/d/1myhQoKZqSXrIfC_hiVuhKvPZEcrqkIJ2/view?usp=share_link</t>
  </si>
  <si>
    <t>ESP-LMT-034</t>
  </si>
  <si>
    <t>https://drive.google.com/file/d/1WQATq9-5Y1AYvRDiqZCLLvu5IlNKG2FG/view?usp=share_link</t>
  </si>
  <si>
    <t>ESP-LMT-035</t>
  </si>
  <si>
    <t>https://drive.google.com/file/d/1lv52cvWJgcaB5W_FvNTdmHcmhBPWlkfw/view?usp=share_link</t>
  </si>
  <si>
    <t xml:space="preserve">1500708X </t>
  </si>
  <si>
    <t>ESP-LMT-036</t>
  </si>
  <si>
    <t>https://drive.google.com/file/d/1r8emhqnAss6-6S_tRR_tQOyLifI4U0bF/view?usp=share_link</t>
  </si>
  <si>
    <t>ESP-LMT-037</t>
  </si>
  <si>
    <t>https://drive.google.com/file/d/1w57FKOwu2c84yNv7xZ3dzjmxOTGM7sBT/view?usp=share_link</t>
  </si>
  <si>
    <t>ESP-LMT-038</t>
  </si>
  <si>
    <t>https://drive.google.com/file/d/1LWk6CSQw45dHM1NgGAYBRM5XHM54Esau/view?usp=share_link</t>
  </si>
  <si>
    <t>TOLDOS</t>
  </si>
  <si>
    <t>ESP-LMT-039</t>
  </si>
  <si>
    <t>https://drive.google.com/file/d/1R41T5BCxaKLzfASoPNBdbDPE7ezijDHg/view?usp=share_link</t>
  </si>
  <si>
    <t>ESP-LMT-040</t>
  </si>
  <si>
    <t>https://drive.google.com/file/d/1cyWic6f7EXWFitu8eIf97XLohZpML77G/view?usp=share_link</t>
  </si>
  <si>
    <t>ESP-LMT-041</t>
  </si>
  <si>
    <t>https://drive.google.com/file/d/1IzCs-EPIl4oUA73mzvpv61dglCIEJ7ik/view?usp=share_link</t>
  </si>
  <si>
    <t>SIDE PANEL APPLIQUE UNIVERSAL</t>
  </si>
  <si>
    <t>ESP-LMT-042</t>
  </si>
  <si>
    <t>https://drive.google.com/file/d/1K7x0I4TNzbxden-iJJzkXgOb1GROpjxp/view?usp=share_link</t>
  </si>
  <si>
    <t>ESP-LMT-043</t>
  </si>
  <si>
    <t>https://drive.google.com/file/d/1at7_AAbngsduteGrvQHI1iNEgbf9MBwv/view?usp=share_link</t>
  </si>
  <si>
    <t>ESP-LMT-044</t>
  </si>
  <si>
    <t>https://drive.google.com/file/d/1abcbt67WodDlwxpV41uJSfIcAswDNfX-/view?usp=share_link</t>
  </si>
  <si>
    <t>SIDE PANEL APPLIQUE UPPER-ALTERNO</t>
  </si>
  <si>
    <t>ESP-LMT-045</t>
  </si>
  <si>
    <t>https://drive.google.com/file/d/1vNuFxEtbIdimRf1dMW17C11NlOVvVk43/view?usp=share_link</t>
  </si>
  <si>
    <t>1502558M</t>
  </si>
  <si>
    <t>ESP-LMT-046</t>
  </si>
  <si>
    <t>https://drive.google.com/file/d/1tuj_jVuZl492_sKFgLLafxXcI7f5cSvs/view?usp=share_link</t>
  </si>
  <si>
    <t>1502436M</t>
  </si>
  <si>
    <t>SIDE PANEL APPLIQUE LOWER-ALTERNO</t>
  </si>
  <si>
    <t>ESP-LMT-047</t>
  </si>
  <si>
    <t>https://drive.google.com/file/d/1aNTRB-3LCkHjW3opz6E7t9nE2GVF-bNj/view?usp=share_link</t>
  </si>
  <si>
    <t>ESP-LMT-048</t>
  </si>
  <si>
    <t>https://drive.google.com/file/d/1TnVZTm4H6ysB1aKS5avEMdiUX0e3dKYZ/view?usp=share_link</t>
  </si>
  <si>
    <t>1502557M</t>
  </si>
  <si>
    <t>SIDE PANEL APPLIQUE DELANTAL-ALTERNO</t>
  </si>
  <si>
    <t>ESP-LMT-049</t>
  </si>
  <si>
    <t>https://drive.google.com/file/d/1seRi4BvOIdng2YasZ9cKUVT36xHjMrcI/view?usp=share_link</t>
  </si>
  <si>
    <t>ESP-LMT-050</t>
  </si>
  <si>
    <t>https://drive.google.com/file/d/1Jf0oYbH4altm_pXoKXavLKJBzG2QWZCo/view?usp=share_link</t>
  </si>
  <si>
    <t>WK-CONSOLE</t>
  </si>
  <si>
    <t>ESP-LMT-051</t>
  </si>
  <si>
    <t>https://drive.google.com/file/d/1aYw_eMfOJ0fMewKUYmYd4w4pP6rLdUyq/view?usp=share_link</t>
  </si>
  <si>
    <t xml:space="preserve">WK-CONSOLE </t>
  </si>
  <si>
    <t>ESP-LMT-052</t>
  </si>
  <si>
    <t>https://drive.google.com/file/d/1M2tIO0FnQCZUU6KP7DEJXge36Dj6EIMR/view?usp=share_link</t>
  </si>
  <si>
    <t>TROQUELADA TEL</t>
  </si>
  <si>
    <t>ESP-LMT-053</t>
  </si>
  <si>
    <t>https://drive.google.com/file/d/1W_U5QJpZA_elCoAJkkxSpupJUJC3-4PQ/view?usp=share_link</t>
  </si>
  <si>
    <t>1500803MC</t>
  </si>
  <si>
    <t>ABM3255</t>
  </si>
  <si>
    <t>https://drive.google.com/file/d/1bVOlCd7RQyNS7U6mOuqXvG-XtbY8HJtK/view?usp=share_link</t>
  </si>
  <si>
    <t>150-0743</t>
  </si>
  <si>
    <t>ESP-LMT-066</t>
  </si>
  <si>
    <t>https://drive.google.com/file/d/1iNCQI0fIqlRxeLg4qWM9ZpgUaOgutSMu/view?usp=share_link</t>
  </si>
  <si>
    <t>ESP-LMT-067</t>
  </si>
  <si>
    <t>https://drive.google.com/file/d/1MuloFef8GXNTT6X4GL7xldo5-LrE9l1t/view?usp=share_link</t>
  </si>
  <si>
    <t>150-0109</t>
  </si>
  <si>
    <t>ESP-LMT-068</t>
  </si>
  <si>
    <t>https://drive.google.com/file/d/1adce7kKvSS0bOOU-aieHBcjInuHzolp_/view?usp=share_link</t>
  </si>
  <si>
    <t>ESP-LMT-069</t>
  </si>
  <si>
    <t>https://drive.google.com/file/d/1tvIQ8dE239dm5vXOyoNQ6zsT6zDhOO9W/view?usp=share_link</t>
  </si>
  <si>
    <t>ESP-LMT-070</t>
  </si>
  <si>
    <t>https://drive.google.com/file/d/1sSVTn602s8s0rKPiNAlqXpZdoEWm1Uqm/view?usp=share_link</t>
  </si>
  <si>
    <t>24-B ARMREST</t>
  </si>
  <si>
    <t>CAJA CON ALETONES</t>
  </si>
  <si>
    <t>ESP-LMT-071</t>
  </si>
  <si>
    <t>https://drive.google.com/file/d/1kTNC5hCdmWQaL8MgetEJbrBha0-_Qlri/view?usp=share_link</t>
  </si>
  <si>
    <t>241-B ARMREST</t>
  </si>
  <si>
    <t>ESP-LMT-072</t>
  </si>
  <si>
    <t>https://drive.google.com/file/d/1mOOWj1PRqTdV87z5cfRpJOWwTTFVfwSW/view?usp=share_link</t>
  </si>
  <si>
    <t xml:space="preserve">P42-Q </t>
  </si>
  <si>
    <t>GLOVE-BOX</t>
  </si>
  <si>
    <t>ESP-LMT-073</t>
  </si>
  <si>
    <t>https://drive.google.com/file/d/1v_YQ6VzUhIlP8Em-ghp3oVagGOTmbx03/view?usp=share_link</t>
  </si>
  <si>
    <t xml:space="preserve">SEPARADOR </t>
  </si>
  <si>
    <t>ESP-LMT-074</t>
  </si>
  <si>
    <t>https://drive.google.com/file/d/1tCIgoYrG7uG9_83O1vbTZOHmmWelqOdM/view?usp=share_link</t>
  </si>
  <si>
    <t>LH-SIDE PANEL</t>
  </si>
  <si>
    <t>ESP-LMT-075</t>
  </si>
  <si>
    <t>https://drive.google.com/file/d/1CovX1kf0__GEYduCCleaaDM5TE6JItb0/view?usp=share_link</t>
  </si>
  <si>
    <t>ESP-LMT-076</t>
  </si>
  <si>
    <t>https://drive.google.com/file/d/1BkGJ3feFk56-nuqjLh6i8zFoD1AGnBc1/view?usp=share_link</t>
  </si>
  <si>
    <t>ESP-LMT-077</t>
  </si>
  <si>
    <t>https://drive.google.com/file/d/17bfbKIjSPXIkI4rzVilU6EQ1JOp52PYr/view?usp=share_link</t>
  </si>
  <si>
    <t>ESP-LMT-078</t>
  </si>
  <si>
    <t>https://drive.google.com/file/d/1ISAA9ha6YKDjs1de_Arg4CKrmXsUhsvB/view?usp=share_link</t>
  </si>
  <si>
    <t>PAD B</t>
  </si>
  <si>
    <t>85 CAV</t>
  </si>
  <si>
    <t>ESP-LMT-079</t>
  </si>
  <si>
    <t>https://drive.google.com/file/d/15I5qJaOCVcbXNHVu6rbCEO14HhGM5UWy/view?usp=share_link</t>
  </si>
  <si>
    <t>ESP-LMT-080</t>
  </si>
  <si>
    <t>https://drive.google.com/file/d/1U70BWR48UB4BEPbMqRb1KcB2__LW5xxv/view?usp=share_link</t>
  </si>
  <si>
    <t>ESP-LMT-081</t>
  </si>
  <si>
    <t>https://drive.google.com/file/d/1GgufI7c0__jVxNQ3Kq6DB9MKHQY9lka9/view?usp=share_link</t>
  </si>
  <si>
    <t>PAD C</t>
  </si>
  <si>
    <t>9 CAV</t>
  </si>
  <si>
    <t>ESP-LMT-082</t>
  </si>
  <si>
    <t>https://drive.google.com/file/d/1ybAr2yDPXRujkmBHa2TFzL5Qfo8HG-0L/view?usp=share_link</t>
  </si>
  <si>
    <t>ESP-LMT-083</t>
  </si>
  <si>
    <t>https://drive.google.com/file/d/1ZugYEcuwyNK0S0SdJyQjxvEcA6Yoco6m/view?usp=share_link</t>
  </si>
  <si>
    <t>ESP-LMT-084</t>
  </si>
  <si>
    <t>https://drive.google.com/file/d/1FKNl02viNSJGKosjd2mfnZJOhsNJQIBj/view?usp=share_link</t>
  </si>
  <si>
    <t>ESP-LMT-085</t>
  </si>
  <si>
    <t>https://drive.google.com/file/d/1Lb5F6u6pD88y0FTik02C-mfKH0Iww1vZ/view?usp=share_link</t>
  </si>
  <si>
    <t>P-780</t>
  </si>
  <si>
    <t>CONSOLA</t>
  </si>
  <si>
    <t>ESP-LMT-086</t>
  </si>
  <si>
    <t>https://drive.google.com/file/d/1jGRBw2pXmKQSA1keanttJBWArgFEyorQ/view?usp=share_link</t>
  </si>
  <si>
    <t>ESP-LMT-087</t>
  </si>
  <si>
    <t>https://drive.google.com/file/d/1OX7DG5DtP-qId5jayaKvIxfBZvWIRs23/view?usp=share_link</t>
  </si>
  <si>
    <t>ESP-LMT-088</t>
  </si>
  <si>
    <t>https://drive.google.com/file/d/1glDMLtG9kpe7Bk87rsE8vL1OXsG1DxbO/view?usp=share_link</t>
  </si>
  <si>
    <t>ESP-LMT-089</t>
  </si>
  <si>
    <t>https://drive.google.com/file/d/1Fr1jZBsmPiz2P-NoGoMbAIdb8j2lmr1E/view?usp=share_link</t>
  </si>
  <si>
    <t>PAD A</t>
  </si>
  <si>
    <t>ESP-LMT-090</t>
  </si>
  <si>
    <t>https://drive.google.com/file/d/1Rq61aJIrd1ZePnwdJYnA7_COdXahPd7X/view?usp=share_link</t>
  </si>
  <si>
    <t xml:space="preserve">PAD A </t>
  </si>
  <si>
    <t>33 CAV</t>
  </si>
  <si>
    <t>ESP-LMT-091</t>
  </si>
  <si>
    <t>https://drive.google.com/file/d/1QL4Kl-dF-un6MscKAlIKKuW6Jn7OavnM/view?usp=share_link</t>
  </si>
  <si>
    <t>ESP-LMT-092</t>
  </si>
  <si>
    <t>https://drive.google.com/file/d/16aaWN7ngZOiKdVjehnqzdxaA9hW-KoMN/view?usp=share_link</t>
  </si>
  <si>
    <t>ESP-LMT-093</t>
  </si>
  <si>
    <t>https://drive.google.com/file/d/1XvRULEnqic13nMsDS_JoXvDpUC8XP4BH/view?usp=share_link</t>
  </si>
  <si>
    <t>P-375</t>
  </si>
  <si>
    <t>BRAKET ROOT</t>
  </si>
  <si>
    <t>ESP-LMT-094</t>
  </si>
  <si>
    <t>https://drive.google.com/file/d/1Nmc4ZrT0Ji5j3V9QPCad0ii86fcEIzTQ/view?usp=share_link</t>
  </si>
  <si>
    <t>ESP-LMT-095</t>
  </si>
  <si>
    <t>https://drive.google.com/file/d/1IebRAjyEDHaK8bwST-vn_-RF2CR-YXlE/view?usp=share_link</t>
  </si>
  <si>
    <t>ESP-LMT-096</t>
  </si>
  <si>
    <t>https://drive.google.com/file/d/1kE77NJ5qkLWhB00w-o0Cul0fLAudgQEt/view?usp=share_link</t>
  </si>
  <si>
    <t>ESP-LMT-097</t>
  </si>
  <si>
    <t>https://drive.google.com/file/d/1k6D2niQzzaLuGr508xVWEo00r_ZfTGt2/view?usp=share_link</t>
  </si>
  <si>
    <t>150-0841M</t>
  </si>
  <si>
    <t>U540 GLOVE BOX</t>
  </si>
  <si>
    <t>ESP-LMT-098</t>
  </si>
  <si>
    <t>https://drive.google.com/file/d/1zh2GbTEXw_u1wn2abfCa_c_Mj7rMaif0/view?usp=share_link</t>
  </si>
  <si>
    <t>ESP-LMT-099</t>
  </si>
  <si>
    <t>https://drive.google.com/file/d/1MSlTIxmVGumEkWTMf72msjaN0i3lfAXG/view?usp=share_link</t>
  </si>
  <si>
    <t>150-0832M</t>
  </si>
  <si>
    <t>ESP-LMT-100</t>
  </si>
  <si>
    <t>https://drive.google.com/file/d/1PluOJVGmYVk5eHIY5I-HO2UCLtPeyTIW/view?usp=share_link</t>
  </si>
  <si>
    <t>150-0840M</t>
  </si>
  <si>
    <t>ESP-LMT-101</t>
  </si>
  <si>
    <t>https://drive.google.com/file/d/1xdMB-pqUYJsHB7LLBZgec2AuOUq_eZix/view?usp=share_link</t>
  </si>
  <si>
    <t>U611-LOWE CENTER</t>
  </si>
  <si>
    <t>ESP-LMT-102</t>
  </si>
  <si>
    <t>https://drive.google.com/file/d/1I30TkwTYKWEkGhbmj1aM7grNlcCpFPmj/view?usp=share_link</t>
  </si>
  <si>
    <t>150-0838M</t>
  </si>
  <si>
    <t>ESP-LMT-103</t>
  </si>
  <si>
    <t>https://drive.google.com/file/d/1faZEoCE8w43GXNeLei-R2quHHGESe1mQ/view?usp=share_link</t>
  </si>
  <si>
    <t>150-0836M</t>
  </si>
  <si>
    <t>ESP-LMT-104</t>
  </si>
  <si>
    <t>https://drive.google.com/file/d/1F_0yKf5sanKxLbumAhhJV3_HJji7VCFI/view?usp=share_link</t>
  </si>
  <si>
    <t>150-0837M</t>
  </si>
  <si>
    <t>ESP-LMT-105</t>
  </si>
  <si>
    <t>https://drive.google.com/file/d/1jvXMy9sbYUYhw3dNbpq1NJM5kzto944b/view?usp=share_link</t>
  </si>
  <si>
    <t>150-0835M</t>
  </si>
  <si>
    <t>U611\U540 STEERING COLUMN</t>
  </si>
  <si>
    <t>ESP-LMT-106</t>
  </si>
  <si>
    <t>https://drive.google.com/file/d/1LYZRDZsXgeDtUHWtu-QUdYn4bt729fge/view?usp=share_link</t>
  </si>
  <si>
    <t>ESP-LMT-107</t>
  </si>
  <si>
    <t>https://drive.google.com/file/d/1EgG1l_RInmD4dheZ2oqxzj-kf5fmwxwg/view?usp=share_link</t>
  </si>
  <si>
    <t>150-0833M</t>
  </si>
  <si>
    <t>ESP-LMT-108</t>
  </si>
  <si>
    <t>https://drive.google.com/file/d/1UZ95G_s4aff2al2O-thqVKwk94koeP0f/view?usp=share_link</t>
  </si>
  <si>
    <t>150-0834M</t>
  </si>
  <si>
    <t>ESP-LMT-109</t>
  </si>
  <si>
    <t>https://drive.google.com/file/d/1NUDblLZAcMsg0w8PCl9nvncHUWAwu7CU/view?usp=share_link</t>
  </si>
  <si>
    <t xml:space="preserve">1500-370 CAJA </t>
  </si>
  <si>
    <t>P375-5CAV</t>
  </si>
  <si>
    <t>ESP-LMT-110</t>
  </si>
  <si>
    <t>https://drive.google.com/file/d/1llDdP4P4R2BIWOZrhPJryI4ensaGGHXJ/view?usp=share_link</t>
  </si>
  <si>
    <t>1500-371</t>
  </si>
  <si>
    <t>ESP-LMT-111</t>
  </si>
  <si>
    <t>https://drive.google.com/file/d/1qiBC2cb3hM5q8SD_xgt8dOSjqY1b88fJ/view?usp=share_link</t>
  </si>
  <si>
    <t>ESP-LMT-112</t>
  </si>
  <si>
    <t>https://drive.google.com/file/d/1zcFOBbz655db75ZXdZwqwZw12iNiZQKJ/view?usp=share_link</t>
  </si>
  <si>
    <t>ESP-LMT-113</t>
  </si>
  <si>
    <t>https://drive.google.com/file/d/1zvV9EIVyKcmEHlDBcO4n5wjt-i0SjNb2/view?usp=share_link</t>
  </si>
  <si>
    <t>ESP-LMT-114</t>
  </si>
  <si>
    <t>https://drive.google.com/file/d/14vQw0Vhku8RB0qR-NyCrEcnXh8YZKrBd/view?usp=share_link</t>
  </si>
  <si>
    <t>ESP-LMT-115</t>
  </si>
  <si>
    <t>https://drive.google.com/file/d/19-T77G-ZrgufY21f8V6dZsMRbWEh-_wh/view?usp=share_link</t>
  </si>
  <si>
    <t>1500-370 TAPA</t>
  </si>
  <si>
    <t>ESP-LMT-116</t>
  </si>
  <si>
    <t>https://drive.google.com/file/d/1cR7vpjVspCpYn0iyvTXpSFpu_aUGzkft/view?usp=share_link</t>
  </si>
  <si>
    <t>ESP-LMT-117</t>
  </si>
  <si>
    <t>https://drive.google.com/file/d/1Iob_UwnZjH4xjTIKHMQWGwcNEzBMUba0/view?usp=share_link</t>
  </si>
  <si>
    <t>CS1204</t>
  </si>
  <si>
    <t>MANGA CUADRUPLE CORRUGADO</t>
  </si>
  <si>
    <t>ESP-MUB-021</t>
  </si>
  <si>
    <t>https://drive.google.com/file/d/1ZSXc6_5BNJVlMQCqaVzHOFLs6IrT8Aik/view?usp=share_link</t>
  </si>
  <si>
    <t>ESP-MUB-022</t>
  </si>
  <si>
    <t>https://drive.google.com/file/d/1acmaUd2Oc0P491KkDSNm-Crxf2Qou1V4/view?usp=share_link</t>
  </si>
  <si>
    <t>ESP-MUB-023</t>
  </si>
  <si>
    <t>https://drive.google.com/file/d/173W_qzse_BmZdG1TsYyLv1uOOqBuyeDO/view?usp=share_link</t>
  </si>
  <si>
    <t>ESP-MUB-024</t>
  </si>
  <si>
    <t>https://drive.google.com/file/d/1xM9nk5EfCr9VfRR-5hn5x4_FiZ5vtmYY/view?usp=share_link</t>
  </si>
  <si>
    <t>ESP-MUB-025</t>
  </si>
  <si>
    <t>https://drive.google.com/file/d/1gKv01c44iHg8ZFQlIg4SyTXcYzHwmhnf/view?usp=share_link</t>
  </si>
  <si>
    <t>8 CAV</t>
  </si>
  <si>
    <t>MICRO</t>
  </si>
  <si>
    <t>ESP-MUB-026</t>
  </si>
  <si>
    <t>https://drive.google.com/file/d/1r7QfxQJf2swO_4VS0hqlJmXZ1oad0DVj/view?usp=share_link</t>
  </si>
  <si>
    <t>ESP-MUB-027</t>
  </si>
  <si>
    <t>https://drive.google.com/file/d/1FfP16U75BS9G0xKxilYVHLAiNqACRE3Z/view?usp=share_link</t>
  </si>
  <si>
    <t>50 T CHICA</t>
  </si>
  <si>
    <t>POLEA</t>
  </si>
  <si>
    <t>ESP-MUB-028</t>
  </si>
  <si>
    <t>https://drive.google.com/file/d/1_o4C_pV36UlcPSihVV7phds4dZR2eqPN/view?usp=share_link</t>
  </si>
  <si>
    <t>ESP-MUB-029</t>
  </si>
  <si>
    <t>https://drive.google.com/file/d/1MD35wsb3Zv1uTdcCF6hJKOw0MEn8xi3P/view?usp=share_link</t>
  </si>
  <si>
    <t>33 X 54.5</t>
  </si>
  <si>
    <t>ESP-MUB-030</t>
  </si>
  <si>
    <t>https://drive.google.com/file/d/1IExzQmQ_aRN47m8NeZ8D52jEQb_5amlQ/view?usp=share_link</t>
  </si>
  <si>
    <t>24 X 33 cm</t>
  </si>
  <si>
    <t>ESP-MUB-031</t>
  </si>
  <si>
    <t>https://drive.google.com/file/d/1k7pNXtNe3J9i8U4MuGfGdvDmZD2tAxKI/view?usp=share_link</t>
  </si>
  <si>
    <t>24 CAV</t>
  </si>
  <si>
    <t>ESP-MUB-032</t>
  </si>
  <si>
    <t>https://drive.google.com/file/d/1E-WBym4723SAa-f8ZjwxERiFApBFfvQl/view?usp=share_link</t>
  </si>
  <si>
    <t>ESP-MUB-033</t>
  </si>
  <si>
    <t>14 CAV</t>
  </si>
  <si>
    <t>ESP-MUB-034</t>
  </si>
  <si>
    <t>https://drive.google.com/file/d/17aMLAOFxGRa-BDxaA3MW2A7a-14g_ik5/view?usp=share_link</t>
  </si>
  <si>
    <t>ESP-MUB-035</t>
  </si>
  <si>
    <t>https://drive.google.com/file/d/1ATv2TfOqhWgQ9BDMXrqsJlEuy4wdrd9b/view?usp=share_link</t>
  </si>
  <si>
    <t>35 CAV</t>
  </si>
  <si>
    <t>KIT 70 PZS</t>
  </si>
  <si>
    <t>ESP-MUB-036</t>
  </si>
  <si>
    <t>https://drive.google.com/file/d/1he6x2f6DbQq_emAw_tfcrG7FplVlUxsB/view?usp=share_link</t>
  </si>
  <si>
    <t>ESP-MUB-037</t>
  </si>
  <si>
    <t>https://drive.google.com/file/d/1oU643ty5v1oTaz4RUDLmeykMRRdYao-R/view?usp=share_link</t>
  </si>
  <si>
    <t>MUNICIPIO DE SALTILLO</t>
  </si>
  <si>
    <t>ESP-ML-001</t>
  </si>
  <si>
    <t>https://drive.google.com/file/d/14QRvmUfd7QAnqxjnbGOAsNlD9K1kH-L6/view?usp=share_link</t>
  </si>
  <si>
    <t>ESP-ML-002</t>
  </si>
  <si>
    <t>https://drive.google.com/file/d/14PzVDo43wCnF5cKNXcuRR9V43aKVxY1y/view?usp=share_link</t>
  </si>
  <si>
    <t>23" X 23" X 7"</t>
  </si>
  <si>
    <t xml:space="preserve">18" X 14" X 9" </t>
  </si>
  <si>
    <t>9" X 9" X 6"</t>
  </si>
  <si>
    <t>9" X 9" X 6" CBC</t>
  </si>
  <si>
    <t>https://drive.google.com/file/d/1ldUV6XgQLSx0R0A9PdOlvgFu_VtYom5c/view?usp=share_link</t>
  </si>
  <si>
    <t>24" X 12" X 18"</t>
  </si>
  <si>
    <t>24" X 12" X 18" CBC</t>
  </si>
  <si>
    <t>https://drive.google.com/file/d/1vw_Bxh_4Xk8BiSNWJ3bBaoavN24xvr5r/view?usp=share_link</t>
  </si>
  <si>
    <t>16" X 12" X 5"</t>
  </si>
  <si>
    <t>16" X 12" X 5" CBC</t>
  </si>
  <si>
    <t>https://drive.google.com/file/d/1ufQ776sfTmPi593aIwE8PTm0awbCYZTi/view?usp=share_link</t>
  </si>
  <si>
    <t>40" X 48" X 36"</t>
  </si>
  <si>
    <t>CUADRUPLE</t>
  </si>
  <si>
    <t>https://drive.google.com/file/d/1W6_eR-enyvPsDgAM2_3ecKTnEGXU1v5M/view?usp=share_link</t>
  </si>
  <si>
    <t>https://drive.google.com/file/d/1nptAKnfrR84HCeK_GoxDPe1nb5oWS4L1/view?usp=share_link</t>
  </si>
  <si>
    <t>https://drive.google.com/file/d/1OC5IJacIXwCFqqJGQjvnBLvd9cFG3Uq2/view?usp=share_link</t>
  </si>
  <si>
    <t>42" X 15" X 20"</t>
  </si>
  <si>
    <t>CAJA CON FALDON</t>
  </si>
  <si>
    <t>VENTANA</t>
  </si>
  <si>
    <t>https://drive.google.com/file/d/1Djmm48z_QB7L7MQ73EgtiO_VVZgorHH-/view?usp=share_link</t>
  </si>
  <si>
    <t>ESQ 100 cm</t>
  </si>
  <si>
    <t>https://drive.google.com/file/d/1lqRCxiPfdGRWD7VQVFd40OIo1DFTGW7J/view?usp=share_link</t>
  </si>
  <si>
    <t>ESQ 20 cm</t>
  </si>
  <si>
    <t>https://drive.google.com/file/d/15X-DZCJo7OX3qhetLRZKoftZQLj6im_S/view?usp=share_link</t>
  </si>
  <si>
    <t>12.5" X 18.5" X 8.5"</t>
  </si>
  <si>
    <t>https://drive.google.com/file/d/1Nscdp0uikEGGP4Ub0VX6SSPq8zonYeFz/view?usp=share_link</t>
  </si>
  <si>
    <t>18" X 18" X 5"</t>
  </si>
  <si>
    <t>https://drive.google.com/file/d/10ce6nC7CG7zFDSEK2hdGcZKcALgFU6aD/view?usp=share_link</t>
  </si>
  <si>
    <t>15.5" X 13.5" X 8.5"</t>
  </si>
  <si>
    <t>https://drive.google.com/file/d/1Xm2os_GNKlh_aDiFMRWzx8CYslL3Jbxy/view?usp=share_link</t>
  </si>
  <si>
    <t>https://drive.google.com/file/d/1348wTSBk4w_DYrZrUtz3DlsWSlSy0RuC/view?usp=share_link</t>
  </si>
  <si>
    <t>14.5" X 12.5" X 8.5"</t>
  </si>
  <si>
    <t>https://drive.google.com/file/d/14VEPuPkr5JjYfGK6qrpt4oOtK545IKY0/view?usp=share_link</t>
  </si>
  <si>
    <t>CBC-93-0117</t>
  </si>
  <si>
    <t>36 X 30.5 X 20.5</t>
  </si>
  <si>
    <t>https://drive.google.com/file/d/1a3YrlbdCeqynGYrPYFSKf9i__83ejsxT/view?usp=share_link</t>
  </si>
  <si>
    <t>https://drive.google.com/file/d/1pZDpNby9qWQYLFifrTFLLEPUZYn4zA5s/view?usp=share_link</t>
  </si>
  <si>
    <t>30" X 14" X 12"</t>
  </si>
  <si>
    <t>https://drive.google.com/file/d/1GZEESTa5bly1I8SCnKHiozh_Pl5fiMgC/view?usp=share_link</t>
  </si>
  <si>
    <t>REJILLA 30" X 14" X 12"</t>
  </si>
  <si>
    <t>30" X 14" X 12" REJILLA</t>
  </si>
  <si>
    <t>https://drive.google.com/file/d/1b_cRbVIjL4UlvirMQQP5-UqalZ9CTlTb/view?usp=share_link</t>
  </si>
  <si>
    <t>https://drive.google.com/file/d/11vybC2DozsE8Xy1SM7D-ZDDV5FNWMVZD/view?usp=share_link</t>
  </si>
  <si>
    <t>SEP 35 X 45 cm</t>
  </si>
  <si>
    <t>35 X 45</t>
  </si>
  <si>
    <t>https://drive.google.com/file/d/1qYUDPs55lu3GPezCXj-WqJszObm_AX84/view?usp=share_link</t>
  </si>
  <si>
    <t>SEP 29 X 60 cm</t>
  </si>
  <si>
    <t>29 X 60</t>
  </si>
  <si>
    <t>https://drive.google.com/file/d/17XhfdBFQXH2BywX2RIIgouglrnM-UXEq/view?usp=share_link</t>
  </si>
  <si>
    <t>CAJA 12" X 12" X 4"</t>
  </si>
  <si>
    <t>https://drive.google.com/file/d/1b8F1plE0UFKTYDcDlJgURuIN1woGzeXA/view?usp=share_link</t>
  </si>
  <si>
    <t>119.5 X 129.5 X 27</t>
  </si>
  <si>
    <t xml:space="preserve">122.5 X 132.5 X 27 </t>
  </si>
  <si>
    <t>NUTEC</t>
  </si>
  <si>
    <t>EMP 784</t>
  </si>
  <si>
    <t>57" X 37" X 6"</t>
  </si>
  <si>
    <t>ESP-NTC-001</t>
  </si>
  <si>
    <t>https://drive.google.com/file/d/1bJrqcSiV1wuMtjryTU7zYxKcppQKgm2y/view?usp=share_link</t>
  </si>
  <si>
    <t>ESP 785</t>
  </si>
  <si>
    <t>51" X 6" ESQ</t>
  </si>
  <si>
    <t>ESP-NTC-002</t>
  </si>
  <si>
    <t>https://drive.google.com/file/d/1KJV-zVvs5PYtNZAtI7_XoI3Mp8HGYnuG/view?usp=share_link</t>
  </si>
  <si>
    <t>3M</t>
  </si>
  <si>
    <t>ESP-NTC-003</t>
  </si>
  <si>
    <t>ESP-NTC-004</t>
  </si>
  <si>
    <t>https://drive.google.com/file/d/1QCAZeorZmXkSvjp_rHeTMQovv63JEcNc/view?usp=share_link</t>
  </si>
  <si>
    <t>EMP-793</t>
  </si>
  <si>
    <t>ESP-NTC-005</t>
  </si>
  <si>
    <t>https://drive.google.com/file/d/1BlT_WhYU7t-oWdrtaNRrmjzVybOGne6C/view?usp=share_link</t>
  </si>
  <si>
    <t>EMP-794</t>
  </si>
  <si>
    <t>ESP-NTC-006</t>
  </si>
  <si>
    <t>https://drive.google.com/file/d/1BN0_gyv0p1Achy8lEU7G6Z-JPW_uvbxG/view?usp=share_link</t>
  </si>
  <si>
    <t>EMP-795</t>
  </si>
  <si>
    <t>ESP-NTC-007</t>
  </si>
  <si>
    <t>https://drive.google.com/file/d/1TeOog7TUaYWvKR0ZqfMZadycaEgMX3cG/view?usp=share_link</t>
  </si>
  <si>
    <t>PALLISER</t>
  </si>
  <si>
    <t>TRAY CORNER</t>
  </si>
  <si>
    <t>ESP-PA-001</t>
  </si>
  <si>
    <t>https://drive.google.com/file/d/1ODU0M6cHLVXqLg_yPJI3lsOVAA8qA-EZ/view?usp=share_link</t>
  </si>
  <si>
    <t>JT41</t>
  </si>
  <si>
    <t>ESP-PA-002</t>
  </si>
  <si>
    <t>https://drive.google.com/file/d/18Wio2G5QLKr_kj-Bkirb-_ZQIYdZ3Wi5/view?usp=share_link</t>
  </si>
  <si>
    <t>PARKER</t>
  </si>
  <si>
    <t>40.5 X 40.5 X 20.5 cm</t>
  </si>
  <si>
    <t>ESP-PRK-001</t>
  </si>
  <si>
    <t>https://drive.google.com/file/d/11b2y44RNFfUPTdt9AOyN_pFAIIR5Dhfz/view?usp=share_link</t>
  </si>
  <si>
    <t>51 X 41.5 X 26 cm MX-PCK-0117</t>
  </si>
  <si>
    <t>ESP-PP-004</t>
  </si>
  <si>
    <t>https://drive.google.com/file/d/1OzxRRx2d_K4sEd71b4nFJ8OT4S5W_wMm/view?usp=share_link</t>
  </si>
  <si>
    <t>132 X 17 1/2" X 9" MX-PCK-0140</t>
  </si>
  <si>
    <t>ESP-PP-007</t>
  </si>
  <si>
    <t>https://drive.google.com/file/d/1zz_yAX2KiBOHiBTjSWcm_pM_QybC4_Tc/view?usp=share_link</t>
  </si>
  <si>
    <t>8" X 8" X 5"</t>
  </si>
  <si>
    <t>ESP-PP-008</t>
  </si>
  <si>
    <t>https://drive.google.com/file/d/1SzsFnwqCqDNML8CqZ2nbbQKNGHZzmOxu/view?usp=share_link</t>
  </si>
  <si>
    <t>24" X 12" X 7.5"</t>
  </si>
  <si>
    <t>ESP-PP-009</t>
  </si>
  <si>
    <t>https://drive.google.com/file/d/1cu5CNUIxZj-s0NZHyUty8q7yMMpDdC4V/view?usp=share_link</t>
  </si>
  <si>
    <t>18" X 18" X 18"</t>
  </si>
  <si>
    <t>ESP-PP-011</t>
  </si>
  <si>
    <t>https://drive.google.com/file/d/1YiBSc4a3NlQ1Da7Fc0aFbhafvmPbv_oD/view?usp=share_link</t>
  </si>
  <si>
    <t>41.5  X 48 X 19.5 cm MX-PCK-0105</t>
  </si>
  <si>
    <t>ESP-PP-014</t>
  </si>
  <si>
    <t>https://drive.google.com/file/d/1tug7ZCmYiniYfJuxDnZGl4TNULJDexXs/view?usp=share_link</t>
  </si>
  <si>
    <t>35.5 X 39 X 23.5</t>
  </si>
  <si>
    <t>ESP-PP-016</t>
  </si>
  <si>
    <t>https://drive.google.com/file/d/1p-1rHg7vfRbU9ZO9x_G9KJxM2ZkE3k4G/view?usp=share_link</t>
  </si>
  <si>
    <t>24" X 12" X 12"</t>
  </si>
  <si>
    <t>ESP-PP-017</t>
  </si>
  <si>
    <t>https://drive.google.com/file/d/1XWjHhzw91yCNna_Y5LO_zzk2ht9B2s2q/view?usp=share_link</t>
  </si>
  <si>
    <t>39 CAVIDADES</t>
  </si>
  <si>
    <t>ITRÓN</t>
  </si>
  <si>
    <t>ESP-PP-018</t>
  </si>
  <si>
    <t>https://drive.google.com/file/d/1l1ByBnxnApN6fHA9hJMcspm8YBrx1_kd/view?usp=share_link</t>
  </si>
  <si>
    <t>ESP-PP-019</t>
  </si>
  <si>
    <t>https://drive.google.com/file/d/1VcyTAunDR_3_fxeMxude5zb4CWFD8hif/view?usp=share_link</t>
  </si>
  <si>
    <t>ESP-PP-020</t>
  </si>
  <si>
    <t>https://drive.google.com/file/d/1MtMkPfH_-Y4x0OkWaoYm4htdSkOqnjWB/view?usp=share_link</t>
  </si>
  <si>
    <t>18 X 10 X 7</t>
  </si>
  <si>
    <t>ESP-PP-021</t>
  </si>
  <si>
    <t>https://drive.google.com/file/d/1RCbAfb2FcNjExB705lQ9Vq1XAttTUzDh/view?usp=share_link</t>
  </si>
  <si>
    <t>23 X 17</t>
  </si>
  <si>
    <t>ESP-PP-22</t>
  </si>
  <si>
    <t>https://drive.google.com/file/d/1AmQ3eq8Txja4c9sR1RPaft3xDHCTXokU/view?usp=share_link</t>
  </si>
  <si>
    <t>PASTELERÍA VAINILLA Y CHOCOLATE</t>
  </si>
  <si>
    <t>SEPARADOR 1/4</t>
  </si>
  <si>
    <t>ESP-PVC-001</t>
  </si>
  <si>
    <t>https://drive.google.com/file/d/1EmeLk6F16LfVhUpA6BGjnp4_Ad1Hx3fl/view?usp=share_link</t>
  </si>
  <si>
    <t>SEPARADOR 1/2</t>
  </si>
  <si>
    <t>ESP-PVC-002</t>
  </si>
  <si>
    <t>https://drive.google.com/file/d/1ICYKgkfgjwNfVT-cm0RZjS4nKv9afx_Z/view?usp=share_link</t>
  </si>
  <si>
    <t>SEPARADOR COMPLETO</t>
  </si>
  <si>
    <t>ESP-PVC-003</t>
  </si>
  <si>
    <t>https://drive.google.com/file/d/1wCoDY2CX1eCeA_Di3h7RZ8r7Y81MAg4m/view?usp=share_link</t>
  </si>
  <si>
    <t>CHAROLA QUEQUITOS</t>
  </si>
  <si>
    <t>ESP-PVC-004</t>
  </si>
  <si>
    <t>https://drive.google.com/file/d/1AjE_QpL21wKcEaNd0j-_8V13ZDmSLmoW/view?usp=share_link</t>
  </si>
  <si>
    <t>SUAJE QUEQUITO</t>
  </si>
  <si>
    <t>ESP-PVC-005</t>
  </si>
  <si>
    <t>https://drive.google.com/file/d/1vJrP5HjJD2ZqBrr-aPACQXalwEzl0Ba4/view?usp=share_link</t>
  </si>
  <si>
    <t>TIRA QUEQUITOS</t>
  </si>
  <si>
    <t>ESP-PVC-006</t>
  </si>
  <si>
    <t>https://drive.google.com/file/d/18F7LUfwpWp5osGQ0xMoeOCrROL8yN8Ly/view?usp=share_link</t>
  </si>
  <si>
    <t>TAPA PLANCHA COMPLETA</t>
  </si>
  <si>
    <t>ESP-PVC-007</t>
  </si>
  <si>
    <t>https://drive.google.com/file/d/1kw3LxAh21oqhlNMmn-bvZk1I6r9-Yxp6/view?usp=share_link</t>
  </si>
  <si>
    <t>CAJA PLANCHA COMPLETA</t>
  </si>
  <si>
    <t>ESP-PVC-008</t>
  </si>
  <si>
    <t>https://drive.google.com/file/d/1HfMbd8EnchoNU3fvN0w1Hr0OaSryu4de/view?usp=share_link</t>
  </si>
  <si>
    <t>PATRICIA NAGERA</t>
  </si>
  <si>
    <t>SEPARADOR PATRICIA</t>
  </si>
  <si>
    <t>ESP-PTR-00</t>
  </si>
  <si>
    <t>https://drive.google.com/file/d/1LNrwmwMG_fXBxVX6KFvJJkteMTIHXw4f/view?usp=share_link</t>
  </si>
  <si>
    <t>PLASTICOMNIUM</t>
  </si>
  <si>
    <t>ESP-POM-001</t>
  </si>
  <si>
    <t>https://drive.google.com/file/d/1H0whHLQmWbW_FzGjdQVbBxdXFpPbVzuC/view?usp=share_link</t>
  </si>
  <si>
    <t>DC</t>
  </si>
  <si>
    <t>ESP-POM-002</t>
  </si>
  <si>
    <t>https://drive.google.com/file/d/1zuN-Cx4N0i9Odc69M0rKQG0Ic0dp1cIW/view?usp=share_link</t>
  </si>
  <si>
    <t>UREA DDP</t>
  </si>
  <si>
    <t>ESP-POM-003</t>
  </si>
  <si>
    <t>https://drive.google.com/file/d/1RKhZl7c4dEtw-q1KkId44um4Q8OzMAhZ/view?usp=share_link</t>
  </si>
  <si>
    <t>PLASTICOS Y LAMINAS</t>
  </si>
  <si>
    <t>PLANO-01</t>
  </si>
  <si>
    <t>26 X 26 X 22 cm</t>
  </si>
  <si>
    <t>ESP-PYL-001</t>
  </si>
  <si>
    <t>https://drive.google.com/file/d/1MQSIgRShkBsR9Va4o2yUxr9Z_Eyrjthu/view?usp=share_link</t>
  </si>
  <si>
    <t>PMW</t>
  </si>
  <si>
    <t>CABECERA ROGUE</t>
  </si>
  <si>
    <t>CABECERA 16 CAV</t>
  </si>
  <si>
    <t>ESP-PMW-001</t>
  </si>
  <si>
    <t>https://drive.google.com/file/d/11zp1YHJvcQhB1DAnvkSu_2vsBFivrnKy/view?usp=share_link</t>
  </si>
  <si>
    <t>ESP-PMW-002</t>
  </si>
  <si>
    <t>https://drive.google.com/file/d/1UHbWfLY7hEJD4UvMdH-pT-AFLnW2aAHR/view?usp=share_link</t>
  </si>
  <si>
    <t>ESP-PMW-003</t>
  </si>
  <si>
    <t>https://drive.google.com/file/d/1JL3mmj5nKkwp98EnZDHy7B51aXxb6OfB/view?usp=share_link</t>
  </si>
  <si>
    <t>PSW VW316</t>
  </si>
  <si>
    <t xml:space="preserve">MAGA </t>
  </si>
  <si>
    <t>ESP-PMW-051</t>
  </si>
  <si>
    <t>https://drive.google.com/file/d/1qba1ILxqqSpxpTIciJH3_8J_Xu_wF7AL/view?usp=share_link</t>
  </si>
  <si>
    <t>POLIURETANOS</t>
  </si>
  <si>
    <t>90 X 42 cm</t>
  </si>
  <si>
    <t>ESP-PO-020</t>
  </si>
  <si>
    <t>https://drive.google.com/file/d/1gV9lyruDM99uJBKuYaBLrcgNmdDB7zxd/view?usp=share_link</t>
  </si>
  <si>
    <t>24" X 22.5" X 15.67"</t>
  </si>
  <si>
    <t>https://drive.google.com/file/d/1F3qYfxair2eL1BrI9jvZQlUgArRZLt9H/view?usp=share_link</t>
  </si>
  <si>
    <t>TIGUAN PUEBLA</t>
  </si>
  <si>
    <t>https://drive.google.com/file/d/14PZvUDwYZKIXicEUjF2whEJZEfDI1Dm-/view?usp=share_link</t>
  </si>
  <si>
    <t>RESPALDO 81</t>
  </si>
  <si>
    <t>https://drive.google.com/file/d/1u4EL3BIlKC__hmsPYqIRayTvw3DPGmul/view?usp=share_link</t>
  </si>
  <si>
    <t>https://drive.google.com/file/d/1rIi3_7dJOPNlmnge4-HscyZMiMF7a4ov/view?usp=share_link</t>
  </si>
  <si>
    <t>https://drive.google.com/file/d/1iSB-kWAFIFcN4CNh5bFqRDZmvb-uEqE3/view?usp=share_link</t>
  </si>
  <si>
    <t>https://drive.google.com/file/d/1rwZVtYAMjs1uCZ_pNyAMtwz-GFkbPp2r/view?usp=share_link</t>
  </si>
  <si>
    <t>ASIENTO 82</t>
  </si>
  <si>
    <t>https://drive.google.com/file/d/1_P8O-Obhc6-tkfvZC4qGJQDPceeMYLEk/view?usp=share_link</t>
  </si>
  <si>
    <t>https://drive.google.com/file/d/1St-lMqVpHQyrYoQry0v8VCFncMcqgf5R/view?usp=share_link</t>
  </si>
  <si>
    <t>https://drive.google.com/file/d/1qqF4oezTG8yoL012BlNCwlSY1Zscx3Up/view?usp=share_link</t>
  </si>
  <si>
    <t>https://drive.google.com/file/d/1D56qJ8dWzJYz_kbkqF3Kw2kr8cYdnoZr/view?usp=share_link</t>
  </si>
  <si>
    <t>https://drive.google.com/file/d/1dpihzWgKfDHWtw6aDWyjhybogOX0wZsS/view?usp=share_link</t>
  </si>
  <si>
    <t>82/81</t>
  </si>
  <si>
    <t>https://drive.google.com/file/d/1JOcO5EEfzYlkDt4yJOYA-JqKfCTslZDE/view?usp=share_link</t>
  </si>
  <si>
    <t>https://drive.google.com/file/d/1kYJ8-GM_W0iGeeiAaDdmy8Zug6i-zXJU/view?usp=share_link</t>
  </si>
  <si>
    <t>https://drive.google.com/file/d/1CLTE1UGJnJt1hwv31hr5WONfaeOQZhiK/view?usp=share_link</t>
  </si>
  <si>
    <t>https://drive.google.com/file/d/1ZuhbEn1P9nWFu9RXR7OY1YdETEcID-ms/view?usp=share_link</t>
  </si>
  <si>
    <t>ROLANDO MTZ</t>
  </si>
  <si>
    <t>CAJA A</t>
  </si>
  <si>
    <t>ESP-RMZ-001</t>
  </si>
  <si>
    <t>https://drive.google.com/file/d/1CDUZ7RIxpSo5SFKpWhQsBcyXcly0gEOq/view?usp=share_link</t>
  </si>
  <si>
    <t>SEPARADOR A</t>
  </si>
  <si>
    <t>18" X 12"</t>
  </si>
  <si>
    <t>ESP-RMZ-002</t>
  </si>
  <si>
    <t>https://drive.google.com/file/d/15XBUVMhFk5CZrfCxOZjW3TZeL6Wlhzd5/view?usp=share_link</t>
  </si>
  <si>
    <t>CAJA B</t>
  </si>
  <si>
    <t>ESP-RMZ-003</t>
  </si>
  <si>
    <t>https://drive.google.com/file/d/1AyVna81PqfNTdeSNuBlc44CMvI0e5V3A/view?usp=share_link</t>
  </si>
  <si>
    <t xml:space="preserve">SEPARADOR B </t>
  </si>
  <si>
    <t>24" X 12"</t>
  </si>
  <si>
    <t>ESP-RMZ-004</t>
  </si>
  <si>
    <t>https://drive.google.com/file/d/1GLdk9GyN_qnvNfNTWNH1Sw8N2QtCqRCl/view?usp=share_link</t>
  </si>
  <si>
    <t>CAJA C</t>
  </si>
  <si>
    <t>32" X 12" X 12"</t>
  </si>
  <si>
    <t>ESP-RMZ-005</t>
  </si>
  <si>
    <t>https://drive.google.com/file/d/10vE01aSYS_Zehwnb7MMPROlA7MY-vB3p/view?usp=share_link</t>
  </si>
  <si>
    <t>SEPARADOR C</t>
  </si>
  <si>
    <t>32" X 12"</t>
  </si>
  <si>
    <t>ESP-RMZ-006</t>
  </si>
  <si>
    <t>https://drive.google.com/file/d/1J9ejq1u-eW9BJPm1PnzsSGuNK6VypMOt/view?usp=share_link</t>
  </si>
  <si>
    <t>CAJA D</t>
  </si>
  <si>
    <t>24" X 16" X 24"</t>
  </si>
  <si>
    <t>ESP-RMZ-007</t>
  </si>
  <si>
    <t>https://drive.google.com/file/d/1w8DlDoYrZW3BpyYzRYY8LyayFUUuhzwd/view?usp=share_link</t>
  </si>
  <si>
    <t>SEPARADOR D</t>
  </si>
  <si>
    <t>24" X 16"</t>
  </si>
  <si>
    <t>ESP-RMZ-008</t>
  </si>
  <si>
    <t>https://drive.google.com/file/d/1cBMp_6wjJg_FvuPjR4Bf0ucV1T2O0Eax/view?usp=share_link</t>
  </si>
  <si>
    <t>CAJA E</t>
  </si>
  <si>
    <t>18" X 12" X 9"</t>
  </si>
  <si>
    <t>ESP-RMZ-009</t>
  </si>
  <si>
    <t>https://drive.google.com/file/d/16LtUsdWBSDpg3KZ1RbTBkpamqKWCGoVT/view?usp=share_link</t>
  </si>
  <si>
    <t>CAJA F</t>
  </si>
  <si>
    <t>15" X 15" X 13"</t>
  </si>
  <si>
    <t>ESP-RMZ-010</t>
  </si>
  <si>
    <t>https://drive.google.com/file/d/13vS6vHqdPFkVXQ36udX1z0-Bi5KM8L8r/view?usp=share_link</t>
  </si>
  <si>
    <t>SEPARADOR F</t>
  </si>
  <si>
    <t>15" X 15"</t>
  </si>
  <si>
    <t>ESP-RMZ-011</t>
  </si>
  <si>
    <t>https://drive.google.com/file/d/185YRiIMlkQY2GR-AY5_rNdRJvsG4PiqH/view?usp=share_link</t>
  </si>
  <si>
    <t>22" X 15" X 6.5"</t>
  </si>
  <si>
    <t>CAJA CORVETTE</t>
  </si>
  <si>
    <t>ESP-RMZ-012</t>
  </si>
  <si>
    <t>https://drive.google.com/file/d/1S81osV2_0aLBUhp2wvowfNnDI3zQyOQ9/view?usp=share_link</t>
  </si>
  <si>
    <t>SERVICIO 2</t>
  </si>
  <si>
    <t>ESP-RMZ-013</t>
  </si>
  <si>
    <t>https://drive.google.com/file/d/1U4hAspTbDo28Uc0_mD65w4lRgvMLMlXH/view?usp=share_link</t>
  </si>
  <si>
    <t>SERVICIO 3</t>
  </si>
  <si>
    <t>ESP-RMZ-014</t>
  </si>
  <si>
    <t>https://drive.google.com/file/d/1hwr43RA_BFJuLvKzQSKiN3dTevzgYbJx/view?usp=share_link</t>
  </si>
  <si>
    <t>SERVICIO 4</t>
  </si>
  <si>
    <t>ESP-RMZ-015</t>
  </si>
  <si>
    <t>https://drive.google.com/file/d/1zqBsRIox00sVNNCamxa6lSnvpbyEs40o/view?usp=share_link</t>
  </si>
  <si>
    <t>SERVICIO 5</t>
  </si>
  <si>
    <t>ESP-RMZ-016</t>
  </si>
  <si>
    <t>https://drive.google.com/file/d/1NC4_5Usk98SnDOACoWfsbAq9LJiTSU5q/view?usp=share_link</t>
  </si>
  <si>
    <t>CURRENT 1</t>
  </si>
  <si>
    <t>ESP-RMZ-017</t>
  </si>
  <si>
    <t>https://drive.google.com/file/d/1q1BtUlDLfG9ztyT_gBpl_DMTl8Am7n2a/view?usp=share_link</t>
  </si>
  <si>
    <t>CURRENT 2</t>
  </si>
  <si>
    <t>ESP-RMZ-018</t>
  </si>
  <si>
    <t>https://drive.google.com/file/d/1zt9BEEHnfjjaTJDW675XuS15a-3xSRwT/view</t>
  </si>
  <si>
    <t>SEP CURRENT 2</t>
  </si>
  <si>
    <t>ESP-RMZ-019</t>
  </si>
  <si>
    <t>https://drive.google.com/file/d/1-ldmCtuVk7r-BWB6m_AnDG0QQ6sKDHnD/view?usp=share_link</t>
  </si>
  <si>
    <t>Romulo Moreira</t>
  </si>
  <si>
    <t>DESECANTE</t>
  </si>
  <si>
    <t>ESP-RMO-001</t>
  </si>
  <si>
    <t>https://drive.google.com/file/d/1jP4wtL0A33zbLtdvAkk22RoFDvuvdQHj/view?usp=share_link</t>
  </si>
  <si>
    <t>ALITAS ADICTIVAS</t>
  </si>
  <si>
    <t>ESP-RMO-002</t>
  </si>
  <si>
    <t>https://drive.google.com/file/d/1O5oi2UcUrUvqlok7fgWHEbqogPfpCSEG/view?usp=share_link</t>
  </si>
  <si>
    <t>15 CAV CORVETTE</t>
  </si>
  <si>
    <t>22" X 15" X 6.25"</t>
  </si>
  <si>
    <t>ESP-RMO-003</t>
  </si>
  <si>
    <t>https://drive.google.com/file/d/1-BOLcF268gOoYLNwInkZTSf13mv_deCm/view?usp=share_link</t>
  </si>
  <si>
    <t>ESP-RMO-004</t>
  </si>
  <si>
    <t>https://drive.google.com/file/d/166OJXC2Pm5QJSwC6DwpUR8lHOlWOkEir/view?usp=share_link</t>
  </si>
  <si>
    <t>80 CAV</t>
  </si>
  <si>
    <t>ESP-RMO-005</t>
  </si>
  <si>
    <t>https://drive.google.com/file/d/1E8h0mHL-bENfNPh5rZPFd_z4k7Xwunk-/view?usp=share_link</t>
  </si>
  <si>
    <t>ESP-RMO-006</t>
  </si>
  <si>
    <t>https://drive.google.com/file/d/1IN6LZ1-huU7AGHmqeW_pN0JlA61XF2SW/view?usp=share_link</t>
  </si>
  <si>
    <t>ESP-RMO-007</t>
  </si>
  <si>
    <t>https://drive.google.com/file/d/1qGHDUhs34jWq2p_edTcpFdjVS2FMMocE/view?usp=share_link</t>
  </si>
  <si>
    <t>72 CAV</t>
  </si>
  <si>
    <t>ESP-RMO-008</t>
  </si>
  <si>
    <t>https://drive.google.com/file/d/1eSVnQe2duewGgd8AcxzYCZ00tKOeVEVC/view?usp=share_link</t>
  </si>
  <si>
    <t>ESP-RMO-009</t>
  </si>
  <si>
    <t>https://drive.google.com/file/d/10JKtDA7g340hpiL6fsiF72KpbWviUJ5P/view?usp=share_link</t>
  </si>
  <si>
    <t>ESP-RMO-010</t>
  </si>
  <si>
    <t>https://drive.google.com/file/d/1ezvaOy9oVdnqV1OnoAK6gWm8A5eSbyjE/view?usp=share_link</t>
  </si>
  <si>
    <t>80 CAV / 72 CAV</t>
  </si>
  <si>
    <t>ESP-RMO-011</t>
  </si>
  <si>
    <t>https://drive.google.com/file/d/1k1eXRKPc2CwzxumGZEJW0gYlE4Arxw7Z/view?usp=share_link</t>
  </si>
  <si>
    <t>80 CAV /27 CAV</t>
  </si>
  <si>
    <t>ESP-RMO-012</t>
  </si>
  <si>
    <t>https://drive.google.com/file/d/13QtYxF2FR58FXJXwb3J-a-WfvfBuRLKh/view?usp=share_link</t>
  </si>
  <si>
    <t>TAPA MASTER</t>
  </si>
  <si>
    <t>TAPA LANK</t>
  </si>
  <si>
    <t>ESP-RMO-013</t>
  </si>
  <si>
    <t>38" X 22" X 13" -51</t>
  </si>
  <si>
    <t>51-ECT</t>
  </si>
  <si>
    <t>ESP-RMO-014</t>
  </si>
  <si>
    <t>https://drive.google.com/file/d/16n070BZtJ86jsfSlCOMdd8QeGDlw4eAe/view?usp=share_link</t>
  </si>
  <si>
    <t>12" X 10" X 12" - CHICA</t>
  </si>
  <si>
    <t>12" X 10" X 12"</t>
  </si>
  <si>
    <t>ESP-RMO-015</t>
  </si>
  <si>
    <t>https://drive.google.com/file/d/1zF-IvdTt2CT7Ei9Wuw8_k-dd6vb-csGJ/view?usp=share_link</t>
  </si>
  <si>
    <t>21" X 18" X 13" MEDIANA</t>
  </si>
  <si>
    <t>21" X 18" X 13"</t>
  </si>
  <si>
    <t>ESP-RMO-016</t>
  </si>
  <si>
    <t>https://drive.google.com/file/d/1Bom52RxK6lLRTCJruNTKMFoLrxz8NJLI/view?usp=share_link</t>
  </si>
  <si>
    <t>36" X 22" X 13" - GRANDE</t>
  </si>
  <si>
    <t>36" X 22" X 13"</t>
  </si>
  <si>
    <t>ESP-RMO-017</t>
  </si>
  <si>
    <t>https://drive.google.com/file/d/19t3KYhDZxbgRKc9LWL_41QNsBhVqnBSo/view?usp=share_link</t>
  </si>
  <si>
    <t>43" X 37" X 17" -JUMBO</t>
  </si>
  <si>
    <t>43" X 37" X 17"</t>
  </si>
  <si>
    <t>ESP-RMO-018</t>
  </si>
  <si>
    <t>https://drive.google.com/file/d/1VCCLTsCd2ugcPTFfWYJuSnYU_JApHx4n/view?usp=share_link</t>
  </si>
  <si>
    <t>ESP-RMO-019</t>
  </si>
  <si>
    <t>https://drive.google.com/file/d/1ooVp8zvlpTslFDAu1MGBm1gJe3CQmRRU/view?usp=share_link</t>
  </si>
  <si>
    <t>ESP-RMO-020</t>
  </si>
  <si>
    <t>https://drive.google.com/file/d/1eIVafr54CSU8EKeq1ZmiwmaD-QVRBvmn/view?usp=share_link</t>
  </si>
  <si>
    <t>ESP-RMO-021</t>
  </si>
  <si>
    <t>https://drive.google.com/file/d/1ajqH8x_atiqUQ9MUiRHEycATn-JLXW1Q/view?usp=share_link</t>
  </si>
  <si>
    <t>USO INTERNO (UI)</t>
  </si>
  <si>
    <t>ESP-RMO-022</t>
  </si>
  <si>
    <t>https://drive.google.com/file/d/1epGOEo7EtAfw0Q85MGVfMkIJmSDcGxDU/view?usp=share_link</t>
  </si>
  <si>
    <t>20" X 17.5" X 8.5"</t>
  </si>
  <si>
    <t>ESP-RMO-023</t>
  </si>
  <si>
    <t>https://drive.google.com/file/d/1Xa4jx0qYlWZ6Kw1OETPmAtLPVtdCbYHq/view?usp=share_link</t>
  </si>
  <si>
    <t>SEP 36" X 44"</t>
  </si>
  <si>
    <t>36" X 44"</t>
  </si>
  <si>
    <t>ESP-RMO-024</t>
  </si>
  <si>
    <t>https://drive.google.com/file/d/1gc9ktTgd1BbchspWsBYpPMeCvqMiS4TG/view?usp=share_link</t>
  </si>
  <si>
    <t>San Juan de la Vaquería</t>
  </si>
  <si>
    <t>ESP-SJV-001</t>
  </si>
  <si>
    <t>https://drive.google.com/file/d/1Z-pIfXSwWpaU2tu-_exqXJksUoW2LJmN/view?usp=share_link</t>
  </si>
  <si>
    <t>REJILLA CHICA</t>
  </si>
  <si>
    <t>ESP-SJV-002</t>
  </si>
  <si>
    <t>https://drive.google.com/file/d/1fz8yDhlQ_IkYkkFkZE1eqQPCYGQqZ408/view?usp=share_link</t>
  </si>
  <si>
    <t>ESP-SJV-003</t>
  </si>
  <si>
    <t>https://drive.google.com/file/d/1O0xDOTMD6GAHrWDt1iubIs_HyHFoPs63/view?usp=share_link</t>
  </si>
  <si>
    <t xml:space="preserve">CAJA GRANDE </t>
  </si>
  <si>
    <t>ESP-SJV-004</t>
  </si>
  <si>
    <t>https://drive.google.com/file/d/10qTf5mGYGaZuGxDbGC6rBSgQccNnpUbH/view?usp=share_link</t>
  </si>
  <si>
    <t>REJILLA GRANDE</t>
  </si>
  <si>
    <t>ESP-SJV-005</t>
  </si>
  <si>
    <t>https://drive.google.com/file/d/1IImeaEJSvjjvsHOtZKxDrrQlaKAhHT8c/view?usp=share_link</t>
  </si>
  <si>
    <t>ESP-SJV-006</t>
  </si>
  <si>
    <t>https://drive.google.com/file/d/1UBm1VXE6li8avOHT7RNsTcXZuAN2du3n/view?usp=share_link</t>
  </si>
  <si>
    <t>SANHUA</t>
  </si>
  <si>
    <t>P-204</t>
  </si>
  <si>
    <t>TR-586</t>
  </si>
  <si>
    <t>ESP-SHA-001</t>
  </si>
  <si>
    <t>https://drive.google.com/file/d/1CDQLmxod2ybta-ow7CGIs153iHBTDoXp/view?usp=share_link</t>
  </si>
  <si>
    <t>P-208</t>
  </si>
  <si>
    <t>ESP-SHA-002</t>
  </si>
  <si>
    <t>https://drive.google.com/file/d/1bb7VHRqwv07eUqWO9hb6lwlxJgHJ_OxO/view?usp=share_link</t>
  </si>
  <si>
    <t>TR-204</t>
  </si>
  <si>
    <t>ESP-SHA-003</t>
  </si>
  <si>
    <t>https://drive.google.com/file/d/1YpSJj6Cx-Yt6h5uJF3C0UUsij7Yf6jo_/view?usp=share_link</t>
  </si>
  <si>
    <t>TR-243</t>
  </si>
  <si>
    <t>ESP-SHA-004</t>
  </si>
  <si>
    <t>https://drive.google.com/file/d/1WBVicuxt2HkaKvbNngomuwhVn7SCyEi7/view?usp=share_link</t>
  </si>
  <si>
    <t>P-204-JC136</t>
  </si>
  <si>
    <t>JC-136</t>
  </si>
  <si>
    <t>ESP-SHA-005</t>
  </si>
  <si>
    <t>https://drive.google.com/file/d/1IQEXFg_7GUU6E03_o-5oF2DQZ7TDn72C/view?usp=share_link</t>
  </si>
  <si>
    <t>P-204-JC134</t>
  </si>
  <si>
    <t>JC-134</t>
  </si>
  <si>
    <t>ESP-SHA-006</t>
  </si>
  <si>
    <t>https://drive.google.com/file/d/1Sci169IFJ3z9-LK2peEeT0-wStVXwfDH/view?usp=share_link</t>
  </si>
  <si>
    <t>P-204-TR587</t>
  </si>
  <si>
    <t>TR589-3</t>
  </si>
  <si>
    <t>ESP-SHA-007</t>
  </si>
  <si>
    <t>https://drive.google.com/file/d/17wYADlQ2TdLNT0rV21QwnzIIFgmCmjFV/view?usp=share_link</t>
  </si>
  <si>
    <t>P-208-TR585</t>
  </si>
  <si>
    <t>TR589</t>
  </si>
  <si>
    <t>ESP-SHA-008</t>
  </si>
  <si>
    <t>https://drive.google.com/file/d/1riapJkiMTGT3AOGMCJUMI7_AYIOYm2Z2/view?usp=share_link</t>
  </si>
  <si>
    <t>P-206-TR206-6</t>
  </si>
  <si>
    <t>ESP-SHA-009</t>
  </si>
  <si>
    <t>https://drive.google.com/file/d/1YIwwRj_TOsNPTZxBSDz9-6piwkyY7sEn/view?usp=share_link</t>
  </si>
  <si>
    <t>P-209-TR589</t>
  </si>
  <si>
    <t>ESP-SHA-010</t>
  </si>
  <si>
    <t>https://drive.google.com/file/d/1lCY7au55l7EZBBd-fF43i6SlQD_mFeot/view?usp=share_link</t>
  </si>
  <si>
    <t>ESP-SHA-011</t>
  </si>
  <si>
    <t>https://drive.google.com/file/d/1C363ol-3CB-RWBatKDYymLyFIdYNc53k/view?usp=share_link</t>
  </si>
  <si>
    <t>P-204-JC133</t>
  </si>
  <si>
    <t>ESP-SHA-012</t>
  </si>
  <si>
    <t>https://drive.google.com/file/d/127k4HnKv7ZcBJUWnAUuTaI8GJQ6gVcJD/view?usp=share_link</t>
  </si>
  <si>
    <t>P-208-TR586</t>
  </si>
  <si>
    <t>ESP-SHA-013</t>
  </si>
  <si>
    <t>https://drive.google.com/file/d/11cQ_qwk6aRbzA9UrydD2mP49C09peuOE/view?usp=share_link</t>
  </si>
  <si>
    <t>P-204-TR548-2</t>
  </si>
  <si>
    <t>ESP-SHA-014</t>
  </si>
  <si>
    <t>https://drive.google.com/file/d/1g5Gr8d3x6HjkXz_HLdrVCm66yhZ-I8wu/view?usp=share_link</t>
  </si>
  <si>
    <t>Z11</t>
  </si>
  <si>
    <t>ESP-SHA-015</t>
  </si>
  <si>
    <t>https://drive.google.com/file/d/1ecOHO_KynnTIS0k6pYu7kJCwmasmRfoK/view?usp=share_link</t>
  </si>
  <si>
    <t>SENIOR FLEXTRONICS</t>
  </si>
  <si>
    <t>ESP-SFS-001</t>
  </si>
  <si>
    <t>https://drive.google.com/file/d/1SUB-QnC_BIZCasJzLLWqBJOw500N2JfQ/view?usp=share_link</t>
  </si>
  <si>
    <t>ESP-SFS-002</t>
  </si>
  <si>
    <t>https://drive.google.com/file/d/1MNWSGC4PQDmaWVOPEM0NibEhvztsHqIC/view?usp=share_link</t>
  </si>
  <si>
    <t>ESP-SFS-003</t>
  </si>
  <si>
    <t>https://drive.google.com/file/d/1yDn64dCBfao8NJOI0B7BaDEOzY0DV0pg/view?usp=share_link</t>
  </si>
  <si>
    <t>130 X 130 X 40 C/TAPA</t>
  </si>
  <si>
    <t>ESP-SFS-004</t>
  </si>
  <si>
    <t>https://drive.google.com/file/d/1Ixm6gvOg0QVpw4EuVgaEZa6d35jp8CZ3/view?usp=share_link</t>
  </si>
  <si>
    <t>ESP-SFS-005</t>
  </si>
  <si>
    <t>https://drive.google.com/file/d/1PWuwpQyTBCCHBnr9YaTyslop5nprpWc_/view?usp=share_link</t>
  </si>
  <si>
    <t>SEWON</t>
  </si>
  <si>
    <t>ESP-SEW-001</t>
  </si>
  <si>
    <t>https://drive.google.com/file/d/11DrTnPbh21GBUXNSkzVbIhuX2vi0JwgA/view?usp=share_link</t>
  </si>
  <si>
    <t>ESP-SEW-002</t>
  </si>
  <si>
    <t>https://drive.google.com/file/d/1eyxGBgUv7ch8ZYRu_nIf1ZS6gbQhNwTg/view?usp=share_link</t>
  </si>
  <si>
    <t>Shop 4 You</t>
  </si>
  <si>
    <t>20 X 20 X 9 cm</t>
  </si>
  <si>
    <t>ESP-SFY-001</t>
  </si>
  <si>
    <t>https://drive.google.com/file/d/1tmll0vYDPfxii5OMt6G6_eNhXIc4MHgb/view?usp=share_link</t>
  </si>
  <si>
    <t>30 X 20 X 9 cm</t>
  </si>
  <si>
    <t>ESP-SFY-002</t>
  </si>
  <si>
    <t>https://drive.google.com/file/d/1GPVZO6qU9BrPZ6_VnEfIgEM2TJGa7rZn/view?usp=share_link</t>
  </si>
  <si>
    <t>24 X 18 X 8 cm</t>
  </si>
  <si>
    <t>ESP-SFY-003</t>
  </si>
  <si>
    <t>https://drive.google.com/file/d/12nA0Spsdfe5KZLpb_jQm4SWuMcFqrBVH/view?usp=share_link</t>
  </si>
  <si>
    <t>30 X 20 X 20 cm</t>
  </si>
  <si>
    <t>ESP-SFY-004</t>
  </si>
  <si>
    <t>https://drive.google.com/file/d/1wu1rTdhdpdarLCfQgHlbd89LL9cpGRgc/view?usp=share_link</t>
  </si>
  <si>
    <t>31 X 21 X 15 cm</t>
  </si>
  <si>
    <t>ESP-SFY-005</t>
  </si>
  <si>
    <t>https://drive.google.com/file/d/1M3deLXWvfec1Db6nsNKMdPqdJwRzSxa_/view?usp=share_link</t>
  </si>
  <si>
    <t>25 X 20 X 15 cm</t>
  </si>
  <si>
    <t>ESP-SFY-006</t>
  </si>
  <si>
    <t>https://drive.google.com/file/d/1znzcpR3EAhJRh6rdCXzWZRFaXkgK24nx/view?usp=share_link</t>
  </si>
  <si>
    <t>20 X 20 X 10 cm</t>
  </si>
  <si>
    <t>ESP-SFY-007</t>
  </si>
  <si>
    <t>https://drive.google.com/file/d/1otdvI75nPhEXn7HNUl3vgFtXf24hF_gH/view?usp=share_link</t>
  </si>
  <si>
    <t>SIAT</t>
  </si>
  <si>
    <t>120 X 66 X 8 cm</t>
  </si>
  <si>
    <t>ESP-SIA-001</t>
  </si>
  <si>
    <t>https://drive.google.com/file/d/1r9aQLZtOKmkPIzebTEYBqBhlLPOWrKq3/view?usp=share_link</t>
  </si>
  <si>
    <t>120-62-5</t>
  </si>
  <si>
    <t>FOLDER 120-62-5</t>
  </si>
  <si>
    <t>ESP-SIA-002</t>
  </si>
  <si>
    <t>https://drive.google.com/file/d/1sww2bvpreCqtNZDDDeLVBgm4m8wjEVsN/view?usp=share_link</t>
  </si>
  <si>
    <t>SIT</t>
  </si>
  <si>
    <t>BELENET PLASTICA</t>
  </si>
  <si>
    <t>ESP-SIT-001</t>
  </si>
  <si>
    <t>https://drive.google.com/file/d/1pQWZUfbyh6U-G-UCAQl5KmHCC-O9jB71/view?usp=share_link</t>
  </si>
  <si>
    <t>ESP-SIT-002</t>
  </si>
  <si>
    <t>https://drive.google.com/file/d/1TfykEfhOk8zW15IYIAmOOLIjDg2_fR2r/view?usp=share_link</t>
  </si>
  <si>
    <t>TAPA VW</t>
  </si>
  <si>
    <t>VW-TROQUELADA</t>
  </si>
  <si>
    <t>ESP-SIT-003</t>
  </si>
  <si>
    <t>https://drive.google.com/file/d/1Yk01ChZGOYxb7mnYTE7897R8JsMQSx9Q/view?usp=share_link</t>
  </si>
  <si>
    <t>57 X 53 X 49</t>
  </si>
  <si>
    <t>BLENHEIM</t>
  </si>
  <si>
    <t>59 X 57 X 49</t>
  </si>
  <si>
    <t>ESP-SIT-053</t>
  </si>
  <si>
    <t>https://drive.google.com/file/d/1RqMe3KR4Y9KWeOyp13LOb3LXoq1Y13N1/view?usp=share_link</t>
  </si>
  <si>
    <t>40 X 40 X 25</t>
  </si>
  <si>
    <t>ESP-SIT-054</t>
  </si>
  <si>
    <t>https://drive.google.com/file/d/1roZcMJyQQQ5PVcROD8SJuajasiCQ1Hyl/view?usp=share_link</t>
  </si>
  <si>
    <t>SPM</t>
  </si>
  <si>
    <t>ELECTRO LUX</t>
  </si>
  <si>
    <t>ESP-SPM-001</t>
  </si>
  <si>
    <t>https://drive.google.com/file/d/1IxgE1YsklAJHHs3AZIS_g16L-omY025z/view?usp=share_link</t>
  </si>
  <si>
    <t>STAHL</t>
  </si>
  <si>
    <t>6 X 6</t>
  </si>
  <si>
    <t>BOLSA</t>
  </si>
  <si>
    <t>PULIBURBUJA</t>
  </si>
  <si>
    <t>ESP-STA-001</t>
  </si>
  <si>
    <t>https://drive.google.com/file/d/1yLXmYneCckOPiwHvNLeBvv4ENS8hD8dM/view?usp=share_link</t>
  </si>
  <si>
    <t>10 X 15</t>
  </si>
  <si>
    <t>ESP-STA-002</t>
  </si>
  <si>
    <t>https://drive.google.com/file/d/1y2fDAjWcBqG-_zIP0_DWag-whVwUNwcd/view?usp=share_link</t>
  </si>
  <si>
    <t>SUPER HIGH</t>
  </si>
  <si>
    <t>49 X 19 X 11 cm</t>
  </si>
  <si>
    <t>ESP-SPH-001</t>
  </si>
  <si>
    <t>https://drive.google.com/file/d/1v0xhOqFK2nPVXeocCcpk5sZXVpqGYlWC/view?usp=share_link</t>
  </si>
  <si>
    <t>30 X 24 X 11 cm</t>
  </si>
  <si>
    <t>ESP-SPH-002</t>
  </si>
  <si>
    <t>https://drive.google.com/file/d/1XRHyhEl8DUHebSzOG0QQhWNbTVgCNnG8/view?usp=share_link</t>
  </si>
  <si>
    <t>35 X 30 X 11 cm</t>
  </si>
  <si>
    <t>ESP-SPH-003</t>
  </si>
  <si>
    <t>https://drive.google.com/file/d/1VqJw_L1SbD3roZwBs4Qrs6axVYUQO77m/view?usp=share_link</t>
  </si>
  <si>
    <t>35 X 34 X 11 cm</t>
  </si>
  <si>
    <t>ESP-SPH-004</t>
  </si>
  <si>
    <t>https://drive.google.com/file/d/1ZUeA4KqmINfttyl6gqqYG0cjWYFKQgCs/view</t>
  </si>
  <si>
    <t>42 X 14 X 18 cm</t>
  </si>
  <si>
    <t>ESP-SPH-005</t>
  </si>
  <si>
    <t>https://drive.google.com/file/d/1fyiinKygARt_bq2QhXG_FKXTiw0LMR7F/view?usp=share_link</t>
  </si>
  <si>
    <t>42 X 14 X 11 cm</t>
  </si>
  <si>
    <t>ESP-SPH-006</t>
  </si>
  <si>
    <t>https://drive.google.com/file/d/1eBiIx5cUovOzzTmSNEoEuZm4k_mmMgVY/view?usp=share_link</t>
  </si>
  <si>
    <t>49 X 19 cm</t>
  </si>
  <si>
    <t>ESP-SPH-007</t>
  </si>
  <si>
    <t>https://drive.google.com/file/d/1WrRSJ4y0FcRTfoGlRdaM4q7cHA6a-z1t/view?usp=share_link</t>
  </si>
  <si>
    <t>TAESAN</t>
  </si>
  <si>
    <t>40 X 97</t>
  </si>
  <si>
    <t>ESP-TAE-001</t>
  </si>
  <si>
    <t>https://drive.google.com/file/d/1-f11owMw6JF4qm72J7KmyznpuDnqAAnO/view?usp=share_link</t>
  </si>
  <si>
    <t>TURCK</t>
  </si>
  <si>
    <t>ESP-TUR-001</t>
  </si>
  <si>
    <t>https://drive.google.com/file/d/13J5r1o8m8JvH-VzWZHgRiHjn0I_0YfrQ/view?usp=share_link</t>
  </si>
  <si>
    <t>48" X 40" X 24"</t>
  </si>
  <si>
    <t>ESP-TUR-002</t>
  </si>
  <si>
    <t>https://drive.google.com/file/d/1_yrY9ZWr-lDwgZiwDpVg8z03hDzACTW7/view?usp=share_link</t>
  </si>
  <si>
    <t>ESP-TUR-003</t>
  </si>
  <si>
    <t>https://drive.google.com/file/d/1Mmq0VYC2glgnuwtgYdCHtFaxPcijqTj6/view?usp=share_link</t>
  </si>
  <si>
    <t>ESP-TUR-004</t>
  </si>
  <si>
    <t>https://drive.google.com/file/d/1wEkMO01mVA8B0m4hZSQMedCW4O20r6Rl/view?usp=share_link</t>
  </si>
  <si>
    <t>ESP-TUR-005</t>
  </si>
  <si>
    <t>https://drive.google.com/file/d/1r0I0C9enCRIWtlxN24HfJNCPR-lY5f58/view?usp=share_link</t>
  </si>
  <si>
    <t>9 CAVIDADES 54 PIEZAS-KIT</t>
  </si>
  <si>
    <t>ESP-TUR-006</t>
  </si>
  <si>
    <t>https://drive.google.com/file/d/1JMV4a9OKUcKNTZ5LnMzwLqKJ3DMn-9yO/view?usp=share_link</t>
  </si>
  <si>
    <t>ESP-TUR-007</t>
  </si>
  <si>
    <t>https://drive.google.com/file/d/182ZvMnjlZk6CkcJaGvYahAdBhJXl7FcB/view?usp=share_link</t>
  </si>
  <si>
    <t>ESP-TUR-008</t>
  </si>
  <si>
    <t>https://drive.google.com/file/d/1pddZ74vFhY2QokcWDbR3pveLNTAxXz30/view?usp=share_link</t>
  </si>
  <si>
    <t>ESP-TUR-009</t>
  </si>
  <si>
    <t>https://drive.google.com/file/d/1Kk0OXR34U_LYoN4_VcYSmli0LAd4NJRZ/view?usp=share_link</t>
  </si>
  <si>
    <t>10 CAVIDADES 30 PIZAS-KIT</t>
  </si>
  <si>
    <t>10 CAVIDADES 30 PIEZAS-KIT</t>
  </si>
  <si>
    <t>ESP-TUR-010</t>
  </si>
  <si>
    <t>https://drive.google.com/file/d/1M1-VCyKRtDALm4pQkD-5VylJ_oS20udv/view?usp=share_link</t>
  </si>
  <si>
    <t>ESP-TUR-011</t>
  </si>
  <si>
    <t>https://drive.google.com/file/d/1R5EHqNWogO-zZgvrBKkfHEaXKOkkNAhI/view?usp=share_link</t>
  </si>
  <si>
    <t>ESP-TUR-012</t>
  </si>
  <si>
    <t>https://drive.google.com/file/d/1V8JPr7zCeloq530ZDQ9p32SPigVd_OCj/view?usp=share_link</t>
  </si>
  <si>
    <t>ESP-TUR-013</t>
  </si>
  <si>
    <t>https://drive.google.com/file/d/1lkTl8UOdo5R_LdEIupiTPKdS3sKP4HTI/view?usp=share_link</t>
  </si>
  <si>
    <t>NARROW BAND</t>
  </si>
  <si>
    <t>ESP-TUR-014</t>
  </si>
  <si>
    <t>https://drive.google.com/file/d/1xuAWF3NxpdLRXPknPWccR1fShL6AjR-y/view?usp=share_link</t>
  </si>
  <si>
    <t>REJILLA NARROW BAND</t>
  </si>
  <si>
    <t>ESP-TUR-015</t>
  </si>
  <si>
    <t>https://drive.google.com/file/d/1Kt2SI4LAGmGLwFiLUlCoHFZabsqb_VZh/view?usp=share_link</t>
  </si>
  <si>
    <t>SEPARADOR NARROW</t>
  </si>
  <si>
    <t>ESP-TUR-016</t>
  </si>
  <si>
    <t>https://drive.google.com/file/d/19idzsxpqwbbg5C0r9w1IYlcP6hN5q0JF/view?usp=share_link</t>
  </si>
  <si>
    <t>UFI FILTERS</t>
  </si>
  <si>
    <t xml:space="preserve">42 X 40 X 20 </t>
  </si>
  <si>
    <t>ESP-UFI-001</t>
  </si>
  <si>
    <t>https://drive.google.com/file/d/1ZJuo7oKV7yi7QJ8Vt9kvsKsW7KCDgJn8/view?usp=share_link</t>
  </si>
  <si>
    <t>33.5 X 55 cm</t>
  </si>
  <si>
    <t>COROPLAST TROQUELADO</t>
  </si>
  <si>
    <t>ESP-UFI-002</t>
  </si>
  <si>
    <t>https://drive.google.com/file/d/1ekzHo3Fr5h-q_fAItE71Aadf5u8X6jeh/view?usp=share_link</t>
  </si>
  <si>
    <t>ESP-UFI-003</t>
  </si>
  <si>
    <t>https://drive.google.com/file/d/12HBJ0gRby7kFX3v1ndtp4tLBMJ4F1HUF/view?usp=share_link</t>
  </si>
  <si>
    <t>ESP-UFI-004</t>
  </si>
  <si>
    <t>https://drive.google.com/file/d/1YFLiVHtD3GZMesNd_qGCt36ebQS-DaWC/view?usp=share_link</t>
  </si>
  <si>
    <t>ESP-UFI-005</t>
  </si>
  <si>
    <t>https://drive.google.com/file/d/1LDf7-q5cJjGc5M1AaNMfDMs8LqvnE5_H/view?usp=share_link</t>
  </si>
  <si>
    <t>ESP-UFI-006</t>
  </si>
  <si>
    <t>https://drive.google.com/file/d/1bfOL5xB-olfWQNgAMoA8cy3o-Z6s3SrY/view?usp=share_link</t>
  </si>
  <si>
    <t>ESP-UFI-007</t>
  </si>
  <si>
    <t>https://drive.google.com/file/d/1iOG6cyF4oU_LnzcZH53yzj62uPIpNDWc/view?usp=share_link</t>
  </si>
  <si>
    <t>LM2-100</t>
  </si>
  <si>
    <t>100 CAV</t>
  </si>
  <si>
    <t>ESP-UFI-008</t>
  </si>
  <si>
    <t>https://drive.google.com/file/d/11ilC4qGWxVT3yhtAeTKfOFAYvkJLaqB1/view?usp=share_link</t>
  </si>
  <si>
    <t>ESP-UFI-009</t>
  </si>
  <si>
    <t>https://drive.google.com/file/d/1TbDLGm4ZJv4QWVOevm8qCMNgB0rqdWtM/view?usp=share_link</t>
  </si>
  <si>
    <t>ESP-UFI-010</t>
  </si>
  <si>
    <t>https://drive.google.com/file/d/1rEzsqAD50u2O0a03SmiD8KHOdue-_nX0/view?usp=share_link</t>
  </si>
  <si>
    <t>ESP-UFI-011</t>
  </si>
  <si>
    <t>https://drive.google.com/file/d/1235FTCuDzpnUV2pNeBhYIeVzVVGTzZ_s/view?usp=share_link</t>
  </si>
  <si>
    <t>ESP-UFI-012</t>
  </si>
  <si>
    <t>https://drive.google.com/file/d/1pDj7Yy96lzJT_BQiaO7iysT2zHA-d-7p/view?usp=share_link</t>
  </si>
  <si>
    <t>TARIMA DE TACÓN</t>
  </si>
  <si>
    <t>ESP-UFI-013</t>
  </si>
  <si>
    <t>https://drive.google.com/file/d/1Z7IcoSsMSyBgYnKDz_ck9opuYrpq0Gqr/view?usp=share_link</t>
  </si>
  <si>
    <t>UKY</t>
  </si>
  <si>
    <t>MANGA GDE</t>
  </si>
  <si>
    <t>KIT GDE</t>
  </si>
  <si>
    <t>ESP-UKY-001</t>
  </si>
  <si>
    <t>https://drive.google.com/file/d/12SgEGsITFfTHbc5wuKlEhDQ1cbUb94N-/view?usp=share_link</t>
  </si>
  <si>
    <t>TAPA-BASE GDE</t>
  </si>
  <si>
    <t>ESP-UKY-002</t>
  </si>
  <si>
    <t>https://drive.google.com/file/d/1Hq4O6IAi1ITj4gTfoCKBWPAUlhTTM5Nu/view?usp=share_link</t>
  </si>
  <si>
    <t>SEP GDE</t>
  </si>
  <si>
    <t>ESP-UKY-003</t>
  </si>
  <si>
    <t>https://drive.google.com/file/d/17G4N3rb2y0u0R6LVQmMc3ElDFQWi5iOF/view?usp=share_link</t>
  </si>
  <si>
    <t>MANGA CHICA</t>
  </si>
  <si>
    <t>ESP-UKY-004</t>
  </si>
  <si>
    <t>https://drive.google.com/file/d/15myZCqJAfr8cqj0G2AoPA2gz7ShqGzkJ/view?usp=share_link</t>
  </si>
  <si>
    <t>TAPA-BASE CHICA</t>
  </si>
  <si>
    <t>KIT CHICO</t>
  </si>
  <si>
    <t>ESP-UKY-005</t>
  </si>
  <si>
    <t>https://drive.google.com/file/d/1wzE3hefBTQtXXD59PzX0VmPQW1TLUNfr/view?usp=share_link</t>
  </si>
  <si>
    <t>SEP CHICO</t>
  </si>
  <si>
    <t>ESP-UKY-006</t>
  </si>
  <si>
    <t>https://drive.google.com/file/d/1Y3l5AYB-I73CFpKeM3XN5TuGzllIk8YM/view?usp=share_link</t>
  </si>
  <si>
    <t>PKG-BOX-022-1</t>
  </si>
  <si>
    <t>DAS PROJECT</t>
  </si>
  <si>
    <t>ESP-UKY-007</t>
  </si>
  <si>
    <t>https://drive.google.com/file/d/127LDBQ32qfjp3YGJJEOIeK1t-66bcxaS/view?usp=share_link</t>
  </si>
  <si>
    <t>PKG-BOX-006</t>
  </si>
  <si>
    <t>KWANGSUNG</t>
  </si>
  <si>
    <t>ESP-UKY-008</t>
  </si>
  <si>
    <t>https://drive.google.com/file/d/1It28A1Q8C-EdN40h8nToCQq1FKWZEpkS/view?usp=share_link</t>
  </si>
  <si>
    <t>PKG-BOX-009</t>
  </si>
  <si>
    <t>DAS</t>
  </si>
  <si>
    <t>ESP-UKY-009</t>
  </si>
  <si>
    <t>https://drive.google.com/file/d/1h7T549QTxDy3coJqY9wRq2qI6LB650Jn/view?usp=share_link</t>
  </si>
  <si>
    <t>PKG-BOX-016</t>
  </si>
  <si>
    <t>KUANGSUNG</t>
  </si>
  <si>
    <t>ESP-UKY-010</t>
  </si>
  <si>
    <t>https://drive.google.com/file/d/1SciceTtvBB3mVfuu0A-0kFOi0ib1Jz60/view?usp=share_link</t>
  </si>
  <si>
    <t>PKG-BOX-010</t>
  </si>
  <si>
    <t>KUANGJIN</t>
  </si>
  <si>
    <t>ESP-UKY-011</t>
  </si>
  <si>
    <t>https://drive.google.com/file/d/1mbrdZsW5lQacEBi4KxgsEx3GOHKyzhId/view?usp=share_link</t>
  </si>
  <si>
    <t>UNISION</t>
  </si>
  <si>
    <t>ESP-UN-001</t>
  </si>
  <si>
    <t>https://drive.google.com/file/d/1pnInuJi_6HcUsRb6e-pDvfm-rJDLx_aV/view?usp=share_link</t>
  </si>
  <si>
    <t>23" X 23" X 12"</t>
  </si>
  <si>
    <t>ESP-UN-002</t>
  </si>
  <si>
    <t>https://drive.google.com/file/d/1T0fUN67ETuIkLiWsu6zATYiS8SFcI0-0/view?usp=share_link</t>
  </si>
  <si>
    <t>TIE DOWN CH</t>
  </si>
  <si>
    <t>ESP-UN-003</t>
  </si>
  <si>
    <t>https://drive.google.com/file/d/1yAxzNUZ5mqYA-2vV-bZiAlByZSjVrUz5/view?usp=share_link</t>
  </si>
  <si>
    <t>8" X 5" X 3"</t>
  </si>
  <si>
    <t>ESP-UN-004</t>
  </si>
  <si>
    <t>https://drive.google.com/file/d/1FH_vGmlr-iUkJiZ9e8dKIAxiiy7cdUUD/view?usp=share_link</t>
  </si>
  <si>
    <t>ESP-UN-005</t>
  </si>
  <si>
    <t>https://drive.google.com/file/d/1hYrmrNioydET-g2D1FfHsYirG_Omt2Rc/view?usp=share_link</t>
  </si>
  <si>
    <t>587-3</t>
  </si>
  <si>
    <t>ESP-UN-006</t>
  </si>
  <si>
    <t>https://drive.google.com/file/d/1LDvn8ORw399DcjslFb3TY9kCTc3lCwzk/view?usp=share_link</t>
  </si>
  <si>
    <t>MEDIANA</t>
  </si>
  <si>
    <t>ESP-UN-007</t>
  </si>
  <si>
    <t>https://drive.google.com/file/d/1ABdtdJHHZTwKRSU2fnhg3hkHHCHC3Oo0/view?usp=share_link</t>
  </si>
  <si>
    <t>ESP-UN-008</t>
  </si>
  <si>
    <t>https://drive.google.com/file/d/1w9m5E_vNmeGkzhciQDYpnaXqzcJfS4zf/view?usp=share_link</t>
  </si>
  <si>
    <t>436-1</t>
  </si>
  <si>
    <t>ESP-UN-009</t>
  </si>
  <si>
    <t>https://drive.google.com/file/d/1pZo4Zn7rHddz9v-9-030f33wGYPgwA0Z/view?usp=share_link</t>
  </si>
  <si>
    <t>292.1 X 25.4 X 14.7 cm</t>
  </si>
  <si>
    <t>ESP-UN-010</t>
  </si>
  <si>
    <t>https://drive.google.com/file/d/1VCSTo6bFbMAZXP10DXjOkr7OpU4CwUJ4/view?usp=share_link</t>
  </si>
  <si>
    <t>293.5 X 28 X 15.7 cm</t>
  </si>
  <si>
    <t>ESP-UN-011</t>
  </si>
  <si>
    <t>https://drive.google.com/file/d/1oveltyog2Hpdgi_2hy2Vd8lAcibDIsYg/view?usp=share_link</t>
  </si>
  <si>
    <t>32" X 21" X 5"</t>
  </si>
  <si>
    <t>ESP-UN-012</t>
  </si>
  <si>
    <t>https://drive.google.com/file/d/1M-GDwCpw5Mjw_V0QkCsqzn5_qqZXHcEO/view?usp=share_link</t>
  </si>
  <si>
    <t>29.5 X 13 X 5.5 cm</t>
  </si>
  <si>
    <t>ESP-UN-013</t>
  </si>
  <si>
    <t>https://drive.google.com/file/d/1syBRn6FZVwbBp6w0F_eBl47HzRrxJ7BT/view?usp=share_link</t>
  </si>
  <si>
    <t>16.3 X 14.5 X 10.5 cm</t>
  </si>
  <si>
    <t>ESP-UN-014</t>
  </si>
  <si>
    <t>https://drive.google.com/file/d/1ynt8FvTcRZEazVhJ81t3SQEpUP42EVUV/view?usp=share_link</t>
  </si>
  <si>
    <t>MASTER RR (S)</t>
  </si>
  <si>
    <t>ESP-UN-015</t>
  </si>
  <si>
    <t>https://drive.google.com/file/d/1Zy9MELWThLyq_kCLDCTxPek-bteI8nli/view?usp=share_link</t>
  </si>
  <si>
    <t>21" X 21" X 5"</t>
  </si>
  <si>
    <t>ESP-UN-016</t>
  </si>
  <si>
    <t>https://drive.google.com/file/d/1KHcOYhjWnM6seQxLL2X-4iO5txPd7Bsn/view?usp=share_link</t>
  </si>
  <si>
    <t>20" X 20" X 19.5"</t>
  </si>
  <si>
    <t>ESP-UN-017</t>
  </si>
  <si>
    <t>https://drive.google.com/file/d/1dKzVypSa4XYsAqvatGuNAoUxqTqhyMGG/view?usp=share_link</t>
  </si>
  <si>
    <t>23" X 23" X 20"</t>
  </si>
  <si>
    <t>ESP-UN-018</t>
  </si>
  <si>
    <t>https://drive.google.com/file/d/1wyOc9I0NZXQbi44cFJWuttCQTOURDc0S/view?usp=share_link</t>
  </si>
  <si>
    <t>MIDDLE RIVER II</t>
  </si>
  <si>
    <t>ESP-UN-019</t>
  </si>
  <si>
    <t>https://drive.google.com/file/d/1SuYPCp6B7475f3v_8YBrcfDSZc5yD-9D/view?usp=share_link</t>
  </si>
  <si>
    <t>MASTER RR</t>
  </si>
  <si>
    <t>ESP-UN-020</t>
  </si>
  <si>
    <t>https://drive.google.com/file/d/1W1bcrims3fcRJLYPtmkZ_dUf86UhHTqx/view?usp=share_link</t>
  </si>
  <si>
    <t xml:space="preserve">MASTER CHICA </t>
  </si>
  <si>
    <t>ESP-UN-021</t>
  </si>
  <si>
    <t>https://drive.google.com/file/d/1xGhtSB-ACgqauRZlK2P7nUYno0Bc_xOt/view?usp=share_link</t>
  </si>
  <si>
    <t>MASTER MEDIANA</t>
  </si>
  <si>
    <t>ESP-UN-022</t>
  </si>
  <si>
    <t>https://drive.google.com/file/d/10wRqri8n3kyoZnhB50bABqvVR_NiZ-C0/view?usp=share_link</t>
  </si>
  <si>
    <t>460-1</t>
  </si>
  <si>
    <t>ESP-UN-023</t>
  </si>
  <si>
    <t>https://drive.google.com/file/d/1OpxrCyCKYuJ_89W6MUEh7ZISwUWsriKg/view?usp=share_link</t>
  </si>
  <si>
    <t>16" X 16" X 12"</t>
  </si>
  <si>
    <t>ESP-UN-024</t>
  </si>
  <si>
    <t>https://drive.google.com/file/d/1xwQt-bqnIfCgK0Lbh7icHE2WmDdUWVx7/view?usp=share_link</t>
  </si>
  <si>
    <t>FOAM GRANDE</t>
  </si>
  <si>
    <t>ESP-UN-025</t>
  </si>
  <si>
    <t>https://drive.google.com/file/d/1sKD7GaRQXAWbb5qHPsvtOVi9v-pEbS86/view?usp=share_link</t>
  </si>
  <si>
    <t>FOAM CHICO</t>
  </si>
  <si>
    <t>ESP-UN-026</t>
  </si>
  <si>
    <t>https://drive.google.com/file/d/1K1883WN7WLTa70zfWs4f8syZiph93n-K/view?usp=share_link</t>
  </si>
  <si>
    <t>US FARTHANE</t>
  </si>
  <si>
    <t>PCTN267</t>
  </si>
  <si>
    <t>ESP-FAR-005</t>
  </si>
  <si>
    <t>https://drive.google.com/file/d/1_0-oZIRjaoXZhmxz_40Fow4e-phSrLAO/view?usp=share_link</t>
  </si>
  <si>
    <t>522-1758C</t>
  </si>
  <si>
    <t>ESP-FAR-013</t>
  </si>
  <si>
    <t>https://drive.google.com/file/d/1lYwwydzDbWHdFq26Gd_HdqF8N1X7i2U2/view?usp=share_link</t>
  </si>
  <si>
    <t>ESP-FAR-014</t>
  </si>
  <si>
    <t>https://drive.google.com/file/d/1FCjRfvqPh1SsimltZf1-XAlFQmoRGM2I/view?usp=share_link</t>
  </si>
  <si>
    <t>ESP-FAR-017</t>
  </si>
  <si>
    <t>https://drive.google.com/file/d/1zT3BeLd85BBjJ3J1Yeox54m8YFbNXuX3/view?usp=share_link</t>
  </si>
  <si>
    <t>ESP-FAR-018</t>
  </si>
  <si>
    <t>https://drive.google.com/file/d/15P-prOzhKdeWMI2otRn7Qp9F4vXU65Nm/view?usp=share_link</t>
  </si>
  <si>
    <t>ESP-FAR-019</t>
  </si>
  <si>
    <t>https://drive.google.com/file/d/1HHYH0JvDUVvcUadOHcHPXqNb4dCA-uLc/view?usp=share_link</t>
  </si>
  <si>
    <t>ESP-FAR-020</t>
  </si>
  <si>
    <t>https://drive.google.com/file/d/1hbNacI_6LXVF4wWe8CK8Q6PC9NQ2eilz/view?usp=share_link</t>
  </si>
  <si>
    <t>ESP-FAR-021</t>
  </si>
  <si>
    <t>https://drive.google.com/file/d/1AtjdPIFT35u5fPFGshj-6XOUBuPJ1Gmj/view?usp=share_link</t>
  </si>
  <si>
    <t>PSW</t>
  </si>
  <si>
    <t>ESP-FAR-022</t>
  </si>
  <si>
    <t>https://drive.google.com/file/d/1oscSAGZAgJ8rMBFrMsNiGD27wkyNbqF4/view?usp=share_link</t>
  </si>
  <si>
    <t>ESP-FAR-023</t>
  </si>
  <si>
    <t>https://drive.google.com/file/d/1XdcectcjTu_CX6Nm0OpOYgtynEohXXXx/view?usp=share_link</t>
  </si>
  <si>
    <t>ESP-FAR-024</t>
  </si>
  <si>
    <t>https://drive.google.com/file/d/1Vs0gN8iOsg6vjEX6poQVoEeq9ImRvs4S/view?usp=share_link</t>
  </si>
  <si>
    <t>PSW-1</t>
  </si>
  <si>
    <t>ESP-FAR-025</t>
  </si>
  <si>
    <t>https://drive.google.com/file/d/1grtRSj_VYv1NAlFgab-AtDzeRSPLv_4q/view?usp=share_link</t>
  </si>
  <si>
    <t>ESP-FAR-026</t>
  </si>
  <si>
    <t>https://drive.google.com/file/d/16Sur1pnFj26n_2C-sAx49tGDlZ53swkM/view?usp=share_link</t>
  </si>
  <si>
    <t>ESP-FAR-027</t>
  </si>
  <si>
    <t>https://drive.google.com/file/d/18x8TMb_NklnQbtd2l-NNNGnVwIj4O87P/view?usp=share_link</t>
  </si>
  <si>
    <t>TUNDRA CUP HOLDER-7808</t>
  </si>
  <si>
    <t>ESP-FAR-028</t>
  </si>
  <si>
    <t>https://drive.google.com/file/d/1GwFffBh64qqWv-4jOl6SWNV4LtNYQRsI/view?usp=share_link</t>
  </si>
  <si>
    <t>ESP-FAR-029</t>
  </si>
  <si>
    <t>https://drive.google.com/file/d/1ToWPu_KsSIHyXzsQAT3R-sbY0DbIYCYQ/view?usp=share_link</t>
  </si>
  <si>
    <t>TUNDRA DR CONSOLE 7808</t>
  </si>
  <si>
    <t>ESP-FAR-030</t>
  </si>
  <si>
    <t>https://drive.google.com/file/d/17yv7WpWSS1tohW3STGVQG5klZ4vrykgZ/view?usp=share_link</t>
  </si>
  <si>
    <t>ESP-FAR-031</t>
  </si>
  <si>
    <t>https://drive.google.com/file/d/1hR17Lk52a11GfB_gx8XB0IUmNh7jX3Cp/view?usp=share_link</t>
  </si>
  <si>
    <t>TUNDRA</t>
  </si>
  <si>
    <t>ESP-FAR-032</t>
  </si>
  <si>
    <t>https://drive.google.com/file/d/1abWYAvoGQoZa_Mf2AmPfB1lHCnoLYr2L/view?usp=share_link</t>
  </si>
  <si>
    <t>ESP-VDL-001</t>
  </si>
  <si>
    <t>https://drive.google.com/file/d/1C_4Q_e2v3csVMFFcnl64ELyFLgDb1ext/view?usp=share_link</t>
  </si>
  <si>
    <t>ESP-VDL-002</t>
  </si>
  <si>
    <t>https://drive.google.com/file/d/1_r02X_N-X-4Q4tPeI0F5Mc0eEuKaScdZ/view?usp=share_link</t>
  </si>
  <si>
    <t>CAJA 6 BOTELLAS</t>
  </si>
  <si>
    <t>ESP-VDL-007</t>
  </si>
  <si>
    <t>https://drive.google.com/file/d/1_dEQkZd7PIMv6S1T774WoGYMTIszRoIC/view?usp=share_link</t>
  </si>
  <si>
    <t>REJILLA 6 BOTELLAS</t>
  </si>
  <si>
    <t>ESP-VDL-008</t>
  </si>
  <si>
    <t>https://drive.google.com/file/d/1L4kZH_hghFpU4M7ur3ksqsYxY96MzpvN/view?usp=share_link</t>
  </si>
  <si>
    <t>ESP-VDL-009</t>
  </si>
  <si>
    <t>https://drive.google.com/file/d/1IvALD4VxVFsqkbaZEAKj-5kkPTfPu4Jb/view?usp=share_link</t>
  </si>
  <si>
    <t>VUTEQ</t>
  </si>
  <si>
    <t>SP COROPLAST</t>
  </si>
  <si>
    <t>64 CAV</t>
  </si>
  <si>
    <t>ESP-VTQ-001</t>
  </si>
  <si>
    <t>https://drive.google.com/file/d/1mX2m2N-u7WRh4GOyZ-A25o_NHtyR70Sc/view?usp=share_link</t>
  </si>
  <si>
    <t>ESP-VTQ-002</t>
  </si>
  <si>
    <t>https://drive.google.com/file/d/1cmQK7GxJlYtjyjACu63KA5tQmPoXJFPh/view?usp=share_link</t>
  </si>
  <si>
    <t>ESP-VTQ-003</t>
  </si>
  <si>
    <t>https://drive.google.com/file/d/1JKCwLVnUw9K5APGZpduyuvId4i_xPZow/view?usp=share_link</t>
  </si>
  <si>
    <t>SP CARTÓN</t>
  </si>
  <si>
    <t>ESP-VTQ-004</t>
  </si>
  <si>
    <t>https://drive.google.com/file/d/1PMfeTE4d9bILrywczciEGIElHQFS0OmK/view?usp=share_link</t>
  </si>
  <si>
    <t>ESP-VTQ-005</t>
  </si>
  <si>
    <t>https://drive.google.com/file/d/1p_H0s1Nn3KBqRmLRJasWZuYdFWbRyXlO/view?usp=share_link</t>
  </si>
  <si>
    <t>ESP-VTQ-006</t>
  </si>
  <si>
    <t>https://drive.google.com/file/d/157lkNzWVz400oJBI6Ocn7Z2OcZMa4OQ9/view?usp=share_link</t>
  </si>
  <si>
    <t>VQ-54</t>
  </si>
  <si>
    <t>ESP-VTQ-007</t>
  </si>
  <si>
    <t>https://drive.google.com/file/d/1XpzklNQay2F7VsTDT72EbmZqHG6hoCCr/view?usp=share_link</t>
  </si>
  <si>
    <t>ESP-VTQ-008</t>
  </si>
  <si>
    <t>https://drive.google.com/file/d/180wssTyhO7e8oJHlPhcsgFZgG9222Rey/view?usp=share_link</t>
  </si>
  <si>
    <t>ESP-VTQ-009</t>
  </si>
  <si>
    <t>https://drive.google.com/file/d/1Qq52wALX08_Xc9sZWLSjrzoE7fuwZZcj/view?usp=share_link</t>
  </si>
  <si>
    <t>VQ-8</t>
  </si>
  <si>
    <t>ESP-VTQ-020</t>
  </si>
  <si>
    <t>https://drive.google.com/file/d/1uBYfOjaeDxCZY7BOidOi1PNvJlbDT3y1/view?usp=share_link</t>
  </si>
  <si>
    <t>ESP-VTQ-021</t>
  </si>
  <si>
    <t>https://drive.google.com/file/d/1Qfx8ALt-rcY8vmI2l6-6g5i79M_Oy_B1/view?usp=share_link</t>
  </si>
  <si>
    <t>ESP-VTQ-022</t>
  </si>
  <si>
    <t>https://drive.google.com/file/d/1moIaZRa46B1tC1dyxceuBLau0UiFCLhM/view?usp=share_link</t>
  </si>
  <si>
    <t>ESP-VTQ-023</t>
  </si>
  <si>
    <t>https://drive.google.com/file/d/1R3ZgomctWXnuo9jv0-qnCH-v-V3IiiNa/view?usp=share_link</t>
  </si>
  <si>
    <t>D2UC PUERTA FR</t>
  </si>
  <si>
    <t>ESP-VTQ-024</t>
  </si>
  <si>
    <t>https://drive.google.com/file/d/1kV6UQfLaHejOHC70xoiTS2FN2BO9B3cy/view?usp=share_link</t>
  </si>
  <si>
    <t>ESP-VTQ-025</t>
  </si>
  <si>
    <t>https://drive.google.com/file/d/19J5oQw_R3iBtBUuqSVt1b_e4Br-IPj6W/view?usp=share_link</t>
  </si>
  <si>
    <t>ESP-VTQ-026</t>
  </si>
  <si>
    <t>https://drive.google.com/file/d/1hgMu8wtIrDJS-sofXpERnbKVKp6q2cVt/view?usp=share_link</t>
  </si>
  <si>
    <t>ESP-VTQ-027</t>
  </si>
  <si>
    <t>https://drive.google.com/file/d/1Q2VPBmhZm1g_26Qj2aVqAH-w2tSATS-c/view?usp=share_link</t>
  </si>
  <si>
    <t>ESP-VTQ-028</t>
  </si>
  <si>
    <t>https://drive.google.com/file/d/1selCp5SncyFnigb6ClCH7yLiE4SjkKE-/view?usp=share_link</t>
  </si>
  <si>
    <t>CAJA PUERTA</t>
  </si>
  <si>
    <t>ESP-VTQ-029</t>
  </si>
  <si>
    <t>https://drive.google.com/file/d/1fpnw4273LXDzfIUz5tIQwt42vXehAa0f/view?usp=share_link</t>
  </si>
  <si>
    <t>10 CAV</t>
  </si>
  <si>
    <t>ESP-VTQ-030</t>
  </si>
  <si>
    <t>ESP-VTQ-031</t>
  </si>
  <si>
    <t>ESP-VTQ-032</t>
  </si>
  <si>
    <t>ESP-VTQ-033</t>
  </si>
  <si>
    <t>ESP-VTQ-034</t>
  </si>
  <si>
    <t>BT1XG-GRANDE</t>
  </si>
  <si>
    <t>ESP-VTQ-035</t>
  </si>
  <si>
    <t>https://drive.google.com/file/d/1gozIfGA0oFvVyPgZIy6nk3qNeCqlDG1q/view?usp=share_link</t>
  </si>
  <si>
    <t>ESP-VTQ-036</t>
  </si>
  <si>
    <t>https://drive.google.com/file/d/1D_olBpbnWHc-65mXrcYqxYgL6q_tvLis/view?usp=share_link</t>
  </si>
  <si>
    <t>ESP-VTQ-037</t>
  </si>
  <si>
    <t>https://drive.google.com/file/d/1FOeVA261ZAs7u1pinKwy4sA13UxVGA9d/view?usp=share_link</t>
  </si>
  <si>
    <t>ESP-VTQ-038</t>
  </si>
  <si>
    <t>https://drive.google.com/file/d/17YATE-l_O1xdsu3JO-RwaNLo-uMCGTd3/view?usp=share_link</t>
  </si>
  <si>
    <t>ESP-VTQ-039</t>
  </si>
  <si>
    <t>https://drive.google.com/file/d/1D4nWostiybenHRdQQGioFy2KhK-46u5p/view?usp=share_link</t>
  </si>
  <si>
    <t>UPPER PANEL D2UG</t>
  </si>
  <si>
    <t>D2UG 8PZ</t>
  </si>
  <si>
    <t>ESP-VTQ-040</t>
  </si>
  <si>
    <t>https://drive.google.com/file/d/1g4UyC_x9KIaVeeARkR8AQ7jLMnT6aUHV/view?usp=share_link</t>
  </si>
  <si>
    <t>ESP-VTQ-041</t>
  </si>
  <si>
    <t>https://drive.google.com/file/d/1ptonODTkhPKRrY8wEsF-PcNuAlNVwH9E/view?usp=share_link</t>
  </si>
  <si>
    <t>ESP-VTQ-042</t>
  </si>
  <si>
    <t>https://drive.google.com/file/d/1-Agx_ULClZ2R0HdmOnzxhn_a699QwZfv/view?usp=share_link</t>
  </si>
  <si>
    <t>ESP-VTQ-043</t>
  </si>
  <si>
    <t>https://drive.google.com/file/d/17kAspqa2GG-0UK0_8CuHb_oFIbdAdw5b/view?usp=share_link</t>
  </si>
  <si>
    <t>ESP-VTQ-044</t>
  </si>
  <si>
    <t>https://drive.google.com/file/d/1ZVXFEWMVyps_OJ62SupRKRJp3RBqJtw8/view?usp=share_link</t>
  </si>
  <si>
    <t>ESP-VTQ-045</t>
  </si>
  <si>
    <t>https://drive.google.com/file/d/1czmZqWCtjzvHtZvGsHsXC4h8SErUUpjG/view?usp=share_link</t>
  </si>
  <si>
    <t>BOLSTER FR/RR</t>
  </si>
  <si>
    <t>ESP-VTQ-046</t>
  </si>
  <si>
    <t>https://drive.google.com/file/d/1M4mNhUs1h6pdQ9DplmXJh3RepO0HJgnT/view?usp=share_link</t>
  </si>
  <si>
    <t>ESP-VTQ-047</t>
  </si>
  <si>
    <t>https://drive.google.com/file/d/1tTD6o9I9mtBeRj4BufyieTL-2p1BByHD/view?usp=share_link</t>
  </si>
  <si>
    <t>ESP-VTQ-048</t>
  </si>
  <si>
    <t>https://drive.google.com/file/d/1LFeuBBjwU_hkl-CRy45ISPNzablrWNMq/view?usp=share_link</t>
  </si>
  <si>
    <t>ESP-VTQ-049</t>
  </si>
  <si>
    <t>https://drive.google.com/file/d/1MYCQyeiaGmJ1MRGwkiGHM3xPXhE5xfHj/view?usp=share_link</t>
  </si>
  <si>
    <t>MC-C234</t>
  </si>
  <si>
    <t>MAIN CARRIER</t>
  </si>
  <si>
    <t>ESP-VTQ-050</t>
  </si>
  <si>
    <t>https://drive.google.com/file/d/1UQgie9S7xuhGDU4jt7KjTY6O4h9Cxhxx/view?usp=share_link</t>
  </si>
  <si>
    <t>ESP-VTQ-051A</t>
  </si>
  <si>
    <t>https://drive.google.com/file/d/1NJg-IeCKTsuTh5cTIv5tK1pa7plp1IOX/view?usp=share_link</t>
  </si>
  <si>
    <t>MC-2C34</t>
  </si>
  <si>
    <t xml:space="preserve">REJILLA B </t>
  </si>
  <si>
    <t>ESP-VTQ-051B</t>
  </si>
  <si>
    <t>MP-2C34</t>
  </si>
  <si>
    <t>MAP POCKET C-234</t>
  </si>
  <si>
    <t>ESP-VTQ-052</t>
  </si>
  <si>
    <t>https://drive.google.com/file/d/1QQ7cpSuUgQ3tmlu-lSHQaig5WwDX1OYQ/view?usp=share_link</t>
  </si>
  <si>
    <t>MP-C234</t>
  </si>
  <si>
    <t>ESP-VTQ-053A</t>
  </si>
  <si>
    <t>https://drive.google.com/file/d/1x3ESdLv8rAJjeUVxfBI7AMqxPP2ZSmxL/view?usp=share_link</t>
  </si>
  <si>
    <t>ESP-VTQ-053B</t>
  </si>
  <si>
    <t>https://drive.google.com/file/d/1Gl7iS8ZJss_cN5Fu4u92KO_Kxf48LElg/view?usp=share_link</t>
  </si>
  <si>
    <t>A C34</t>
  </si>
  <si>
    <t>ARMRESTA C234</t>
  </si>
  <si>
    <t>ESP-VTQ-054</t>
  </si>
  <si>
    <t>https://drive.google.com/file/d/1HLlD5Kye3rlfwUO_xnRQtZmO0V-1QIeY/view?usp=share_link</t>
  </si>
  <si>
    <t>ESP-VTQ-055</t>
  </si>
  <si>
    <t>https://drive.google.com/file/d/1hBe3t63aSfktByGQukHHL1EgZHNQwXmh/view?usp=share_link</t>
  </si>
  <si>
    <t>ESP-VTQ-056</t>
  </si>
  <si>
    <t>3" X 3" X 51</t>
  </si>
  <si>
    <t>ESP-VTQ-057</t>
  </si>
  <si>
    <t>82 X 60 X 20</t>
  </si>
  <si>
    <t>RADIADOR (CRFM)</t>
  </si>
  <si>
    <t>ESP-VTQ-058</t>
  </si>
  <si>
    <t>https://drive.google.com/file/d/1RzJ-O3zCsgMPxdmhLh7phiBwNUP1CRBN/view?usp=share_link</t>
  </si>
  <si>
    <t>84 X 63 X 10</t>
  </si>
  <si>
    <t>ESP-VTQ-059</t>
  </si>
  <si>
    <t>https://drive.google.com/file/d/1wRfqtnPSAMmj6qTM1ytobZ1KaLCn6OuY/view?usp=share_link</t>
  </si>
  <si>
    <t>3" X 3" X 18</t>
  </si>
  <si>
    <t>ESP-VTQ-060</t>
  </si>
  <si>
    <t>https://drive.google.com/file/d/1bevEgDPLVLzA4ubpdqwLyrKUEPpyjPnT/view?usp=share_link</t>
  </si>
  <si>
    <t>WOODRIDGE GROUP-SIT</t>
  </si>
  <si>
    <t>ESP-WOD-001</t>
  </si>
  <si>
    <t>https://drive.google.com/file/d/1E7ouQlotfY4QXWLm4ewXnpXYYfft3cT0/view?usp=share_link</t>
  </si>
  <si>
    <t>VW II</t>
  </si>
  <si>
    <t>ESP-WOD-002</t>
  </si>
  <si>
    <t>https://drive.google.com/file/d/1mDKbwcX5VOXEE8vsAA1z3UWSnbJQH97w/view?usp=share_link</t>
  </si>
  <si>
    <t>VW</t>
  </si>
  <si>
    <t>ESP-WOD-003</t>
  </si>
  <si>
    <t>https://drive.google.com/file/d/1ygc7iBK_CeAqfzat9ZOKKsN9o3xt9yA_/view?usp=share_link</t>
  </si>
  <si>
    <t>55" X 45" X 30"</t>
  </si>
  <si>
    <t>ESP-WOD-004</t>
  </si>
  <si>
    <t>https://drive.google.com/file/d/15xiy9KtIr4uDIy-7e0_WtuLJqKbJCMzb/view?usp=share_link</t>
  </si>
  <si>
    <t>ESP-WOD-005</t>
  </si>
  <si>
    <t>https://drive.google.com/file/d/1yad6bd-eluQGkp7s0ZRAt2LVLe42HTxt/view?usp=share_link</t>
  </si>
  <si>
    <t>ESP-WOD-006</t>
  </si>
  <si>
    <t>https://drive.google.com/file/d/1B1IBBdnLo3PF488mWEpTiEDtixK59oq7/view?usp=share_link</t>
  </si>
  <si>
    <t>ECT</t>
  </si>
  <si>
    <t>https://drive.google.com/file/d/11kZ4yjrGbE7XMCpHfLnWRC3Gl3amwulw/view?usp=sharing</t>
  </si>
  <si>
    <t>ECT - 32</t>
  </si>
  <si>
    <t>ECT - 42</t>
  </si>
  <si>
    <t>Sencillo</t>
  </si>
  <si>
    <t>Doble</t>
  </si>
  <si>
    <t>01.56 m²</t>
  </si>
  <si>
    <t>00.72 m²</t>
  </si>
  <si>
    <t>00.28 m²</t>
  </si>
  <si>
    <t>06.96 m²</t>
  </si>
  <si>
    <t>02.40 m²</t>
  </si>
  <si>
    <t>08.34 m²</t>
  </si>
  <si>
    <t>01.55 m²</t>
  </si>
  <si>
    <t>01.05 m²</t>
  </si>
  <si>
    <t>03.05 m²</t>
  </si>
  <si>
    <t>01.37 m²</t>
  </si>
  <si>
    <t>05.87 m²</t>
  </si>
  <si>
    <t>01.90 m²</t>
  </si>
  <si>
    <t>06.99 m²</t>
  </si>
  <si>
    <t>01.46 m²</t>
  </si>
  <si>
    <t>01.00 m²</t>
  </si>
  <si>
    <t>03.09 m²</t>
  </si>
  <si>
    <t>01.50 m²</t>
  </si>
  <si>
    <t>05.25 m²</t>
  </si>
  <si>
    <t>00.61 m²</t>
  </si>
  <si>
    <t>02.86 m²</t>
  </si>
  <si>
    <t>03.35 m²</t>
  </si>
  <si>
    <t>00.57 m²</t>
  </si>
  <si>
    <t>01.34 m²</t>
  </si>
  <si>
    <t>04.52 m²</t>
  </si>
  <si>
    <t>ECT - 84</t>
  </si>
  <si>
    <t>4 mm</t>
  </si>
  <si>
    <t>ECT - 74</t>
  </si>
  <si>
    <t>Cuadruple</t>
  </si>
  <si>
    <t>Triple</t>
  </si>
  <si>
    <t>01.51 m²</t>
  </si>
  <si>
    <t>02.75 m²</t>
  </si>
  <si>
    <t>00.52 m²</t>
  </si>
  <si>
    <t>00.96 m²</t>
  </si>
  <si>
    <t>01.97 m²</t>
  </si>
  <si>
    <t>03.10 m²</t>
  </si>
  <si>
    <t>02.51 m²</t>
  </si>
  <si>
    <t>00.53 m²</t>
  </si>
  <si>
    <t>00.83 m²</t>
  </si>
  <si>
    <t>00.22 m²</t>
  </si>
  <si>
    <t>00.59 m²</t>
  </si>
  <si>
    <t>00.93 m²</t>
  </si>
  <si>
    <t>00.35 m²</t>
  </si>
  <si>
    <t>00.90 m²</t>
  </si>
  <si>
    <t>00.82 m²</t>
  </si>
  <si>
    <t>02.68 m²</t>
  </si>
  <si>
    <t>00.00 m²</t>
  </si>
  <si>
    <t>03.38 m²</t>
  </si>
  <si>
    <t>00.60 m²</t>
  </si>
  <si>
    <t>01.35 m²</t>
  </si>
  <si>
    <t>01.11 m²</t>
  </si>
  <si>
    <t>5.51 m²</t>
  </si>
  <si>
    <t>1.3  m²</t>
  </si>
  <si>
    <t>2.17 m²</t>
  </si>
  <si>
    <t>04.55 m²</t>
  </si>
  <si>
    <t>10 mm</t>
  </si>
  <si>
    <t>10 MM</t>
  </si>
  <si>
    <t>ARGENTINA</t>
  </si>
  <si>
    <t xml:space="preserve">ARGENTINA 4978 </t>
  </si>
  <si>
    <t>Coroplast</t>
  </si>
  <si>
    <t>SEPARADOR/FONDO</t>
  </si>
  <si>
    <t>SEPARADOR CARTON</t>
  </si>
  <si>
    <t>90651001 MANGA PLAS</t>
  </si>
  <si>
    <t>90651001 SEPARADOR</t>
  </si>
  <si>
    <t>CONTENEDOR TOWER</t>
  </si>
  <si>
    <t>SEPARADOR FONDO</t>
  </si>
  <si>
    <t>90651001 45*48*27 CONTENEDOR</t>
  </si>
  <si>
    <t>45*48*35</t>
  </si>
  <si>
    <t>02.55 m²</t>
  </si>
  <si>
    <t>04.77 m²</t>
  </si>
  <si>
    <t>04.91 m²</t>
  </si>
  <si>
    <t>00.71 m²</t>
  </si>
  <si>
    <t>01.27 m²</t>
  </si>
  <si>
    <t>00.51 m²</t>
  </si>
  <si>
    <t>02.34 m²</t>
  </si>
  <si>
    <t>03.64 m²</t>
  </si>
  <si>
    <t>03.86 m²</t>
  </si>
  <si>
    <t>02.09 m²</t>
  </si>
  <si>
    <t>01.93 m²</t>
  </si>
  <si>
    <t>02.02 m²</t>
  </si>
  <si>
    <t>01.74 m²</t>
  </si>
  <si>
    <t>03.23 m²</t>
  </si>
  <si>
    <t>02.33 m²</t>
  </si>
  <si>
    <t>01.02 m²</t>
  </si>
  <si>
    <t>00.64 m²</t>
  </si>
  <si>
    <t>04.26 m²</t>
  </si>
  <si>
    <t>01.15 m²</t>
  </si>
  <si>
    <t>00.11 m²</t>
  </si>
  <si>
    <t>02.73 m²</t>
  </si>
  <si>
    <t>03.31 m²</t>
  </si>
  <si>
    <t>01.12 m²</t>
  </si>
  <si>
    <t>00.84 m²</t>
  </si>
  <si>
    <t>00.67 m²</t>
  </si>
  <si>
    <t>01.87 m²</t>
  </si>
  <si>
    <t>02.50 m²</t>
  </si>
  <si>
    <t>03.12 m²</t>
  </si>
  <si>
    <t>01.16 m²</t>
  </si>
  <si>
    <t>02.25 m²</t>
  </si>
  <si>
    <t>02.12 m²</t>
  </si>
  <si>
    <t>01.07 m²</t>
  </si>
  <si>
    <t>03.25 m²</t>
  </si>
  <si>
    <t>07.84 m²</t>
  </si>
  <si>
    <t>Micro</t>
  </si>
  <si>
    <t>Cal 300</t>
  </si>
  <si>
    <t>Micro Corrugado</t>
  </si>
  <si>
    <t>Papel</t>
  </si>
  <si>
    <t>00.18 m²</t>
  </si>
  <si>
    <t>00.12 m²</t>
  </si>
  <si>
    <t>00.09 m²</t>
  </si>
  <si>
    <t>00.23 m²</t>
  </si>
  <si>
    <t>00.20 m²</t>
  </si>
  <si>
    <t>00.70 m²</t>
  </si>
  <si>
    <t>00.10 m²</t>
  </si>
  <si>
    <t>00.32 m²</t>
  </si>
  <si>
    <t>03.83 m²</t>
  </si>
  <si>
    <t>00.16 m²</t>
  </si>
  <si>
    <t>00.81 m²</t>
  </si>
  <si>
    <t>01.18 m²</t>
  </si>
  <si>
    <t>01.01 m²</t>
  </si>
  <si>
    <t>01.57 m²</t>
  </si>
  <si>
    <t>00.30 m²</t>
  </si>
  <si>
    <t>00.33 m²</t>
  </si>
  <si>
    <t>01.77 m²</t>
  </si>
  <si>
    <t>00.04 m²</t>
  </si>
  <si>
    <t>00.43 m²</t>
  </si>
  <si>
    <t>00.80 m²</t>
  </si>
  <si>
    <t>00.95 m²</t>
  </si>
  <si>
    <t>01.96 m²</t>
  </si>
  <si>
    <t>ECT - 51</t>
  </si>
  <si>
    <t>ECT - 26</t>
  </si>
  <si>
    <t>ECT - 61</t>
  </si>
  <si>
    <t>Cal 500</t>
  </si>
  <si>
    <t>00.34 m²</t>
  </si>
  <si>
    <t>02.45 m²</t>
  </si>
  <si>
    <t>00.15 m²</t>
  </si>
  <si>
    <t>00.08 m²</t>
  </si>
  <si>
    <t>02.71 m²</t>
  </si>
  <si>
    <t>02.03 m²</t>
  </si>
  <si>
    <t>02.46 m²</t>
  </si>
  <si>
    <t>00.75 m²</t>
  </si>
  <si>
    <t>05.60 m²</t>
  </si>
  <si>
    <t>03.75 m²</t>
  </si>
  <si>
    <t>03.51 m²</t>
  </si>
  <si>
    <t>01.33 m²</t>
  </si>
  <si>
    <t>00.37 m²</t>
  </si>
  <si>
    <t>02.00 m²</t>
  </si>
  <si>
    <t>00.26 m²</t>
  </si>
  <si>
    <t>00.29 m²</t>
  </si>
  <si>
    <t>04.51 m²</t>
  </si>
  <si>
    <t>03.19 m²</t>
  </si>
  <si>
    <t>03.14 m²</t>
  </si>
  <si>
    <t>00.47 m²</t>
  </si>
  <si>
    <t>02.89 m²</t>
  </si>
  <si>
    <t>SENCILLO</t>
  </si>
  <si>
    <t>2 m²</t>
  </si>
  <si>
    <t>ECT - 44</t>
  </si>
  <si>
    <t>00.36 m²</t>
  </si>
  <si>
    <t>00.50 m²</t>
  </si>
  <si>
    <t>00.91 m²</t>
  </si>
  <si>
    <t>00.49 m²</t>
  </si>
  <si>
    <t>00.88 m²</t>
  </si>
  <si>
    <t>00.58 m²</t>
  </si>
  <si>
    <t>01.36 m²</t>
  </si>
  <si>
    <t>01.98 m²</t>
  </si>
  <si>
    <t>00.38 m²</t>
  </si>
  <si>
    <t>02.74 m²</t>
  </si>
  <si>
    <t>01.82 m²</t>
  </si>
  <si>
    <t>00.62 m²</t>
  </si>
  <si>
    <t>00.78 m²</t>
  </si>
  <si>
    <t>02.21 m²</t>
  </si>
  <si>
    <t>01.13 m²</t>
  </si>
  <si>
    <t>05.10 m²</t>
  </si>
  <si>
    <t>00.19 m²</t>
  </si>
  <si>
    <t>01.22 m²</t>
  </si>
  <si>
    <t>04.33 m²</t>
  </si>
  <si>
    <t>01.88 m²</t>
  </si>
  <si>
    <t>01.20 m²</t>
  </si>
  <si>
    <t>04.27 m²</t>
  </si>
  <si>
    <t>00.94 m²</t>
  </si>
  <si>
    <t>07.21 m²</t>
  </si>
  <si>
    <t>07.15 m²</t>
  </si>
  <si>
    <t>02.28 m²</t>
  </si>
  <si>
    <t>00.44 m²</t>
  </si>
  <si>
    <t>00.17 m²</t>
  </si>
  <si>
    <t>07.56 m²</t>
  </si>
  <si>
    <t>00.24 m²</t>
  </si>
  <si>
    <t>07.16 m²</t>
  </si>
  <si>
    <t>micro</t>
  </si>
  <si>
    <t>08.02 m²</t>
  </si>
  <si>
    <t>03.47 m²</t>
  </si>
  <si>
    <t>03.54 m²</t>
  </si>
  <si>
    <t>02.04 m²</t>
  </si>
  <si>
    <t>ECT - 48</t>
  </si>
  <si>
    <t>03.27 m²</t>
  </si>
  <si>
    <t>06.88 m²</t>
  </si>
  <si>
    <t>02.26 m²</t>
  </si>
  <si>
    <t>01.24 m²</t>
  </si>
  <si>
    <t>03.56 m²</t>
  </si>
  <si>
    <t>02.06 m²</t>
  </si>
  <si>
    <t>03.07 m²</t>
  </si>
  <si>
    <t>01.39 m²</t>
  </si>
  <si>
    <t>01.25 m²</t>
  </si>
  <si>
    <t>05.81 m²</t>
  </si>
  <si>
    <t>03.80 m²</t>
  </si>
  <si>
    <t>04.48 m²</t>
  </si>
  <si>
    <t>06.59 m²</t>
  </si>
  <si>
    <t>00.68 m²</t>
  </si>
  <si>
    <t>00.65 m²</t>
  </si>
  <si>
    <t>00.54 m²</t>
  </si>
  <si>
    <t>02.13 m²</t>
  </si>
  <si>
    <t>00.63 m²</t>
  </si>
  <si>
    <t>04.82 m²</t>
  </si>
  <si>
    <t>06.09 m²</t>
  </si>
  <si>
    <t>06.28 m²</t>
  </si>
  <si>
    <t>05.67 m²</t>
  </si>
  <si>
    <t>04.85 m²</t>
  </si>
  <si>
    <t>05.52 m²</t>
  </si>
  <si>
    <t>06.03 m²</t>
  </si>
  <si>
    <t>04.59 m²</t>
  </si>
  <si>
    <t>05.28 m²</t>
  </si>
  <si>
    <t>05.91 m²</t>
  </si>
  <si>
    <t>04.87 m²</t>
  </si>
  <si>
    <t>01.63 m²</t>
  </si>
  <si>
    <t>00.89 m²</t>
  </si>
  <si>
    <t>01.06 m²</t>
  </si>
  <si>
    <t>02.19 m²</t>
  </si>
  <si>
    <t>01.23 m²</t>
  </si>
  <si>
    <t>02.16 m²</t>
  </si>
  <si>
    <t>01.59 m²</t>
  </si>
  <si>
    <t>01.58 m²</t>
  </si>
  <si>
    <t>04.08 m²</t>
  </si>
  <si>
    <t>04.72 m²</t>
  </si>
  <si>
    <t>02.65 m²</t>
  </si>
  <si>
    <t>01.85 m²</t>
  </si>
  <si>
    <t>00.74 m²</t>
  </si>
  <si>
    <t>03.21 m²</t>
  </si>
  <si>
    <t>00.99 m²</t>
  </si>
  <si>
    <t>01.08 m²</t>
  </si>
  <si>
    <t>05.47 m²</t>
  </si>
  <si>
    <t>01.04 m²</t>
  </si>
  <si>
    <t>ECT - 128</t>
  </si>
  <si>
    <t>00.03 m²</t>
  </si>
  <si>
    <t>00.05 m²</t>
  </si>
  <si>
    <t>00.98 m²</t>
  </si>
  <si>
    <t>00.06 m²</t>
  </si>
  <si>
    <t>00.25 m²</t>
  </si>
  <si>
    <t>01.65 m²</t>
  </si>
  <si>
    <t>01.70 m²</t>
  </si>
  <si>
    <t>00.97 m²</t>
  </si>
  <si>
    <t>00.45 m²</t>
  </si>
  <si>
    <t>03.30 m²</t>
  </si>
  <si>
    <t>01.69 m²</t>
  </si>
  <si>
    <t>01.64 m²</t>
  </si>
  <si>
    <t>01.09 m²</t>
  </si>
  <si>
    <t>01.78 m²</t>
  </si>
  <si>
    <t>01.52 m²</t>
  </si>
  <si>
    <t>01.31 m²</t>
  </si>
  <si>
    <t>00.14 m²</t>
  </si>
  <si>
    <t>01.28 m²</t>
  </si>
  <si>
    <t>01.60 m²</t>
  </si>
  <si>
    <t>00.21 m²</t>
  </si>
  <si>
    <t>01.21 m²</t>
  </si>
  <si>
    <t>00.27 m²</t>
  </si>
  <si>
    <t>01.19 m²</t>
  </si>
  <si>
    <t>01.49 m²</t>
  </si>
  <si>
    <t>01.32 m²</t>
  </si>
  <si>
    <t>01.43 m²</t>
  </si>
  <si>
    <t>ECT - 23</t>
  </si>
  <si>
    <t>01.26 m²</t>
  </si>
  <si>
    <t>03.59 m²</t>
  </si>
  <si>
    <t>01.45 m²</t>
  </si>
  <si>
    <t>01.61 m²</t>
  </si>
  <si>
    <t>00.69 m²</t>
  </si>
  <si>
    <t>00.85 m²</t>
  </si>
  <si>
    <t>01.62 m²</t>
  </si>
  <si>
    <t>01.17 m²</t>
  </si>
  <si>
    <t>01.10 m²</t>
  </si>
  <si>
    <t>00.07 m²</t>
  </si>
  <si>
    <t>01.14 m²</t>
  </si>
  <si>
    <t>01.03 m²</t>
  </si>
  <si>
    <t>00.86 m²</t>
  </si>
  <si>
    <t>00.13 m²</t>
  </si>
  <si>
    <t>00.41 m²</t>
  </si>
  <si>
    <t>00.39 m²</t>
  </si>
  <si>
    <t>00.48 m²</t>
  </si>
  <si>
    <t>https://drive.google.com/file/d/1WXy10fAlog90vMCnImNivpmWD7gIRtE_/view?usp=share_link</t>
  </si>
  <si>
    <t>01.54 m²</t>
  </si>
  <si>
    <t>00.02 m²</t>
  </si>
  <si>
    <t>00.46 m²</t>
  </si>
  <si>
    <t>9069-145</t>
  </si>
  <si>
    <t>01.86 m²</t>
  </si>
  <si>
    <t>01.47 m²</t>
  </si>
  <si>
    <t>02.20 m²</t>
  </si>
  <si>
    <t>02.35 m²</t>
  </si>
  <si>
    <t>01.44 m²</t>
  </si>
  <si>
    <t>01.71 m²</t>
  </si>
  <si>
    <t>02.43 m²</t>
  </si>
  <si>
    <t>04.31 m²</t>
  </si>
  <si>
    <t>01.48 m²</t>
  </si>
  <si>
    <t>00.42 m²</t>
  </si>
  <si>
    <t>ECT - 36</t>
  </si>
  <si>
    <t>05.07 m²</t>
  </si>
  <si>
    <t>01.80 m²</t>
  </si>
  <si>
    <t>02.14 m²</t>
  </si>
  <si>
    <t>00.66 m²</t>
  </si>
  <si>
    <t>00.77 m²</t>
  </si>
  <si>
    <t>04.68 m²</t>
  </si>
  <si>
    <t>00.79 m²</t>
  </si>
  <si>
    <t>02.84 m²</t>
  </si>
  <si>
    <t>00.01 m²</t>
  </si>
  <si>
    <t>00.56 m²</t>
  </si>
  <si>
    <t>https://drive.google.com/file/d/1JxwgG4qwxZV15yQJRs9gEp3ujm16HcoY/view?usp=share_link</t>
  </si>
  <si>
    <t>01.79 m²</t>
  </si>
  <si>
    <t>03.52 m²</t>
  </si>
  <si>
    <t>02.63 m²</t>
  </si>
  <si>
    <t>03.95 m²</t>
  </si>
  <si>
    <t>03.37 m²</t>
  </si>
  <si>
    <t>05.45 m²</t>
  </si>
  <si>
    <t>03.45 m²</t>
  </si>
  <si>
    <t>04.09 m²</t>
  </si>
  <si>
    <t>02.49 m²</t>
  </si>
  <si>
    <t>03.13 m²</t>
  </si>
  <si>
    <t>06.18 m²</t>
  </si>
  <si>
    <t>05.36 m²</t>
  </si>
  <si>
    <t>01.83 m²</t>
  </si>
  <si>
    <t>02.92 m²</t>
  </si>
  <si>
    <t>CAL 500</t>
  </si>
  <si>
    <t>CAL 300</t>
  </si>
  <si>
    <t>03.61 m²</t>
  </si>
  <si>
    <t>02.07 m²</t>
  </si>
  <si>
    <t>00.31 m²</t>
  </si>
  <si>
    <t>01.66 m²</t>
  </si>
  <si>
    <t>08.05 m²</t>
  </si>
  <si>
    <t>08.17 m²</t>
  </si>
  <si>
    <t>02.30 m²</t>
  </si>
  <si>
    <t>03.11 m²</t>
  </si>
  <si>
    <t>00.76 m²</t>
  </si>
  <si>
    <t>02.82 m²</t>
  </si>
  <si>
    <t>01.84 m²</t>
  </si>
  <si>
    <t>02.37 m²</t>
  </si>
  <si>
    <t>02.29 m²</t>
  </si>
  <si>
    <t>01.42 m²</t>
  </si>
  <si>
    <t>01.72 m²</t>
  </si>
  <si>
    <t>02.88 m²</t>
  </si>
  <si>
    <t>02.31 m²</t>
  </si>
  <si>
    <t>03.84 m²</t>
  </si>
  <si>
    <t>01.81 m²</t>
  </si>
  <si>
    <t>02.61 m²</t>
  </si>
  <si>
    <t>01.53 m²</t>
  </si>
  <si>
    <t>02.38 m²</t>
  </si>
  <si>
    <t>02.83 m²</t>
  </si>
  <si>
    <t>01.40 m²</t>
  </si>
  <si>
    <t>00.40 m²</t>
  </si>
  <si>
    <t>01.30 m²</t>
  </si>
  <si>
    <t>02.32 m²</t>
  </si>
  <si>
    <t>03.85 m²</t>
  </si>
  <si>
    <t>03.55 m²</t>
  </si>
  <si>
    <t>08.60 m²</t>
  </si>
  <si>
    <t>1 / 16"</t>
  </si>
  <si>
    <t>01.73 m²</t>
  </si>
  <si>
    <t>02.48 m²</t>
  </si>
  <si>
    <t>02.95 m²</t>
  </si>
  <si>
    <t>02.41 m²</t>
  </si>
  <si>
    <t>Foam</t>
  </si>
  <si>
    <t>01.91 m²</t>
  </si>
  <si>
    <t>01.75 m²</t>
  </si>
  <si>
    <t>02.05 m²</t>
  </si>
  <si>
    <t>02.93 m²</t>
  </si>
  <si>
    <t>01.68 m²</t>
  </si>
  <si>
    <t>ECT - 32M</t>
  </si>
  <si>
    <t>05.11 m²</t>
  </si>
  <si>
    <t>01.38 m²</t>
  </si>
  <si>
    <t>01.41 m²</t>
  </si>
  <si>
    <t>01.99 m²</t>
  </si>
  <si>
    <t>01.92 m²</t>
  </si>
  <si>
    <t>04.64 m²</t>
  </si>
  <si>
    <t>02.01 m²</t>
  </si>
  <si>
    <t>03.82 m²</t>
  </si>
  <si>
    <t>02.27 m²</t>
  </si>
  <si>
    <t>02.24 m²</t>
  </si>
  <si>
    <t>02.08 m²</t>
  </si>
  <si>
    <t>05.53 m²</t>
  </si>
  <si>
    <t>03.66 m²</t>
  </si>
  <si>
    <t>04.70 m²</t>
  </si>
  <si>
    <t>04.57 m²</t>
  </si>
  <si>
    <t>01.94 m²</t>
  </si>
  <si>
    <t>08.71 m²</t>
  </si>
  <si>
    <t>04.02 m²</t>
  </si>
  <si>
    <t>04.16 m²</t>
  </si>
  <si>
    <t>03.53 m²</t>
  </si>
  <si>
    <t>02.80 m²</t>
  </si>
  <si>
    <t>04.81 m²</t>
  </si>
  <si>
    <t>01.89 m²</t>
  </si>
  <si>
    <t>06.26 m²</t>
  </si>
  <si>
    <t>04.47 m²</t>
  </si>
  <si>
    <t>02.79 m²</t>
  </si>
  <si>
    <t>02.58 m²</t>
  </si>
  <si>
    <t>03.03 m²</t>
  </si>
  <si>
    <t>03.40 m²</t>
  </si>
  <si>
    <t>03.78 m²</t>
  </si>
  <si>
    <t>06.30 m²</t>
  </si>
  <si>
    <t>06.33 m²</t>
  </si>
  <si>
    <t>CAPLE 16 PTS</t>
  </si>
  <si>
    <t>04.23 m²</t>
  </si>
  <si>
    <t>05.69 m²</t>
  </si>
  <si>
    <t>02.11 m²</t>
  </si>
  <si>
    <t>06.06 m²</t>
  </si>
  <si>
    <t>02.85 m²</t>
  </si>
  <si>
    <t>02.91 m²</t>
  </si>
  <si>
    <t>03.24 m²</t>
  </si>
  <si>
    <t>02.17 m²</t>
  </si>
  <si>
    <t>06.19 m²</t>
  </si>
  <si>
    <t>FOAM NEGRO</t>
  </si>
  <si>
    <t>FOAM</t>
  </si>
  <si>
    <t>FOAM BLANCO</t>
  </si>
  <si>
    <t>08.40 m²</t>
  </si>
  <si>
    <t>05.98 m²</t>
  </si>
  <si>
    <t>06.13 m²</t>
  </si>
  <si>
    <t>05.82 m²</t>
  </si>
  <si>
    <t>07.26 m²</t>
  </si>
  <si>
    <t>07.49 m²</t>
  </si>
  <si>
    <t>12.25 m²</t>
  </si>
  <si>
    <t>04.36 m²</t>
  </si>
  <si>
    <t>32 CAV</t>
  </si>
  <si>
    <t>07.81 m²</t>
  </si>
  <si>
    <t>06.46 m²</t>
  </si>
  <si>
    <t>02.23 m²</t>
  </si>
  <si>
    <t>https://drive.google.com/file/d/1BxtJrLblU3jo3E4uqYcNXZbJBv_4YPoo}/view?usp=share_link</t>
  </si>
  <si>
    <t>04.22 m²</t>
  </si>
  <si>
    <t>04.21 m²</t>
  </si>
  <si>
    <t>ECT - 40</t>
  </si>
  <si>
    <t>04.49 m²</t>
  </si>
  <si>
    <t>02.52 m²</t>
  </si>
  <si>
    <t>04.43 m²</t>
  </si>
  <si>
    <t>06.08 m²</t>
  </si>
  <si>
    <t>02.62 m²</t>
  </si>
  <si>
    <t>05.99 m²</t>
  </si>
  <si>
    <t>02.44 m²</t>
  </si>
  <si>
    <t>05.38 m²</t>
  </si>
  <si>
    <t>02.36 m²</t>
  </si>
  <si>
    <t>07.51 m²</t>
  </si>
  <si>
    <t>02.22 m²</t>
  </si>
  <si>
    <t>HoneyComb</t>
  </si>
  <si>
    <t>Madera</t>
  </si>
  <si>
    <t>02.42 m²</t>
  </si>
  <si>
    <t>02.78 m²</t>
  </si>
  <si>
    <t>05.92 m²</t>
  </si>
  <si>
    <t>00.73 m²</t>
  </si>
  <si>
    <t>Honeycomb</t>
  </si>
  <si>
    <t>00.87 m²</t>
  </si>
  <si>
    <t>05.59 m²</t>
  </si>
  <si>
    <t>07.69 m²</t>
  </si>
  <si>
    <t>3 / 16</t>
  </si>
  <si>
    <t>05.14 m²</t>
  </si>
  <si>
    <t>03.63 m²</t>
  </si>
  <si>
    <t>00.92 m²</t>
  </si>
  <si>
    <t>02.70 m²</t>
  </si>
  <si>
    <t>04.12 m²</t>
  </si>
  <si>
    <t>05.73 m²</t>
  </si>
  <si>
    <t>02.77 m²</t>
  </si>
  <si>
    <t>00.55 m²</t>
  </si>
  <si>
    <t>07.00 m²</t>
  </si>
  <si>
    <t>04.67 m²</t>
  </si>
  <si>
    <t>06.57 m²</t>
  </si>
  <si>
    <t>02.76 m²</t>
  </si>
  <si>
    <t>3"</t>
  </si>
  <si>
    <t>04.98 m²</t>
  </si>
  <si>
    <t>cliente</t>
  </si>
  <si>
    <t>#parte</t>
  </si>
  <si>
    <t>nombre</t>
  </si>
  <si>
    <t>proyecto</t>
  </si>
  <si>
    <t>codigo</t>
  </si>
  <si>
    <t>direccion</t>
  </si>
  <si>
    <t>MUBEA</t>
  </si>
  <si>
    <t>REJILLAS</t>
  </si>
  <si>
    <t>ESP-LMT-118</t>
  </si>
  <si>
    <t>3" X 3" X 120 cm</t>
  </si>
  <si>
    <t>3" X 3" X 140 cm</t>
  </si>
  <si>
    <t>https://drive.google.com/file/d/1FpWiwL6m0qrMmlPIGpvkYggePCGrekX0/view?usp=sharing</t>
  </si>
  <si>
    <t>https://drive.google.com/file/d/1ArFJtIsO8HB5Kv3tFP4awpPtvIpyGN4J/view?usp=sharing</t>
  </si>
  <si>
    <t>https://drive.google.com/file/d/1wBm2GDL-6lkpjWh8OKCTYO9KM-UqEBgl/view?usp=sharing</t>
  </si>
  <si>
    <t>https://drive.google.com/file/d/1MV2EC7xOBkMn3JOIiIroUmbee87LFu0T/view?usp=sharing</t>
  </si>
  <si>
    <t>https://drive.google.com/file/d/1wS61CwXpUWexrVBAD-C2JskY5bUPwQzZ/view?usp=sharing</t>
  </si>
  <si>
    <t>https://drive.google.com/file/d/11ZRRtG5RlJhhgu13rvCJffEl3qFVJe4y/view?usp=sharing</t>
  </si>
  <si>
    <t>https://drive.google.com/file/d/1f74l2umZ4-8I_woxWqzEmbBEFJZ-cWF6/view?usp=sharing</t>
  </si>
  <si>
    <t>https://drive.google.com/file/d/1CkRdIPzznaXUhNyBVvM9G1WNgcQV0Jur/view?usp=sharing</t>
  </si>
  <si>
    <t>https://drive.google.com/file/d/1Swt_zUJh5MNeRvURu2p0gtt1wvAxXob2/view?usp=sharing</t>
  </si>
  <si>
    <t>HFI ROMITA</t>
  </si>
  <si>
    <t>MAGNUM MANUFACTURING</t>
  </si>
  <si>
    <t>ESP-MF-001</t>
  </si>
  <si>
    <t>ESP-MF-002</t>
  </si>
  <si>
    <t>ESP-MF-003</t>
  </si>
  <si>
    <t>ESP-MF-004</t>
  </si>
  <si>
    <t>ESP-MF-005</t>
  </si>
  <si>
    <t>ESP-MF-006</t>
  </si>
  <si>
    <t>TOP COVER V73 R/L</t>
  </si>
  <si>
    <t>1497850-00-E</t>
  </si>
  <si>
    <t>https://drive.google.com/file/d/1gaGzXu70T44zBTzaHji_uGdpPvvT7gjb/view?usp=sharing</t>
  </si>
  <si>
    <t>https://drive.google.com/file/d/1jDFNw0JTkmM59FyXNY9dz3l5zn9lp3FZ/view?usp=sharing</t>
  </si>
  <si>
    <t>https://drive.google.com/file/d/1KJwLCqN9QMj1u5EL3cnXRzD4F6ys57e2/view?usp=sharing</t>
  </si>
  <si>
    <t>51.5 X 35.5 X 64.5</t>
  </si>
  <si>
    <t>BOTTOM COVER</t>
  </si>
  <si>
    <t>https://drive.google.com/file/d/13jCsunhIu64X0kyVoFQUC5UEg6psFbns/view?usp=sharing</t>
  </si>
  <si>
    <t>21 X 36 X 51</t>
  </si>
  <si>
    <t>https://drive.google.com/file/d/1wxbgzyqpMUq5uknqERC30HtsrxGfz2tP/view?usp=sharing</t>
  </si>
  <si>
    <t>https://drive.google.com/file/d/1xQ-YBGrQR6f4QgG56BTxFDvTulv-5dlc/view?usp=sharing</t>
  </si>
  <si>
    <t>51 X 36</t>
  </si>
  <si>
    <t>ESP-DAI-185</t>
  </si>
  <si>
    <t>ESP-DAI-186</t>
  </si>
  <si>
    <t>ESP-DAI-188</t>
  </si>
  <si>
    <t>ESP-DAI-189</t>
  </si>
  <si>
    <t>ESP-DAI-190</t>
  </si>
  <si>
    <t>ESP-DAI-191</t>
  </si>
  <si>
    <t>B PILLAR MID</t>
  </si>
  <si>
    <t>220D 24M CONSOLE LID</t>
  </si>
  <si>
    <t xml:space="preserve">REJILLAS </t>
  </si>
  <si>
    <t>SEMI CATRAIL LH/RH</t>
  </si>
  <si>
    <t>ESP-DAI-192</t>
  </si>
  <si>
    <t>ESP-DAI-193</t>
  </si>
  <si>
    <t>ESP-DAI-194</t>
  </si>
  <si>
    <t>ESP-DAI-195</t>
  </si>
  <si>
    <t>ESP-DAI-196</t>
  </si>
  <si>
    <t>B PILLAR LOWER LH</t>
  </si>
  <si>
    <t>RH -B PILLAR LOWER</t>
  </si>
  <si>
    <t>97.5 X 57.5 X 21</t>
  </si>
  <si>
    <t>SEMI RH C-PILLAR LOWER</t>
  </si>
  <si>
    <t>96 X 56 X 20</t>
  </si>
  <si>
    <t>FOOTWEL</t>
  </si>
  <si>
    <t>C-PILLAR LOWER LH/RH</t>
  </si>
  <si>
    <t>PKG0090</t>
  </si>
  <si>
    <t>TECMUR</t>
  </si>
  <si>
    <t>606018CG</t>
  </si>
  <si>
    <t>606018CM</t>
  </si>
  <si>
    <t>606023-24000</t>
  </si>
  <si>
    <t>606034-35000</t>
  </si>
  <si>
    <t>ESP-TMR-001</t>
  </si>
  <si>
    <t>ESP-TMR-002</t>
  </si>
  <si>
    <t>ESP-TMR-003</t>
  </si>
  <si>
    <t>ESP-TMR-004</t>
  </si>
  <si>
    <t>https://drive.google.com/file/d/1IxdnkV4Uew8OAE6RIZfnNZ9jX51Jx_V7/view?usp=sharing</t>
  </si>
  <si>
    <t>https://drive.google.com/file/d/1yIUDhb6R--cJR1MVGL25ZqZ951mht-WS/view?usp=share_link</t>
  </si>
  <si>
    <t>https://drive.google.com/file/d/16TJYD3b38YEXMqbpjKbu9UuAQ3KUNhDQ/view?usp=share_link</t>
  </si>
  <si>
    <t>https://drive.google.com/file/d/1giGR2TLTewFRAjXZqS5lCnH83psfP7VR/view?usp=share_link</t>
  </si>
  <si>
    <t>PRODESA</t>
  </si>
  <si>
    <t>ESP-PRD-001</t>
  </si>
  <si>
    <t>ESP-PRD-002</t>
  </si>
  <si>
    <t>ESP-PRD-003</t>
  </si>
  <si>
    <t>ESP-PRD-004</t>
  </si>
  <si>
    <t>ESP-PRD-005</t>
  </si>
  <si>
    <t>45 X 7</t>
  </si>
  <si>
    <t>https://drive.google.com/file/d/1xq53cDJGW-XMkpknz03a7k4mkJIeYJ_U/view?usp=share_link</t>
  </si>
  <si>
    <t>14 X 3</t>
  </si>
  <si>
    <t>PAPEL</t>
  </si>
  <si>
    <t>300 GR</t>
  </si>
  <si>
    <t>https://drive.google.com/file/d/1OKiQAXhJtX54t8RsqCpLq648oeD4F7Bg/view?usp=sharing</t>
  </si>
  <si>
    <t>https://drive.google.com/file/d/1QJAgyHWY0P1jMZ2rkJurnZC6qqddrEfH/view?usp=sharing</t>
  </si>
  <si>
    <t>https://drive.google.com/file/d/1hzTLkpyMgoB98SMltOBSgqX1DrJFmVLh/view?usp=sharing</t>
  </si>
  <si>
    <t>https://drive.google.com/file/d/1QWlb1iEp8AbkWRgTuAECtKWmFo2-KtBG/view?usp=sharing</t>
  </si>
  <si>
    <t>24 x 7</t>
  </si>
  <si>
    <t>25 x 93</t>
  </si>
  <si>
    <t>25 x 85</t>
  </si>
  <si>
    <t>https://drive.google.com/file/d/1ztrlcmPjAYV9ZjVpC4jHstmVjJJLD6Pl/view?usp=share_link</t>
  </si>
  <si>
    <t>https://drive.google.com/file/d/1it9UD-WEevxD7SXRMasP8k9yNkyGJzrI/view?usp=share_link</t>
  </si>
  <si>
    <t>https://drive.google.com/file/d/1fEMqn5j4NI23ErupwYUuQ2s71SG68rq6/view?usp=share_link</t>
  </si>
  <si>
    <t>https://drive.google.com/file/d/1AIHF6Xoo1ywPxgu0bwUBAeqAjLZq9XQO/view?usp=share_link</t>
  </si>
  <si>
    <t>https://drive.google.com/file/d/1JgslZuaLx29-Q6I0CRo-HvNEMq2zKY2L/view?usp=share_link</t>
  </si>
  <si>
    <t>https://drive.google.com/file/d/15iJE_ygaWpPwyYNsSQMfO5B4puUgAh7P/view?usp=share_link</t>
  </si>
  <si>
    <t>https://drive.google.com/file/d/1Cmx3nHzzC5pyFuzXcV9ivEuLN1MQztuZ/view?usp=share_link</t>
  </si>
  <si>
    <t>https://drive.google.com/file/d/1D5t0-qCLw6ppk8cEp8UGMv-5aG1K602q/view?usp=share_link</t>
  </si>
  <si>
    <t>https://drive.google.com/file/d/1XsTWUz-PD2HDblBuIhFai4Fj5MTlg7bx/view?usp=share_link</t>
  </si>
  <si>
    <t>https://drive.google.com/file/d/1AOqQ_sO2YN3Vag7PrfajRC5MJgdTcNZi/view?usp=share_link</t>
  </si>
  <si>
    <t>https://drive.google.com/file/d/18iTr-9wm6yulmQCMWnoeBL2fwwS2YnrJ/view?usp=share_link</t>
  </si>
  <si>
    <t>https://drive.google.com/file/d/1ABXieXUas-4hb-1yw66fXFh3l_PjrWnD/view?usp=share_link</t>
  </si>
  <si>
    <t>https://drive.google.com/file/d/1T93uBWbDzPf918OfT68xO_i_Cp9nccTm/view?usp=share_link</t>
  </si>
  <si>
    <t>https://drive.google.com/file/d/1BRxTd-uWs2uuHGjjO7IYCEwkJCljyfpL/view?usp=share_link</t>
  </si>
  <si>
    <t>https://drive.google.com/file/d/1Bk5_CgTyyuaBZGD9Ox2rLghSO9qBM8SN/view?usp=share_link</t>
  </si>
  <si>
    <t>https://drive.google.com/file/d/1uKT2cWkTqRhlfKkk--nUhUks2T0f7umr/view?usp=share_link</t>
  </si>
  <si>
    <t>https://drive.google.com/file/d/1UmQXQ6uOvo5dCyh_7LJajp69_nt48bsw/view?usp=share_link</t>
  </si>
  <si>
    <t>ESP-CYCS-007</t>
  </si>
  <si>
    <t>ESP-CYCS-008</t>
  </si>
  <si>
    <t>ESP-CYCS-009</t>
  </si>
  <si>
    <t>ESP-CYCS-010</t>
  </si>
  <si>
    <t>CANES DAVILA</t>
  </si>
  <si>
    <t xml:space="preserve">CARNES FINAS </t>
  </si>
  <si>
    <t>Isringhausen ISRI</t>
  </si>
  <si>
    <t>HISUN</t>
  </si>
  <si>
    <t>https://drive.google.com/file/d/1hzTeihlGR8CUCUKXp8db0BIvEkJC7_AB/view?usp=share_link</t>
  </si>
  <si>
    <t>https://drive.google.com/file/d/1pqGGf40ADtQWpHJmvZWsecJDDo0_qLva/view?usp=share_link</t>
  </si>
  <si>
    <t>https://drive.google.com/file/d/1kUgC7HEBgIkw9YoXoJBIImQXk34C4tOa/view?usp=share_link</t>
  </si>
  <si>
    <t>https://drive.google.com/file/d/1Aab5FR5JxdEqQNEQCIgcCUIN4TX50rws/view?usp=share_link</t>
  </si>
  <si>
    <t>ESP-DAI-197</t>
  </si>
  <si>
    <t>ESP-DAI-198</t>
  </si>
  <si>
    <t>DTII/P702</t>
  </si>
  <si>
    <t>TESLA MV</t>
  </si>
  <si>
    <t>ESP-DAI-199</t>
  </si>
  <si>
    <t>64 X 67 X 10</t>
  </si>
  <si>
    <t>CHAROLA</t>
  </si>
  <si>
    <t>2 VISERAS</t>
  </si>
  <si>
    <t>https://drive.google.com/file/d/13afXdGL3tu6MbDLslt8EDwRQmbZfOcxl/view?usp=share_link</t>
  </si>
  <si>
    <t>https://drive.google.com/file/d/1zaioyAQgRlifzA2u_IXhI9nQlr81Cwjp/view?usp=share_link</t>
  </si>
  <si>
    <t>https://drive.google.com/file/d/1z8yKRUm2lTkmJlSvJ52pzzjZ2byuzicQ/view?usp=share_link</t>
  </si>
  <si>
    <t>https://drive.google.com/file/d/1SIj253-aIHpx65qY1yQ4R3cO29SMR4Xi/view?usp=share_link</t>
  </si>
  <si>
    <t>https://drive.google.com/file/d/148SsozZvlDL7Q6XKPFzLvlkHk2yPBKOH/view?usp=share_link</t>
  </si>
  <si>
    <t>https://drive.google.com/file/d/1nIec2KpymuOma4xWKSf6zxYwtaWUo4X_/view?usp=share_link</t>
  </si>
  <si>
    <t>https://drive.google.com/file/d/14y3TBhUejQOBTSizcLa5OU5C8QiBgs7B/view?usp=share_link</t>
  </si>
  <si>
    <t>42" X 42" X 36"</t>
  </si>
  <si>
    <t>42" X 42"</t>
  </si>
  <si>
    <t>104 X 104</t>
  </si>
  <si>
    <t>ESP-TT-079</t>
  </si>
  <si>
    <t>ESP-TT-080</t>
  </si>
  <si>
    <t>ESP-TT-081</t>
  </si>
  <si>
    <t>ESP-TT-082</t>
  </si>
  <si>
    <t>PIEZA A, B, C</t>
  </si>
  <si>
    <t>FRONT BACK</t>
  </si>
  <si>
    <t>PIEZA A, B</t>
  </si>
  <si>
    <t>FORNT CUSHIN</t>
  </si>
  <si>
    <t>SEPARADOR COFFIN</t>
  </si>
  <si>
    <t>POLARIS COROPLAST</t>
  </si>
  <si>
    <t>47" X 8" X 34"</t>
  </si>
  <si>
    <t>143 X 115 X 10</t>
  </si>
  <si>
    <t>120 X 90</t>
  </si>
  <si>
    <t>MANGA INTERNA</t>
  </si>
  <si>
    <t>ALTERNO</t>
  </si>
  <si>
    <t>ESP-LMT-138</t>
  </si>
  <si>
    <t>ESP-LMT-139</t>
  </si>
  <si>
    <t>ESP-LMT-140</t>
  </si>
  <si>
    <t>ESP-LMT-141</t>
  </si>
  <si>
    <t>ESP-TT-083</t>
  </si>
  <si>
    <t>CONTENEDOR TITAN X</t>
  </si>
  <si>
    <t>https://drive.google.com/file/d/1QMdDEGgxKc-XZdmWdQ8pDvAcRUHo3Kym/view?usp=share_link</t>
  </si>
  <si>
    <t>https://drive.google.com/file/d/1umSOqdFNrlJFnIVyRIfi3Ezje7pmbJTz/view?usp=share_link</t>
  </si>
  <si>
    <t>SODECIA</t>
  </si>
  <si>
    <t>YAZAKI</t>
  </si>
  <si>
    <t>ESP-RMZ-020</t>
  </si>
  <si>
    <t>ESP-RMZ-021</t>
  </si>
  <si>
    <t>ESP-RMZ-022</t>
  </si>
  <si>
    <t>ESP-RMZ-023</t>
  </si>
  <si>
    <t>ESP-RMZ-024</t>
  </si>
  <si>
    <t>ESP-RMZ-025</t>
  </si>
  <si>
    <t>TAPA YAZAKI</t>
  </si>
  <si>
    <t>ESQ CHICO</t>
  </si>
  <si>
    <t>2"</t>
  </si>
  <si>
    <t>CAL 160</t>
  </si>
  <si>
    <t>ESQ MEDIANO</t>
  </si>
  <si>
    <t>ESP MEDIANO</t>
  </si>
  <si>
    <t>https://drive.google.com/file/d/13oJCXYV89Xo1NRet9EAeI67bcj-A4z5m/view?usp=share_link</t>
  </si>
  <si>
    <t>https://drive.google.com/file/d/1g6h7-PbuHStBl7T-1-MLCKyvtZ2TqGGk/view?usp=share_link</t>
  </si>
  <si>
    <t>https://drive.google.com/file/d/1-CuNs_1BUBzKSL4tQi9BP080v1L9IiD8/view?usp=share_link</t>
  </si>
  <si>
    <t>https://drive.google.com/file/d/1tc8YqdJuY-oRsngTatNaBLnohALK5X4V/view?usp=share_link</t>
  </si>
  <si>
    <t>https://drive.google.com/file/d/1yxdA6NuXhp4pQfhW_E5R_ctLqd-d6Jwx/view?usp=share_link</t>
  </si>
  <si>
    <t>https://drive.google.com/file/d/1dEmox5IZmlFol44UQgCY_gqcxql56VAl/view?usp=share_link</t>
  </si>
  <si>
    <t>ESP-DAI-201</t>
  </si>
  <si>
    <t>ESP-DAI-202</t>
  </si>
  <si>
    <t>https://drive.google.com/file/d/1ORohlhY_J0ErAFDs9HcwgINg22819_G_/view?usp=share_link</t>
  </si>
  <si>
    <t>ESP-DAI-200</t>
  </si>
  <si>
    <t>https://drive.google.com/file/d/1QSNeZSLpmJkERIMucrLoXD8ksUjdHPvO/view?usp=share_link</t>
  </si>
  <si>
    <t>FALTA FIRMA</t>
  </si>
  <si>
    <t>ESP-PMW-053</t>
  </si>
  <si>
    <t>PKG-LS813</t>
  </si>
  <si>
    <t>PKG-LS889</t>
  </si>
  <si>
    <t>https://drive.google.com/file/d/1EyLsh7A5l4zQZ3CfKR9TTQI41faZuvYh/view?usp=share_link</t>
  </si>
  <si>
    <t>https://drive.google.com/file/d/1_HkjlM04k_IS8lH-_X9evUhEky-SPF7d/view?usp=share_link</t>
  </si>
  <si>
    <t>https://drive.google.com/file/d/1ly3yrojt74ZnNc3WlZI3RXhrswDOBuOi/view?usp=share_link</t>
  </si>
  <si>
    <t>https://drive.google.com/file/d/189u7xeP0C-hJyNgOrBK3Z2ZaQIzSyNzc/view?usp=share_link</t>
  </si>
  <si>
    <t>PKG0158</t>
  </si>
  <si>
    <t>PKG0161</t>
  </si>
  <si>
    <t>PKG0164</t>
  </si>
  <si>
    <t>PKG0165</t>
  </si>
  <si>
    <t>PKG0166</t>
  </si>
  <si>
    <t>PKG0167</t>
  </si>
  <si>
    <t>PKG0168</t>
  </si>
  <si>
    <t>PKG0169</t>
  </si>
  <si>
    <t>PKG0171</t>
  </si>
  <si>
    <t>PKG0172</t>
  </si>
  <si>
    <t>PKG0173</t>
  </si>
  <si>
    <t>PKG0174</t>
  </si>
  <si>
    <t>PKG0175</t>
  </si>
  <si>
    <t>PKG0176</t>
  </si>
  <si>
    <t>https://drive.google.com/file/d/1zOvES-x4FY086htxEt3PO0wHXOC3otkf/view?usp=share_link</t>
  </si>
  <si>
    <t>https://drive.google.com/file/d/1qS2d5xxUvJakZN-2MIdq6WfKB0icSfBh/view?usp=share_link</t>
  </si>
  <si>
    <t>https://drive.google.com/file/d/1oXFZ7k1glMKFv1GLZJR9IgWG42ekiV5f/view?usp=share_link</t>
  </si>
  <si>
    <t>https://drive.google.com/file/d/1QFrfj7oAqH4m2Rk9luoyhcSuw_VR8fm_/view?usp=share_link</t>
  </si>
  <si>
    <t>18" X 14" X 9" CBC</t>
  </si>
  <si>
    <t>https://drive.google.com/file/d/1Yi3XSxQQSbN7UzkUnEJD5IYssWvdgsVL/view?usp=sharing</t>
  </si>
  <si>
    <t>https://drive.google.com/file/d/15cCBHNF_pTYX9TQJm0pbiEc_dKTG7jb5/view?usp=sharing</t>
  </si>
  <si>
    <t>PKG0177</t>
  </si>
  <si>
    <t>PKG0178</t>
  </si>
  <si>
    <t>19 x 19</t>
  </si>
  <si>
    <t>ESP-RMZ-026</t>
  </si>
  <si>
    <t>https://drive.google.com/file/d/11hoIIETC_rI_TyGuaj4tNf1P3MLrQmub/view?usp=share_link</t>
  </si>
  <si>
    <t>127 X 105 X 8</t>
  </si>
  <si>
    <t>ESP-DAI-203</t>
  </si>
  <si>
    <t>https://drive.google.com/file/d/1dZcdQxe5xTqXhihoH5XwiJcCWlMJnkZ7/view?usp=share_link</t>
  </si>
  <si>
    <t>100" X 15" X 7.5"</t>
  </si>
  <si>
    <t>100" x 15" x 15"</t>
  </si>
  <si>
    <t>ESP-DAI-204</t>
  </si>
  <si>
    <t>PKG0160</t>
  </si>
  <si>
    <t>DESCONTINUADO</t>
  </si>
  <si>
    <t>ESP-DAI-205</t>
  </si>
  <si>
    <t>ESP-DAI-206</t>
  </si>
  <si>
    <t>BMW/C1YC</t>
  </si>
  <si>
    <t>BMW</t>
  </si>
  <si>
    <t>CAJA TRQ</t>
  </si>
  <si>
    <t>SEPARADOR DE PAPEL</t>
  </si>
  <si>
    <t>ESP-DAI-207</t>
  </si>
  <si>
    <t>https://drive.google.com/file/d/1b6KJ_5ZxM0HGXbHKT6XKTHhwhOu2foUE/view?usp=sharing</t>
  </si>
  <si>
    <t>100 x 75 x 21.5</t>
  </si>
  <si>
    <t>ESP-VTQ-061</t>
  </si>
  <si>
    <t>ESP-VTQ-062</t>
  </si>
  <si>
    <t>ESP-VTQ-063</t>
  </si>
  <si>
    <t>ESP-VTQ-064</t>
  </si>
  <si>
    <t>ESP-VTQ-065</t>
  </si>
  <si>
    <t>TAPA TRQ</t>
  </si>
  <si>
    <t>99.5 x 74.5 x 10</t>
  </si>
  <si>
    <t>10 x 105</t>
  </si>
  <si>
    <t>102 x 77 x 10</t>
  </si>
  <si>
    <t>CAJA CTR</t>
  </si>
  <si>
    <t>ACURA (IPF 2DU RD)</t>
  </si>
  <si>
    <t>https://drive.google.com/file/d/1DbqkK3Pv15LwABGyeDiBT_RhkfnuDQ_I/view?usp=share_link</t>
  </si>
  <si>
    <t>ESP-RMZ-027</t>
  </si>
  <si>
    <t>ESQ GRANDE</t>
  </si>
  <si>
    <t>https://drive.google.com/file/d/1JOLFscYrSw0sDnpXgtO5R0VLdWCezoAS/view?usp=share_link</t>
  </si>
  <si>
    <t>https://drive.google.com/file/d/1Id3NdFvBqGu3zfKvBHQJ4ZffdaOn1LYV/view?usp=share_link</t>
  </si>
  <si>
    <t>https://drive.google.com/file/d/1VD_n09Am0TBgd-Qf7u3ct_wtTPmCj-1d/view</t>
  </si>
  <si>
    <t>Loose Parts</t>
  </si>
  <si>
    <t>CAMRY</t>
  </si>
  <si>
    <t>KAMKO</t>
  </si>
  <si>
    <t>PKG-LS6D</t>
  </si>
  <si>
    <t xml:space="preserve">CON FONDO </t>
  </si>
  <si>
    <t>LEXUS PASSANGER</t>
  </si>
  <si>
    <t>989 A TACOMA IP PANEL</t>
  </si>
  <si>
    <t>3-I</t>
  </si>
  <si>
    <t>ESP-DSO-078</t>
  </si>
  <si>
    <t>ESP-DSO-079</t>
  </si>
  <si>
    <t>CONTENEDOR</t>
  </si>
  <si>
    <t>ESP-CON-001</t>
  </si>
  <si>
    <t>ESP-CON-002</t>
  </si>
  <si>
    <t>ESP-CON-003</t>
  </si>
  <si>
    <t>ESP-CON-004</t>
  </si>
  <si>
    <t>ESP-CON-005</t>
  </si>
  <si>
    <t>RANGER</t>
  </si>
  <si>
    <t>ROGUE</t>
  </si>
  <si>
    <t>TIGUAN</t>
  </si>
  <si>
    <t>https://drive.google.com/file/d/18OLkjqTQQgvG0IwGU_Qi6whtBUok1UVe/view?usp=share_link</t>
  </si>
  <si>
    <t>https://drive.google.com/file/d/1g1oiB-f3kpGAZKRvtvEj0zISIv3Ho1-R/view?usp=share_link</t>
  </si>
  <si>
    <t>https://drive.google.com/file/d/1Y7RCQpwXEDkqzS-T72M1t1t5zyxEWeBH/view?usp=share_link</t>
  </si>
  <si>
    <t>https://drive.google.com/file/d/1NCmgMWoK-Xawhz2jahmr6r8dO3h3NpgK/view?usp=share_link</t>
  </si>
  <si>
    <t>https://drive.google.com/file/d/1sdG--CfvM6fLCpZftd_hUthenKw3cUo6/view?usp=share_link</t>
  </si>
  <si>
    <t>MODELO Y</t>
  </si>
  <si>
    <t>https://drive.google.com/file/d/1otQnQRzSMnt5YKfJJ82FmH1wSmrnZJgk/view?usp=share_link</t>
  </si>
  <si>
    <t>https://drive.google.com/file/d/1GHtddUz4NGIDA8flZcy_NwWel_5qlEhf/view?usp=share_link</t>
  </si>
  <si>
    <t>FONDO</t>
  </si>
  <si>
    <t>GM</t>
  </si>
  <si>
    <t>X79</t>
  </si>
  <si>
    <t>TUBO</t>
  </si>
  <si>
    <t>TRIBLE</t>
  </si>
  <si>
    <t>ESP-GM-001</t>
  </si>
  <si>
    <t>ESP-GM-002</t>
  </si>
  <si>
    <t>ESP-GM-003</t>
  </si>
  <si>
    <t>ESP-GM-004</t>
  </si>
  <si>
    <t>ESP-GM-005</t>
  </si>
  <si>
    <t>ESP-GM-006</t>
  </si>
  <si>
    <t>ESP-GM-007</t>
  </si>
  <si>
    <t>ESP-GM-008</t>
  </si>
  <si>
    <t>ESP-GM-009</t>
  </si>
  <si>
    <t>X79 LADO 2</t>
  </si>
  <si>
    <t>X80</t>
  </si>
  <si>
    <t>TACÓN</t>
  </si>
  <si>
    <t>TACÓN GM</t>
  </si>
  <si>
    <t>X79 &amp; X80</t>
  </si>
  <si>
    <t>ECT - 61+44</t>
  </si>
  <si>
    <t>INS X80</t>
  </si>
  <si>
    <t>SEPARADOR X79</t>
  </si>
  <si>
    <t>SUAJE X79</t>
  </si>
  <si>
    <t>SUAJE X80</t>
  </si>
  <si>
    <t>TT X79 X80</t>
  </si>
  <si>
    <t>https://drive.google.com/file/d/1edP7K7paT9GtnLARfKPIgA04Z4191w0q/view?usp=sharing</t>
  </si>
  <si>
    <t>https://drive.google.com/file/d/1pCuHo3xN_jgBp6WpFU2KG3CtcwkZYGcX/view?usp=sharing</t>
  </si>
  <si>
    <t>https://drive.google.com/file/d/1HFqx2nP5PHlZsy_lyxJSSfUPlVoSeBlt/view?usp=sharing</t>
  </si>
  <si>
    <t>https://drive.google.com/file/d/1N5vm722u9u8AxFT3_POwQYoYztOF_-sI/view?usp=sharing</t>
  </si>
  <si>
    <t>https://drive.google.com/file/d/1_V4u37hApBUMLFtMO5yVeZ1VyNQIuaS_/view?usp=sharing</t>
  </si>
  <si>
    <t>https://drive.google.com/file/d/1paFcYw_h3Y_jXThYoxZElS2O-kWXZnsV/view?usp=sharing</t>
  </si>
  <si>
    <t>https://drive.google.com/file/d/1uJQWt-9eHD1bkaeTGrIpycjVsAaaMGW1/view?usp=sharing</t>
  </si>
  <si>
    <t>https://drive.google.com/file/d/17krpKC-lAvX6q6mG8tXZmpfuyxl3yxOg/view?usp=sharing</t>
  </si>
  <si>
    <t>https://drive.google.com/file/d/1HpUDSS6aise_AekZvXyi0IOOdpIGC2fu/view?usp=sharing</t>
  </si>
  <si>
    <t>https://drive.google.com/file/d/1CfLj2jbj8De-pM3S33789SaZzdyYLQvW/view?usp=share_link</t>
  </si>
  <si>
    <t>SEWS GRANDE</t>
  </si>
  <si>
    <t>ESP-RMZ-028</t>
  </si>
  <si>
    <t>CPK LD-LX FR/RR DAR</t>
  </si>
  <si>
    <t>2" X 2" X 8"</t>
  </si>
  <si>
    <t>ESQ 1.5" X 2.5" X 1mts</t>
  </si>
  <si>
    <t>TAPA MY</t>
  </si>
  <si>
    <t>BT1XG-CHICA</t>
  </si>
  <si>
    <t>SEPARADOR GRANDE</t>
  </si>
  <si>
    <t>ESP-NCS-001</t>
  </si>
  <si>
    <t>ESP-NCS-002</t>
  </si>
  <si>
    <t>ESP-NCS-003</t>
  </si>
  <si>
    <t>ESP-NCS-004</t>
  </si>
  <si>
    <t>ESP-NCS-005</t>
  </si>
  <si>
    <t>ESP-NCS-006</t>
  </si>
  <si>
    <t>ESP-NCS-007</t>
  </si>
  <si>
    <t>ESP-NCS-008</t>
  </si>
  <si>
    <t>ESP-NCS-009</t>
  </si>
  <si>
    <t>ESP-NCS-010</t>
  </si>
  <si>
    <t>ESP-NCS-011</t>
  </si>
  <si>
    <t>ESP-NCS-012</t>
  </si>
  <si>
    <t>ESP-NCS-013</t>
  </si>
  <si>
    <t>ESP-NCS-014</t>
  </si>
  <si>
    <t>ESP-NCS-015</t>
  </si>
  <si>
    <t>ESP-NCS-016</t>
  </si>
  <si>
    <t>ESP-NCS-017</t>
  </si>
  <si>
    <t>ESP-NCS-018</t>
  </si>
  <si>
    <t>ESP-NCS-019</t>
  </si>
  <si>
    <t>ESP-NCS-020</t>
  </si>
  <si>
    <t>ESP-NCS-021</t>
  </si>
  <si>
    <t>ESP-NCS-022</t>
  </si>
  <si>
    <t>ESP-NCS-023</t>
  </si>
  <si>
    <t>ESP-NCS-024</t>
  </si>
  <si>
    <t>ESP-NCS-025</t>
  </si>
  <si>
    <t>ESP-NCS-026</t>
  </si>
  <si>
    <t>ESP-NCS-027</t>
  </si>
  <si>
    <t>ESP-NCS-028</t>
  </si>
  <si>
    <t>ESP-NCS-029</t>
  </si>
  <si>
    <t>ESP-NCS-030</t>
  </si>
  <si>
    <t>ESP-NCS-031</t>
  </si>
  <si>
    <t>https://drive.google.com/file/d/1N7_e3_eq1bQsG98UUMheNZpRo0qDsW4-/view?usp=share_link</t>
  </si>
  <si>
    <t>135 X 35 X 053</t>
  </si>
  <si>
    <t>ESQ</t>
  </si>
  <si>
    <t>https://drive.google.com/file/d/1N4TAFlFxJ6vhgZWS4beZbiGfRfnp0if8/view?usp=share_link</t>
  </si>
  <si>
    <t>https://drive.google.com/file/d/1iS2wmO4kYoL85tU4JuKBlkew4hF-FCaF/view?usp=share_link</t>
  </si>
  <si>
    <t>https://drive.google.com/file/d/1adVVJmQQ6EDNVM8aQJqEh4QxWUU06PK_/view?usp=share_link</t>
  </si>
  <si>
    <t>https://drive.google.com/file/d/1wZ8uL4elTsc3v0FeRclX3ELusffJXD0l/view?usp=share_link</t>
  </si>
  <si>
    <t>https://drive.google.com/file/d/11bZEwmqc0G4YhONInYMKIjnKFwf4trim/view?usp=share_link</t>
  </si>
  <si>
    <t>https://drive.google.com/file/d/1HSkbBWoKTdUG-24J8xWy4llxtim6frq6/view?usp=share_link</t>
  </si>
  <si>
    <t>https://drive.google.com/file/d/1heG7zQAsZ6j1ugFKp6KpFnGaadjFN8aw/view?usp=share_link</t>
  </si>
  <si>
    <t>https://drive.google.com/file/d/1nKlSYEXyEND5ZDG2JaMub2CjabxT1afH/view?usp=share_link</t>
  </si>
  <si>
    <t>https://drive.google.com/file/d/11GLdm6XQurWbiiWNMsgQ-xmAgKWcKGKy/view?usp=share_link</t>
  </si>
  <si>
    <t>https://drive.google.com/file/d/1MTtwkjIeyYCCo8ZDmEuxsnH3ZsD7-TXS/view?usp=share_link</t>
  </si>
  <si>
    <t>T1XX 24M</t>
  </si>
  <si>
    <t>ESP-TT-084</t>
  </si>
  <si>
    <t>MA01</t>
  </si>
  <si>
    <t>CABECERAS</t>
  </si>
  <si>
    <t>https://drive.google.com/file/d/186BKCfA41IG_PHjU_GNr10ZYXhx5rxGh/view?usp=share_link</t>
  </si>
  <si>
    <t>28" x  28" x 11"</t>
  </si>
  <si>
    <t>CAJA REFORZADA</t>
  </si>
  <si>
    <t>ESP-NCS-032</t>
  </si>
  <si>
    <t>ESP-NCS-033</t>
  </si>
  <si>
    <t>ESP-NCS-034</t>
  </si>
  <si>
    <t>ESP-NCS-035</t>
  </si>
  <si>
    <t>26 X 128</t>
  </si>
  <si>
    <t>3" x 3" x 26</t>
  </si>
  <si>
    <t>ESQUINERO INTERNO</t>
  </si>
  <si>
    <t>ESQUINERO EXTERNO</t>
  </si>
  <si>
    <t>https://drive.google.com/file/d/1w3u_N8e90pqDThasv2oZ8o6aqgedr7aF/view?usp=sharing</t>
  </si>
  <si>
    <t>https://drive.google.com/file/d/1kvM-B3jvlmRVWTCnyOF-mbvKdYtw9taF/view?usp=sharing</t>
  </si>
  <si>
    <t>https://drive.google.com/file/d/1Rjol4UoD9F-m_u3Kaq-xh5tIaTufYqvJ/view?usp=sharing</t>
  </si>
  <si>
    <t>https://drive.google.com/file/d/1nkvcfs-8S71xAF2_s5UlWhOOaLsncqyj/view?usp=sharing</t>
  </si>
  <si>
    <t>3" x 3" x 28</t>
  </si>
  <si>
    <t>ESP-TT-085</t>
  </si>
  <si>
    <t>ESP-TT-086</t>
  </si>
  <si>
    <t>ESP-TT-087</t>
  </si>
  <si>
    <t>ESP-TT-088</t>
  </si>
  <si>
    <t>ESP-TT-089</t>
  </si>
  <si>
    <t>ESP-TT-090</t>
  </si>
  <si>
    <t>127 X 114 X 80</t>
  </si>
  <si>
    <t>FULL BACK / 40% / 60%</t>
  </si>
  <si>
    <t>125 X 112</t>
  </si>
  <si>
    <t>125 X 79</t>
  </si>
  <si>
    <t>7.5 X 7.5 X 80</t>
  </si>
  <si>
    <t xml:space="preserve">129 X 116 X 12 </t>
  </si>
  <si>
    <t>125 X 112 X 38.5</t>
  </si>
  <si>
    <t>https://drive.google.com/file/d/1UDqHISQO4weH2d8mFuMvfnybSH9_q_GG/view?usp=share_link</t>
  </si>
  <si>
    <t>https://drive.google.com/file/d/1XjhOIo0UZ91Ufd5bD94fkQ9QETGgyEY5/view?usp=share_link</t>
  </si>
  <si>
    <t>https://drive.google.com/file/d/1JHRUailsl9kCEusIAfyghfx2R2NzFNEL/view?usp=share_link</t>
  </si>
  <si>
    <t>https://drive.google.com/file/d/1Pl_WUD5EGzvVBLcsXKbnfrlWlTzMSbYV/view?usp=share_link</t>
  </si>
  <si>
    <t>https://drive.google.com/file/d/1qAZ_neNAG4h-GNMzYS6yjydrwGxSz9r-/view?usp=share_link</t>
  </si>
  <si>
    <t>https://drive.google.com/file/d/1hYyoMyFl02ny-uXIUzADJ9JMFK0AzRtk/view?usp=share_link</t>
  </si>
  <si>
    <t>PROY. 40%</t>
  </si>
  <si>
    <t>https://drive.google.com/file/d/1eP7Kd0XQ9y6Nx4Tq0WACq9dzxP_3FQ1g/view?usp=share_link</t>
  </si>
  <si>
    <t>https://drive.google.com/file/d/1Zab6oFMdZE6MGFsWqD87GUrD9CK_at9W/view?usp=share_link</t>
  </si>
  <si>
    <t>126080800-1</t>
  </si>
  <si>
    <t>Honda Accord</t>
  </si>
  <si>
    <t>32-42</t>
  </si>
  <si>
    <t>Sencillo/Doble</t>
  </si>
  <si>
    <t>ESP-GH-092</t>
  </si>
  <si>
    <t>https://drive.google.com/file/d/1-1anyd7I67FHB6RMd3j3Qegsohlmd_SQ/view?usp=share_link</t>
  </si>
  <si>
    <t>45  X 48</t>
  </si>
  <si>
    <t>INDIRECTOS</t>
  </si>
  <si>
    <t>45"</t>
  </si>
  <si>
    <t>48"</t>
  </si>
  <si>
    <t>MADERA</t>
  </si>
  <si>
    <t>ESP-CCS-001</t>
  </si>
  <si>
    <t>48 X 48</t>
  </si>
  <si>
    <t>ESP-CCS-002</t>
  </si>
  <si>
    <t>ESP-CCS-003</t>
  </si>
  <si>
    <t>ESP-CCS-004</t>
  </si>
  <si>
    <t>ALPHABET SALTILLO</t>
  </si>
  <si>
    <t>MAGNUM PLASTIC</t>
  </si>
  <si>
    <t>115 X 110 X 12 cm</t>
  </si>
  <si>
    <t>40 X 48</t>
  </si>
  <si>
    <t>40"</t>
  </si>
  <si>
    <t>https://drive.google.com/file/d/1-26ZqmG9nkr-q8VT9kHulfkqFkE12gUa/view?usp=share_link</t>
  </si>
  <si>
    <t>https://drive.google.com/file/d/1-3MCEDzs14rRM-hihgNe68McUM_VXKG3/view?usp=share_link</t>
  </si>
  <si>
    <t>https://drive.google.com/file/d/1-5EKEKSzPvnVoJtDGs11Fejd3SG_xGWX/view?usp=share_link</t>
  </si>
  <si>
    <t>https://drive.google.com/file/d/1-5V9_rrm5T-3w8ss1H92bTo5TCAijQ-M/view?usp=share_link</t>
  </si>
  <si>
    <t>7.5 x 7.5 x 83</t>
  </si>
  <si>
    <t>https://drive.google.com/file/d/1-EEJ1Rzrt6B4Zfvb0-TW4vMb3eDbtGZS/view?usp=sharing</t>
  </si>
  <si>
    <t>https://drive.google.com/file/d/1-FP6D8CptRNZY4rKNX0EdEa_aDaz93vm/view?usp=share_link</t>
  </si>
  <si>
    <t>VL4284</t>
  </si>
  <si>
    <t xml:space="preserve">ESP BMW </t>
  </si>
  <si>
    <t>ESP-DAI-208</t>
  </si>
  <si>
    <t>https://drive.google.com/file/d/1-ICy6qgatuOJvporw6oyqV09suXwq73S/view?usp=share_link</t>
  </si>
  <si>
    <t>56 X 53 X 26</t>
  </si>
  <si>
    <t>DOCUMENT HOLDER</t>
  </si>
  <si>
    <t>JUMP SEAT</t>
  </si>
  <si>
    <t>https://drive.google.com/file/d/1-MCVF-Ae42qV1vRlkva3EQTSqcAdhOHo/view?usp=sharing</t>
  </si>
  <si>
    <t>MALETÍN CTM</t>
  </si>
  <si>
    <t>MALETIN CTM</t>
  </si>
  <si>
    <t>ESP-CYCS-011</t>
  </si>
  <si>
    <t>Separador 17</t>
  </si>
  <si>
    <t>SEPARADOR trq</t>
  </si>
  <si>
    <t>ESP-DSO-080</t>
  </si>
  <si>
    <t>https://drive.google.com/file/d/1-NNb-LVhpA031x-aZMefdSvnr18BVPHZ/view?usp=sharing</t>
  </si>
  <si>
    <t>32m</t>
  </si>
  <si>
    <t>https://drive.google.com/file/d/1-PIkyY-5C_qddydVvTQbeICaCikjoCBb/view?usp=share_link</t>
  </si>
  <si>
    <t>https://drive.google.com/file/d/1-RASznQ3j0PSXA_S65q6udPYSXs_nuAX/view?usp=share_link</t>
  </si>
  <si>
    <t>67 X 51 X 27</t>
  </si>
  <si>
    <t>129400800-1</t>
  </si>
  <si>
    <t>VF PROMASTER</t>
  </si>
  <si>
    <t>https://drive.google.com/file/d/1-VHx2YlaUmNpLst64Q0KmNoUWaKpPyAt/view?usp=sharing</t>
  </si>
  <si>
    <t>https://drive.google.com/file/d/1-aNEAu8fAdzw0ZKANZlB3cwCtwuDtVs4/view?usp=sharing</t>
  </si>
  <si>
    <t>https://drive.google.com/file/d/1-p0PG-4Mkr5bWN5Yav3pgnYWsCPWl0bu/view?usp=sharing</t>
  </si>
  <si>
    <t>https://drive.google.com/file/d/1-oUACv8-XEC6uxAIXc1sScI3zUcBy484/view?usp=sharing</t>
  </si>
  <si>
    <t>1501120MA</t>
  </si>
  <si>
    <t>1505030MA</t>
  </si>
  <si>
    <t>32 micro</t>
  </si>
  <si>
    <t>ESP-LMT-030</t>
  </si>
  <si>
    <t>ESP-LMT-031</t>
  </si>
  <si>
    <t>https://drive.google.com/file/d/1-sPat82O9G7OtMLmptd2YUB4qTaAKJqN/view?usp=share_link</t>
  </si>
  <si>
    <t>https://drive.google.com/file/d/1-yPLozb7TxjUxSXouTylPL1Ovz58wjRV/view?usp=share_link</t>
  </si>
  <si>
    <t>https://drive.google.com/file/d/104lMs-2ThOEnf0oIT6NwM9WY3HRbnOxP/view?usp=share_link</t>
  </si>
  <si>
    <t>https://drive.google.com/file/d/108tDTHDxdFEuS_g1o4wG1F2khbJhqdhC/view?usp=share_link</t>
  </si>
  <si>
    <t>https://drive.google.com/file/d/10DDhjqcUbAwbYqmrfvS1Q5qKS2T-FBZN/view?usp=sharing</t>
  </si>
  <si>
    <t>https://drive.google.com/file/d/10DT9osm1SplKZnWWPtFTZQgDY1Os14Q9/view?usp=share_link</t>
  </si>
  <si>
    <t>Mini parker</t>
  </si>
  <si>
    <t>Mini Parker</t>
  </si>
  <si>
    <t>ESP-RMZ-029</t>
  </si>
  <si>
    <t>https://drive.google.com/file/d/10IZNBGrptgmpBWnOVjwkRRh69IGrXJbH/view?usp=share_link</t>
  </si>
  <si>
    <t>FULL BACK 40%/60%</t>
  </si>
  <si>
    <t>ESP-CON-008</t>
  </si>
  <si>
    <t>https://drive.google.com/file/d/10O-chXqOt-mD7w45yhanSx-LgX2d9yU6/view?usp=share_link</t>
  </si>
  <si>
    <t>Grand Handle B</t>
  </si>
  <si>
    <t>58 X 40 X 40</t>
  </si>
  <si>
    <t xml:space="preserve">1546735-00-A </t>
  </si>
  <si>
    <t>ESP-MF-007</t>
  </si>
  <si>
    <t>ESP-MF-008</t>
  </si>
  <si>
    <t>57.5 X 39.5</t>
  </si>
  <si>
    <t>https://drive.google.com/file/d/10Omse5zvxgQ7_DwVWyN1uz18trUo2gMY/view?usp=share_link</t>
  </si>
  <si>
    <t>https://drive.google.com/file/d/10Qf_ysItS54NS6fMchjo6iBNyEIZ2pU8/view?usp=share_link</t>
  </si>
  <si>
    <t>PKG0290</t>
  </si>
  <si>
    <t>ESP-DAI-209</t>
  </si>
  <si>
    <t>ESP-DAI-210</t>
  </si>
  <si>
    <t>https://drive.google.com/file/d/10U703p8XjmuxM-GCX3jVpLyYvT0OxaVi/view?usp=sharing</t>
  </si>
  <si>
    <t>https://drive.google.com/file/d/10UmHJmSVymBhWEFYude1x76f3zJil2dI/view?usp=share_link</t>
  </si>
  <si>
    <t>CAL. 300</t>
  </si>
  <si>
    <t>PKG0013-2</t>
  </si>
  <si>
    <t>10 / 6 CAV</t>
  </si>
  <si>
    <t>SUAJE</t>
  </si>
  <si>
    <t>6 CAV</t>
  </si>
  <si>
    <t>https://drive.google.com/file/d/10YuIK8LpQVEag7h50E1HQRvddzmFfe6k/view?usp=share_link</t>
  </si>
  <si>
    <t>https://drive.google.com/file/d/10_YI_Mc20qXTDHAOSOr9C7W-bVhchEXF/view?usp=share_link</t>
  </si>
  <si>
    <t>https://drive.google.com/file/d/10_CunWWwiaQNojbO486hAAh_szfavm1b/view?usp=share_link</t>
  </si>
  <si>
    <t>168528-241</t>
  </si>
  <si>
    <t>ESP-EMS-018</t>
  </si>
  <si>
    <t>ESP-EMS-019</t>
  </si>
  <si>
    <t>ESP-EMS-020</t>
  </si>
  <si>
    <t>168528-248</t>
  </si>
  <si>
    <t>420487-001</t>
  </si>
  <si>
    <t>https://drive.google.com/file/d/10jRAIicNxJUpyelyALdCwRN-Z3uYJDC2/view?usp=share_link</t>
  </si>
  <si>
    <t>https://drive.google.com/file/d/10mR7gA4Kgqt_ZiISjV6TNLm9OBuEtxhG/view?usp=share_link</t>
  </si>
  <si>
    <t>https://drive.google.com/file/d/10mfzdM7umWpuTu1TPTHqhFxJWDmP-Nb_/view?usp=share_link</t>
  </si>
  <si>
    <t>21" X 12" X 9"</t>
  </si>
  <si>
    <t>https://drive.google.com/file/d/10p2BRJjQvZ_wquCSMkqddfYi8m7e866T/view?usp=share_link</t>
  </si>
  <si>
    <t>https://drive.google.com/file/d/10v_MaPtXRknlBUDf8mme8WrpDGrx2dOR/view?usp=share_link</t>
  </si>
  <si>
    <t>https://drive.google.com/file/d/111hIWvvTpm4-1QE-A4aIp0n5guqdzk_W/view?usp=share_link</t>
  </si>
  <si>
    <t>FORD-SPO</t>
  </si>
  <si>
    <t>ESP-DAI-211</t>
  </si>
  <si>
    <t>https://drive.google.com/file/d/1122mkb5dnndqNAGzPhp61rUXIkpl-3wD/view?usp=share_link</t>
  </si>
  <si>
    <t>MUSTANG BLOSTER</t>
  </si>
  <si>
    <t>CUP-HOLDER TUNDRA</t>
  </si>
  <si>
    <t>APPLIQUE C1UL</t>
  </si>
  <si>
    <t>30AA 23M ACCORD PASSENGER IP</t>
  </si>
  <si>
    <t>200D/200D HR RR1 OTR HR BACKUP</t>
  </si>
  <si>
    <t>910B 23M CONSOLE LID</t>
  </si>
  <si>
    <t>1/8"</t>
  </si>
  <si>
    <t>30AA 23M ACCORD DRIVE</t>
  </si>
  <si>
    <t>HFI OBREGON</t>
  </si>
  <si>
    <t>ESP-HFIO-001</t>
  </si>
  <si>
    <t>ESP-HFIO-002</t>
  </si>
  <si>
    <t>CX 483 - RH MID TOPPER</t>
  </si>
  <si>
    <t>CAJA CON FONDO CTR</t>
  </si>
  <si>
    <t>LD/LX CONSOLE LID</t>
  </si>
  <si>
    <t>CHR EMPAQUES</t>
  </si>
  <si>
    <t>SEPARADOR ROLADO</t>
  </si>
  <si>
    <t>ESP-CH-002</t>
  </si>
  <si>
    <t>https://drive.google.com/file/d/1t88SDBmQFjGJQ5DyxspWitU-0BP7ymQd/view?usp=sharing</t>
  </si>
  <si>
    <t>LA RR QTR AR 2</t>
  </si>
  <si>
    <t>CAJA CON FONFO CTR</t>
  </si>
  <si>
    <t>RU SOFT PANEL WIP-NEW</t>
  </si>
  <si>
    <t>CARBOARD</t>
  </si>
  <si>
    <t>DOOR BLOSTER</t>
  </si>
  <si>
    <t>23.6" X 14.6" X 8.8"</t>
  </si>
  <si>
    <t>47.6" X 44.6" X 28.6"</t>
  </si>
  <si>
    <t>24" X 22.5" X 11.5"</t>
  </si>
  <si>
    <t>23.6" X 21.6" X 10.3"</t>
  </si>
  <si>
    <t>DA9/DZ1</t>
  </si>
  <si>
    <t>24" X 22.5" X 10"</t>
  </si>
  <si>
    <t>INNER NOMAR</t>
  </si>
  <si>
    <t>24" X 22.5" X 22"</t>
  </si>
  <si>
    <t>24" X 16" X 14"</t>
  </si>
  <si>
    <t>24" X 16" X 5"</t>
  </si>
  <si>
    <t>24" X 16" X 6"</t>
  </si>
  <si>
    <t>C1UL</t>
  </si>
  <si>
    <t>24" X 20" X 12"</t>
  </si>
  <si>
    <t>C483 RH TOPPER</t>
  </si>
  <si>
    <t>CX727</t>
  </si>
  <si>
    <t>60.5 X 43.5</t>
  </si>
  <si>
    <t>62 X 45 X 10</t>
  </si>
  <si>
    <t>112 X 112 X 35.5</t>
  </si>
  <si>
    <t>112 X 105 X 97</t>
  </si>
  <si>
    <t>ESP-TT-093</t>
  </si>
  <si>
    <t>ESP-TT-094</t>
  </si>
  <si>
    <t>ESP-TT-095</t>
  </si>
  <si>
    <t>ESP-TT-096</t>
  </si>
  <si>
    <t>ESP-TT-097</t>
  </si>
  <si>
    <t>ESP-TT-098</t>
  </si>
  <si>
    <t>110 X 103 X 95</t>
  </si>
  <si>
    <t>115 X 108 X 10</t>
  </si>
  <si>
    <t>104 X 11</t>
  </si>
  <si>
    <t>3" X 3" X 95cm</t>
  </si>
  <si>
    <t>42"</t>
  </si>
  <si>
    <t>https://drive.google.com/file/d/11UHRwS5pJhfxHZ8MSdYpkQbqF2QbGBC8/view?usp=drive_link</t>
  </si>
  <si>
    <t>https://drive.google.com/file/d/11BMNypqdJ5eE4TofpzE4RJat53I30enQ/view?usp=drive_link</t>
  </si>
  <si>
    <t>https://drive.google.com/file/d/11MrXOmrMjagf27MJhvlCHXOnWV7y2995/view?usp=drive_link</t>
  </si>
  <si>
    <t>https://drive.google.com/file/d/11Ll9x-q0F1em9oyOkzSefPMA2shyY-QR/view?usp=drive_link</t>
  </si>
  <si>
    <t>https://drive.google.com/file/d/11OuWGy0Mjmp5cgnZNl_3VMpZKzwnrWv7/view?usp=drive_link</t>
  </si>
  <si>
    <t>https://drive.google.com/file/d/11TPg4lf5NeCJLNRK4drnB-zYs-oFUr8E/view?usp=drive_link</t>
  </si>
  <si>
    <t>POLARIS (SIN VENTANA)</t>
  </si>
  <si>
    <t>TAOS 21M / DRIVER IP-FS</t>
  </si>
  <si>
    <t>REJILLA 14 CAV</t>
  </si>
  <si>
    <t xml:space="preserve">REJILLA 7 PARTICIONES </t>
  </si>
  <si>
    <t>TAOS 21M / PASSENGER IP-FS</t>
  </si>
  <si>
    <t xml:space="preserve">12" </t>
  </si>
  <si>
    <t>6"</t>
  </si>
  <si>
    <t>1.5 MIL</t>
  </si>
  <si>
    <t>10"</t>
  </si>
  <si>
    <t>2.0 MIL</t>
  </si>
  <si>
    <t>2YN CIVIC 21M/ SHIFTER BOOT</t>
  </si>
  <si>
    <t>12"</t>
  </si>
  <si>
    <t>1.0MIL</t>
  </si>
  <si>
    <t>63" X 42.5"</t>
  </si>
  <si>
    <t>https://drive.google.com/file/d/115TtM2E3yMXmHu415_Uzzb6xOO1n335I/view?usp=drive_link</t>
  </si>
  <si>
    <t>12" X 24"</t>
  </si>
  <si>
    <t>24"</t>
  </si>
  <si>
    <t>1 MIL</t>
  </si>
  <si>
    <t>5" X 5"</t>
  </si>
  <si>
    <t>5"</t>
  </si>
  <si>
    <t>1MIL</t>
  </si>
  <si>
    <t>8"</t>
  </si>
  <si>
    <t>22"</t>
  </si>
  <si>
    <t>ESP-HFIM-245</t>
  </si>
  <si>
    <t>ESP-HFIM-246</t>
  </si>
  <si>
    <t>ESP-HFIM-247</t>
  </si>
  <si>
    <t>ESP-HFIM-248</t>
  </si>
  <si>
    <t>ESP-HFIM-249</t>
  </si>
  <si>
    <t>Separador I</t>
  </si>
  <si>
    <t>ESP-DAI-212</t>
  </si>
  <si>
    <t>Cal. 500</t>
  </si>
  <si>
    <t>ESP-DAI-213</t>
  </si>
  <si>
    <t>https://drive.google.com/file/d/11Vd--0If2kfOhNYhdUYXFwqArNYwiD84/view?usp=sharing</t>
  </si>
  <si>
    <t>https://drive.google.com/file/d/11Wv79dJutNFVSJXWcnGHtQAk5FZ3al5h/view?usp=sharing</t>
  </si>
  <si>
    <t>MEDIANO SEWS</t>
  </si>
  <si>
    <t>SEWS MEDIANO</t>
  </si>
  <si>
    <t>ESP-RMZ-030</t>
  </si>
  <si>
    <t>RDX 19M (120 CELL PARTITION)</t>
  </si>
  <si>
    <t>MALIBU</t>
  </si>
  <si>
    <t>CARBOARD C1U</t>
  </si>
  <si>
    <t xml:space="preserve">RDX GLOVE BOX COVER </t>
  </si>
  <si>
    <t>CUSHION RIVIAN</t>
  </si>
  <si>
    <t>72.5 X 46.3 X 17.5</t>
  </si>
  <si>
    <t>ESP-PMW-052</t>
  </si>
  <si>
    <t>https://drive.google.com/file/d/12YNBCRvuODaG-XuQ9DLYa9ZlodYICAau/view?usp=drive_link</t>
  </si>
  <si>
    <t>https://drive.google.com/file/d/12e1bLMm-0Z1AQ5j9wti4pYMqtoKSEjY2/view?usp=drive_link</t>
  </si>
  <si>
    <t>https://drive.google.com/file/d/12hQebKRzxslV78bslI2-Fo2mKD92oHy6/view?usp=drive_link</t>
  </si>
  <si>
    <t>73 X 46.2</t>
  </si>
  <si>
    <t>Motus León</t>
  </si>
  <si>
    <t>Viñedos Don León</t>
  </si>
  <si>
    <t>León Ramos</t>
  </si>
  <si>
    <t>https://drive.google.com/file/d/1KVSC_Q7zufol2i_35DPABXNc6fCuNPzx/view?usp=sharing</t>
  </si>
  <si>
    <t>PKG0012</t>
  </si>
  <si>
    <t>ESP-LMT-054</t>
  </si>
  <si>
    <t>ESP-LMT-142</t>
  </si>
  <si>
    <t>ESP-LMT-143</t>
  </si>
  <si>
    <t>ESP-LMT-144</t>
  </si>
  <si>
    <t>60.5 X 55.5 X 22.5</t>
  </si>
  <si>
    <t>67 X 55 X 22</t>
  </si>
  <si>
    <t>Gap Hider 10 Cav</t>
  </si>
  <si>
    <t>61.5 X 56.5 X 6</t>
  </si>
  <si>
    <t>ESP-DAI-214</t>
  </si>
  <si>
    <t xml:space="preserve">TAPA </t>
  </si>
  <si>
    <t>GRAB HANDLE</t>
  </si>
  <si>
    <t>CONSOLE ARMREST (U717)</t>
  </si>
  <si>
    <t>RH AND LH RAILS 40CAV (U717)</t>
  </si>
  <si>
    <t>320B-RAV4</t>
  </si>
  <si>
    <t>C1YB</t>
  </si>
  <si>
    <t>CAJA HSC</t>
  </si>
  <si>
    <t>https://drive.google.com/file/d/1E6FuUOA_moz-bb3IWFBM4u3MCdCrNVlP/view?usp=drive_link</t>
  </si>
  <si>
    <t>https://drive.google.com/file/d/1E7shyFDKWMXWBa_a18dmQ7LU530jZAF7/view?usp=drive_link</t>
  </si>
  <si>
    <t>https://drive.google.com/file/d/1EGPlwvFGgPCoJWWF4184EnRY2haZt6XU/view?usp=drive_link</t>
  </si>
  <si>
    <t>https://drive.google.com/file/d/1EHn0sHnqgH15NGkSo0PedjgcLN1pRczs/view?usp=drive_link</t>
  </si>
  <si>
    <t>62X39X6</t>
  </si>
  <si>
    <t>ESP-HFIM-250</t>
  </si>
  <si>
    <t>ESP-HFIM-251</t>
  </si>
  <si>
    <t>ESP-HFIM-252</t>
  </si>
  <si>
    <t>T1UL 24M KNEE BOLSTER</t>
  </si>
  <si>
    <t>ESP-HFIM-253</t>
  </si>
  <si>
    <t>ESP-HFIM-254</t>
  </si>
  <si>
    <t>ESP-HFIM-255</t>
  </si>
  <si>
    <t>ESP-HFIM-256</t>
  </si>
  <si>
    <t>https://drive.google.com/file/d/1EP575jSub_kgvwBvU_c9D2YiQXxLPtSG/view?usp=drive_link</t>
  </si>
  <si>
    <t>https://drive.google.com/file/d/1EQzq_YzZnfDeAU0BOOLhGvVzG9nRKX0A/view?usp=drive_link</t>
  </si>
  <si>
    <t>https://drive.google.com/file/d/1EYMNPNFqZnw6jbo9GHYY5xiuh8Zjtc6X/view?usp=drive_link</t>
  </si>
  <si>
    <t>https://drive.google.com/file/d/1Ej1tzECRcbKbMOLLE_94U7lqeSaDs4F9/view?usp=drive_link</t>
  </si>
  <si>
    <t>ESP-HFIR-122</t>
  </si>
  <si>
    <t>ESP-HFIR-123</t>
  </si>
  <si>
    <t>BT1 PANEL ASM (PL623)</t>
  </si>
  <si>
    <t>ESP-HFIR-124</t>
  </si>
  <si>
    <t>ESP-HFIR-125</t>
  </si>
  <si>
    <t>ESP-HFIR-126</t>
  </si>
  <si>
    <t>58 X 51 X 22.3</t>
  </si>
  <si>
    <t>57.5 X 39.7 X 20</t>
  </si>
  <si>
    <t>60 X 52.5 X 7.5</t>
  </si>
  <si>
    <t>CPK LB 25M CONSOLE LID</t>
  </si>
  <si>
    <t>FOAM PAD</t>
  </si>
  <si>
    <t>PAD FOAM</t>
  </si>
  <si>
    <t>CPK LB 25M  LH SIDE PANEL</t>
  </si>
  <si>
    <t>CPK LB 25M RH SIDE PANEL</t>
  </si>
  <si>
    <t>ESP-HFIR-127</t>
  </si>
  <si>
    <t>ESP-HFIR-128</t>
  </si>
  <si>
    <t>ESP-HFIR-129</t>
  </si>
  <si>
    <t>ESP-HFIR-130</t>
  </si>
  <si>
    <t>ESP-HFIR-131</t>
  </si>
  <si>
    <t>ESP-HFIR-132</t>
  </si>
  <si>
    <t>ESP-HFIR-133</t>
  </si>
  <si>
    <t>ESP-HFIR-134</t>
  </si>
  <si>
    <t>ESP-HFIR-135</t>
  </si>
  <si>
    <t>ESP-HFIR-136</t>
  </si>
  <si>
    <t>ESP-HFIR-137</t>
  </si>
  <si>
    <t>ESP-HFIR-138</t>
  </si>
  <si>
    <t>ESP-HFIR-139</t>
  </si>
  <si>
    <t>ESP-HFIR-140</t>
  </si>
  <si>
    <t>foam</t>
  </si>
  <si>
    <t>SEMIKRAFT PAPER STRIP</t>
  </si>
  <si>
    <t>León Saltillo</t>
  </si>
  <si>
    <t>920B</t>
  </si>
  <si>
    <t>ESP-LS-001</t>
  </si>
  <si>
    <t>ESP-LS-002</t>
  </si>
  <si>
    <t>https://drive.google.com/file/d/1Eu0bw_T4w66eE8y_Ge_x7yXtcLZ1zYyk/view?usp=drive_link</t>
  </si>
  <si>
    <t>https://drive.google.com/file/d/1Eu4xscce7z6v2xSGXcW-zVXYnu_xDWFP/view?usp=drive_link</t>
  </si>
  <si>
    <t>ESP-HFIR-141</t>
  </si>
  <si>
    <t>ESP-HFIR-142</t>
  </si>
  <si>
    <t>DUOTEC</t>
  </si>
  <si>
    <t>ESP-DUO-001</t>
  </si>
  <si>
    <t>ESP-DUO-002</t>
  </si>
  <si>
    <t>ESP-DUO-003</t>
  </si>
  <si>
    <t>ESP-DUO-004</t>
  </si>
  <si>
    <t>ESP-DUO-005</t>
  </si>
  <si>
    <t>ESP-DUO-006</t>
  </si>
  <si>
    <t>ESP-HFIR-143</t>
  </si>
  <si>
    <t>ESP-HFIR-144</t>
  </si>
  <si>
    <t>ESP-HFIR-145</t>
  </si>
  <si>
    <t>ESP-HFIR-146</t>
  </si>
  <si>
    <t>ESP-HFIR-147</t>
  </si>
  <si>
    <t>ESP-HFIR-148</t>
  </si>
  <si>
    <t>ESP-HFIR-149</t>
  </si>
  <si>
    <t>ESP-HFIR-150</t>
  </si>
  <si>
    <t>ESP-HFIR-151</t>
  </si>
  <si>
    <t>ESP-HFIR-152</t>
  </si>
  <si>
    <t>ESP-HFIR-153</t>
  </si>
  <si>
    <t>ESP-HFIR-154</t>
  </si>
  <si>
    <t>ESP-HFIR-155</t>
  </si>
  <si>
    <t>ESP-HFIR-156</t>
  </si>
  <si>
    <t>ESP-HFIR-157</t>
  </si>
  <si>
    <t>ESP-HFIR-158</t>
  </si>
  <si>
    <t>ESP-HFIR-159</t>
  </si>
  <si>
    <t>ESP-HFIR-160</t>
  </si>
  <si>
    <t>ESP-HFIR-161</t>
  </si>
  <si>
    <t>ESP-HFIR-162</t>
  </si>
  <si>
    <t>T1YL 24M CONSOLE LID</t>
  </si>
  <si>
    <t>18"</t>
  </si>
  <si>
    <t>26"</t>
  </si>
  <si>
    <t>POLY</t>
  </si>
  <si>
    <t>T1YL 24M FR END CAP</t>
  </si>
  <si>
    <t>1.5 MIL.</t>
  </si>
  <si>
    <t>T1YL 24M RR END CAP</t>
  </si>
  <si>
    <t>TYL 24M UPPER RAIL</t>
  </si>
  <si>
    <t>46"</t>
  </si>
  <si>
    <t>2 MIL.</t>
  </si>
  <si>
    <t>T1YL24M LOWER RAIL</t>
  </si>
  <si>
    <t>ESP-HFIR-163</t>
  </si>
  <si>
    <t>ESP-HFIR-164</t>
  </si>
  <si>
    <t>ESP-HFIR-165</t>
  </si>
  <si>
    <t>ESP-HFIR-166</t>
  </si>
  <si>
    <t>ESP-HFIR-167</t>
  </si>
  <si>
    <t>ESP-HFIR-168</t>
  </si>
  <si>
    <t>ESP-HFIR-169</t>
  </si>
  <si>
    <t>ESP-HFIR-170</t>
  </si>
  <si>
    <t>ESP-HFIR-171</t>
  </si>
  <si>
    <t>20"</t>
  </si>
  <si>
    <t>80"</t>
  </si>
  <si>
    <t>LB29 DAR FRONT ASSY</t>
  </si>
  <si>
    <t>ESP-HFIR-172</t>
  </si>
  <si>
    <t>ESP-HFIR-173</t>
  </si>
  <si>
    <t>ESP-HFIR-174</t>
  </si>
  <si>
    <t>ESP-HFIR-175</t>
  </si>
  <si>
    <t>LB29 25M DOOR UPPER</t>
  </si>
  <si>
    <t>14"</t>
  </si>
  <si>
    <t>2.0 MIL.</t>
  </si>
  <si>
    <t>RETURN TO HFI MVA</t>
  </si>
  <si>
    <t>https://drive.google.com/file/d/10H9-YJo8mFmBReljdLZS3X70cvliU02i/view?usp=sharing</t>
  </si>
  <si>
    <t>NO FIRMADO</t>
  </si>
  <si>
    <t>Columna1</t>
  </si>
  <si>
    <t>https://drive.google.com/file/d/1p6U-bluI3C3ekLyA1TKKvsnL0pp3BcFK/view?usp=sharing</t>
  </si>
  <si>
    <t>SIN FIRMA</t>
  </si>
  <si>
    <t>https://drive.google.com/file/d/1pd6vP9NV_nra4hBYguGKLRhNGe61GSIi/view?usp=sharing</t>
  </si>
  <si>
    <t>https://drive.google.com/file/d/1ZYX2CaGGurricu5e_T49jKWtkQPVeLQy/view?usp=sharing</t>
  </si>
  <si>
    <t>https://drive.google.com/file/d/1KJWWxI7AgtYErdKflh_HthRizbNAzQk1/view?usp=sharing</t>
  </si>
  <si>
    <t>ESP-HFIM-257</t>
  </si>
  <si>
    <t>ESP-HFIM-258</t>
  </si>
  <si>
    <t>ESP-HFIM-259</t>
  </si>
  <si>
    <t>ESP-HFIM-260</t>
  </si>
  <si>
    <t>ESP-HFIM-261</t>
  </si>
  <si>
    <t>ESP-HFIM-262</t>
  </si>
  <si>
    <t>ESP-HFIM-263</t>
  </si>
  <si>
    <t>https://drive.google.com/file/d/1nIa55UuUQCSSCX2uSUyhGsowabAf1-EB/view?usp=sharing</t>
  </si>
  <si>
    <t>56X40.5X31.5</t>
  </si>
  <si>
    <t>https://drive.google.com/file/d/1AF3R3xHy_gB-vKGf9WQGSQFvhkS8td00/view?usp=sharing</t>
  </si>
  <si>
    <t>57X42X7.5</t>
  </si>
  <si>
    <t>https://drive.google.com/file/d/1HpuL9hdlF81eJSW5oNzwOP52oJ2hEWF9/view?usp=sharing</t>
  </si>
  <si>
    <t>55.5X65X46.5</t>
  </si>
  <si>
    <t>https://drive.google.com/file/d/1n_WqbDijdD9bC3gVjLgc0TMgcRPTXD_n/view?usp=sharing</t>
  </si>
  <si>
    <t>https://drive.google.com/file/d/1EnwGTEGnK41onkmlBoPXOBvYwN55j7Vc/view?usp=sharing</t>
  </si>
  <si>
    <t>https://drive.google.com/file/d/1U9KsPLE_tewR41E5fX8YzarHERU3cUKb/view?usp=sharing</t>
  </si>
  <si>
    <t>https://drive.google.com/file/d/1ZC9E9eR_YuP2gygxYV6jXrUH0_GJ4pMG/view?usp=sharing</t>
  </si>
  <si>
    <t>ESP-HFIM-264</t>
  </si>
  <si>
    <t>ESP-HFIM-265</t>
  </si>
  <si>
    <t>ESP-HFIM-266</t>
  </si>
  <si>
    <t>ESP-HFIM-267</t>
  </si>
  <si>
    <t>https://drive.google.com/file/d/1nwaUweKPzQLa3xt4VUPmQApKIBM6X6UY/view?usp=sharing</t>
  </si>
  <si>
    <t>https://drive.google.com/file/d/1rftCY3svKGqLpH_D77imNKitvGkfP2Rs/view?usp=sharing</t>
  </si>
  <si>
    <t>https://drive.google.com/file/d/1T2ZrN5DSpyYvtxXgkDL5LS6_KJMFrrT0/view?usp=sharing</t>
  </si>
  <si>
    <t>ESP-HFIM-268</t>
  </si>
  <si>
    <t>ESP-HFIM-269</t>
  </si>
  <si>
    <t>ESP-HFIM-270</t>
  </si>
  <si>
    <t>ESP-HFIM-271</t>
  </si>
  <si>
    <t>ESP-HFIM-272</t>
  </si>
  <si>
    <t>https://drive.google.com/file/d/1oM-3F2ZCyQ62KwYBvSJI8BBUbGCGJpBK/view?usp=sharing</t>
  </si>
  <si>
    <t>CAJA U</t>
  </si>
  <si>
    <t>https://drive.google.com/file/d/1tR7vUIicWGPLZCW1mv75twyZLNOkvDIW/view?usp=sharing</t>
  </si>
  <si>
    <t>C110 BOLT - REAR DAR</t>
  </si>
  <si>
    <t>https://drive.google.com/file/d/16nFimIRFmiJe49tNb0aPJGETkWHj93LE/view?usp=sharing</t>
  </si>
  <si>
    <t>https://drive.google.com/file/d/1l2hjjKw0ajSyDiuSDs8GXeCUY34VYYq9/view?usp=sharing</t>
  </si>
  <si>
    <t>GAP HILDER</t>
  </si>
  <si>
    <t>https://drive.google.com/file/d/1XFyLXZ-1cs1Mvd8jdCK5RQEvj3E7iIYm/view?usp=sharing</t>
  </si>
  <si>
    <t>https://drive.google.com/file/d/1XQ5j4S9SFaOnSsTY8GbbqTH7ih9JVVFI/view?usp=sharing</t>
  </si>
  <si>
    <t>T1UL-T1XX</t>
  </si>
  <si>
    <t>ESP-HFIM-273</t>
  </si>
  <si>
    <t>ESP-HFIM-274</t>
  </si>
  <si>
    <t>ESP-HFIM-275</t>
  </si>
  <si>
    <t>ESP-HFIM-276</t>
  </si>
  <si>
    <t>ESP-HFIM-277</t>
  </si>
  <si>
    <t>ESP-HFIM-278</t>
  </si>
  <si>
    <t>ESP-HFIM-279</t>
  </si>
  <si>
    <t>ESP-HFIM-280</t>
  </si>
  <si>
    <t>https://drive.google.com/file/d/1fyOer2yb7RuKqGUjrbjj0ajOIBt4tlOD/view?usp=sharing</t>
  </si>
  <si>
    <t>200D/200D HR</t>
  </si>
  <si>
    <t>https://drive.google.com/file/d/1a3-1ndjEt4y91QIfaNmlU7mLKkvLAGOu/view?usp=sharing</t>
  </si>
  <si>
    <t>KIT 1611000</t>
  </si>
  <si>
    <t>https://drive.google.com/file/d/1rLbYMeq8k6AJ0EPjX7XnvznHq2-sOwdV/view?usp=sharing</t>
  </si>
  <si>
    <t>910B-23M AR</t>
  </si>
  <si>
    <t>https://drive.google.com/file/d/10CG6yh0Si921FXheK8jcKtdN4BqgZOJo/view?usp=sharing</t>
  </si>
  <si>
    <t>https://drive.google.com/file/d/17au780c-YCAiKa-Ep_6J43USNwPHe_Xd/view?usp=sharing</t>
  </si>
  <si>
    <t>10/6 CAV</t>
  </si>
  <si>
    <t>https://drive.google.com/file/d/16vHrD7MMUxFt37eVK65cnM3r1aSD343b/view?usp=sharing</t>
  </si>
  <si>
    <t>https://drive.google.com/file/d/1rSU-HE07WeKOsHxS0168TqQT_3g0rmr8/view?usp=sharing</t>
  </si>
  <si>
    <t>EC2022-322, 500B 21M</t>
  </si>
  <si>
    <t>https://drive.google.com/file/d/13gshICUMY7vaO2YuteYv3pOkquYS6mJu/view?usp=sharing</t>
  </si>
  <si>
    <t>ESP-HFIM-281</t>
  </si>
  <si>
    <t>ESP-HFIM-282</t>
  </si>
  <si>
    <t>ESP-HFIM-283</t>
  </si>
  <si>
    <t>ESP-HFIM-284</t>
  </si>
  <si>
    <t>ESP-HFIM-285</t>
  </si>
  <si>
    <t>https://drive.google.com/file/d/1VVGLBBLx6tm7JLm-eF3NHzakRXmzE5TS/view?usp=sharing</t>
  </si>
  <si>
    <t>https://drive.google.com/file/d/148_sTtTnc0i3051w1bz1FBzB6L8G2vKA/view?usp=sharing</t>
  </si>
  <si>
    <t>https://drive.google.com/file/d/1q8a9XFGTAFVN4ujRtVm97H4rsm3tcSGc/view?usp=sharing</t>
  </si>
  <si>
    <t>https://drive.google.com/file/d/1gOw4tPZpNTKEPqLtlZOuNrO6WUENTt0H/view?usp=sharing</t>
  </si>
  <si>
    <t>https://drive.google.com/file/d/17XYvFC8oN6G5uLz1yflW1zLaC_Gk7jqN/view?usp=sharing</t>
  </si>
  <si>
    <t>910B 23M AR</t>
  </si>
  <si>
    <t>https://drive.google.com/file/d/1QyEMhwqx-PpBQEIeMh_m2vnzjmdQLoEf/view?usp=sharing</t>
  </si>
  <si>
    <t>24M TIUG PASS MID PNL</t>
  </si>
  <si>
    <t>https://drive.google.com/file/d/10LVoEyF6aZ0dAfy-5X5V1_t7RyjDNKMu/view?usp=sharing</t>
  </si>
  <si>
    <t>https://drive.google.com/file/d/1dlKpPGN_tOeJedmEee5wRL9GuZs0PTzH/view?usp=sharing</t>
  </si>
  <si>
    <t>https://drive.google.com/file/d/1_QwrqMOsd5ec-AFK5ANL2lNcUxZF2dQ3/view?usp=sharing</t>
  </si>
  <si>
    <t>https://drive.google.com/file/d/1PIsMFy_2046zZYvHw0bRXF3_jiobWL2Z/view?usp=sharing</t>
  </si>
  <si>
    <t>https://drive.google.com/file/d/1DQyFSiEmMPcvy-xbGUtxWIELlGcEmoEO/view?usp=sharing</t>
  </si>
  <si>
    <t>https://drive.google.com/file/d/1XuMfXDn9kd9TwdhdTPddV2JfbLwpTnVb/view?usp=sharing</t>
  </si>
  <si>
    <t>https://drive.google.com/file/d/1XalyTVEuVsZgJcwuYt7CEwNMp0G0dGj3/view?usp=sharing</t>
  </si>
  <si>
    <t>https://drive.google.com/file/d/1bxvVHADvyNCanwzIViq1xyvBaQwMvNbR/view?usp=sharing</t>
  </si>
  <si>
    <t>https://drive.google.com/file/d/1YKFJjCLMyZwRWDlsfMptUvzC8ZQDicNm/view?usp=sharing</t>
  </si>
  <si>
    <t>https://drive.google.com/file/d/1lCAc0VICKti21zG1Q4OMej7cPtay9ipk/view?usp=sharing</t>
  </si>
  <si>
    <t>https://drive.google.com/file/d/17g5wzIZMIMdhz-CA4IAPV6OAAjuWwjSH/view?usp=sharing</t>
  </si>
  <si>
    <t>https://drive.google.com/file/d/1nVKtYqCl4aT0ydYbG4ziiH1WHxNsqbwD/view?usp=sharing</t>
  </si>
  <si>
    <t>https://drive.google.com/file/d/1_2HK94XgYCDgzKVoJD7HcDVH8EEvu9Oh/view?usp=sharing</t>
  </si>
  <si>
    <t>https://drive.google.com/file/d/1kdYQ1p5nPZ3bPxOWTU3dNYcuWWNrARdX/view?usp=sharing</t>
  </si>
  <si>
    <t>https://drive.google.com/file/d/1ZmMGyUqJPBuaaM7OjcbnI1XAxjO3gQIP/view?usp=sharing</t>
  </si>
  <si>
    <t>https://drive.google.com/file/d/1cNKDG-_iNQELvLArM1y7ZczO_U03q83Y/view?usp=sharing</t>
  </si>
  <si>
    <t>https://drive.google.com/file/d/1SxtG2OdOBp0YXb6vm1p03v8hQuZ8Nd3q/view?usp=sharing</t>
  </si>
  <si>
    <t>https://drive.google.com/file/d/1XSWCs_t9NhxIiFyYjcTRLsEhSJEVivIg/view?usp=sharing</t>
  </si>
  <si>
    <t>https://drive.google.com/file/d/1hGwsAndgDbCJKWRb_lDgZ062TXoZFx-G/view?usp=sharing</t>
  </si>
  <si>
    <t>https://drive.google.com/file/d/1DdBnrTk0wB_yPtyjfJT1NQm7hLykx8e6/view?usp=sharing</t>
  </si>
  <si>
    <t>https://drive.google.com/file/d/1Xn0VSgnl1ZXRrW6vc8mVVBrLHz0RjqHl/view?usp=sharing</t>
  </si>
  <si>
    <t>https://drive.google.com/file/d/1XFejBrDThKxoRZwN4bibxPlCv621TDN1/view?usp=sharing</t>
  </si>
  <si>
    <t>https://drive.google.com/file/d/1VgaIoGfRsFt2Nj2cd-RKoJKflGnmnoB4/view?usp=sharing</t>
  </si>
  <si>
    <t>https://drive.google.com/file/d/1Wx1pT6a4EZW5SePsemn6fSUYg7_H9x0I/view?usp=sharing</t>
  </si>
  <si>
    <t>https://drive.google.com/file/d/1VNuZsCVjDkBZFssmqIXpGfr0kMhZhL50/view?usp=sharing</t>
  </si>
  <si>
    <t>https://drive.google.com/file/d/1nijhhPw0sXjHBnWog2MxwmDbv1RQGULW/view?usp=sharing</t>
  </si>
  <si>
    <t>https://drive.google.com/file/d/1jiqIwpOVNoxGGo1LwFQkTq_4OBcpUx0q/view?usp=sharing</t>
  </si>
  <si>
    <t>https://drive.google.com/file/d/1bIuBI2BM79fJaWwo7399XNaMD7iV_8RI/view?usp=sharing</t>
  </si>
  <si>
    <t>https://drive.google.com/file/d/1Ai0qOy6Q2pweKYkcm5x3e_DNGhwFUr66/view?usp=sharing</t>
  </si>
  <si>
    <t>https://drive.google.com/file/d/10TZCwlvtnyJf-xQsAGQ7iJ8HJGEC8Amj/view?usp=sharing</t>
  </si>
  <si>
    <t>https://drive.google.com/file/d/1nJwoqAn9UAaDNKQnCzFhju4DzeSRi4c6/view?usp=sharing</t>
  </si>
  <si>
    <t>30"</t>
  </si>
  <si>
    <t>https://drive.google.com/file/d/1FD6sdscaZl8R4XC8gpC6TAdsktNUXgI4/view?usp=sharing</t>
  </si>
  <si>
    <t>16"</t>
  </si>
  <si>
    <t>https://drive.google.com/file/d/1JOyNZKb4hMfSh-sw0SzfAfjt5Q8cVx7z/view?usp=sharing</t>
  </si>
  <si>
    <t>https://drive.google.com/file/d/19O1-cO3DRJGB4AL4HKhvwalSHPusOeGL/view?usp=sharing</t>
  </si>
  <si>
    <t>https://drive.google.com/file/d/1mcCAPguGUgv4giDO6OagNysYaWyHWEb5/view?usp=sharing</t>
  </si>
  <si>
    <t>https://drive.google.com/file/d/12KCcq6i7oTu1v9XzbU_yz3GiKJ4_uEiE/view?usp=sharing</t>
  </si>
  <si>
    <t>https://drive.google.com/file/d/12IOQaCBq-SClcjZAXj9oZO3Uv2TY2DfX/view?usp=sharing</t>
  </si>
  <si>
    <t>https://drive.google.com/file/d/12BGzmdR9S8eL9S4pSZLVlzH_LfSrU7Qt/view?usp=sharing</t>
  </si>
  <si>
    <t>VOLVO MACK ARM REST</t>
  </si>
  <si>
    <t>https://drive.google.com/file/d/17OnFhw7WI-NNXpcR3mp9SNy5yCmu5il2/view?usp=sharing</t>
  </si>
  <si>
    <t>https://drive.google.com/file/d/1NPBDByfmvYmsjtSazg0FIQ8_YLK9iSjM/view?usp=sharing</t>
  </si>
  <si>
    <t>ESP-HFIO-003</t>
  </si>
  <si>
    <t>ESP-HFIO-004</t>
  </si>
  <si>
    <t>ESP-HFIO-005</t>
  </si>
  <si>
    <t>ESP-HFIO-006</t>
  </si>
  <si>
    <t>https://drive.google.com/file/d/1b69jhxkOy6fZFCZOwMWkSTmi7A3mWVCr/view?usp=sharing</t>
  </si>
  <si>
    <t>https://drive.google.com/file/d/1HYMcWfpj72AtVPNCgRsJktRx5YQpA9Dy/view?usp=sharing</t>
  </si>
  <si>
    <t>UPS SENTRY COVER</t>
  </si>
  <si>
    <t>https://drive.google.com/file/d/1Tfmz3ZElOc2lINzUAW9va7L0T0tI1EwI/view?usp=sharing</t>
  </si>
  <si>
    <t>https://drive.google.com/file/d/1CWw6JAx40ko7eo5li2SDvOC5Mme-PTu7/view?usp=sharing</t>
  </si>
  <si>
    <t>C1YB/BUICK</t>
  </si>
  <si>
    <t>ESP-HFIR-176</t>
  </si>
  <si>
    <t>ESP-HFIR-177</t>
  </si>
  <si>
    <t>ESP-HFIR-178</t>
  </si>
  <si>
    <t>ESP-HFIR-179</t>
  </si>
  <si>
    <t>ESP-HFIR-180</t>
  </si>
  <si>
    <t>ESP-HFIR-181</t>
  </si>
  <si>
    <t>ESP-HFIR-182</t>
  </si>
  <si>
    <t>ESP-HFIR-183</t>
  </si>
  <si>
    <t>ESP-HFIR-184</t>
  </si>
  <si>
    <t>ESP-HFIR-185</t>
  </si>
  <si>
    <t>ESP-HFIR-186</t>
  </si>
  <si>
    <t>ESP-HFIR-187</t>
  </si>
  <si>
    <t>ESP-HFIR-188</t>
  </si>
  <si>
    <t>ESP-HFIR-189</t>
  </si>
  <si>
    <t>ESP-HFIR-190</t>
  </si>
  <si>
    <t>ESP-HFIR-191</t>
  </si>
  <si>
    <t>https://drive.google.com/file/d/16W_KLI3awPIhc13bVzvjemyyPxGeBGEM/view?usp=sharing</t>
  </si>
  <si>
    <t>https://drive.google.com/file/d/1A5uhGFfX-Q6cVxKz4NeFxwviGv9wQbhS/view?usp=sharing</t>
  </si>
  <si>
    <t>https://drive.google.com/file/d/19RiOCX1_9Ow6s0FhShWURGY1hja-rerV/view?usp=sharing</t>
  </si>
  <si>
    <t>https://drive.google.com/file/d/1AvUAKVXncz60m4hHu7TX4yxzSAsV8ADC/view?usp=sharing</t>
  </si>
  <si>
    <t>https://drive.google.com/file/d/1Bjc5YoaFSfzpckbSoaAImT0NlY5MVrfU/view?usp=sharing</t>
  </si>
  <si>
    <t>BL75</t>
  </si>
  <si>
    <t>https://drive.google.com/file/d/1BFufK2c0LOM2ruJ2xpM9_ItHqSfanyFy/view?usp=sharing</t>
  </si>
  <si>
    <t xml:space="preserve">ORNAMENT FR </t>
  </si>
  <si>
    <t>https://drive.google.com/file/d/1C2Lnv4YYuOSGQ8Uow5gUhE_so8CLGBLz/view?usp=sharing</t>
  </si>
  <si>
    <t>ORNAMENTN FR</t>
  </si>
  <si>
    <t>https://drive.google.com/file/d/1CLXhAhfGWfaahIXB3-jiPX_NZxdIdK3T/view?usp=sharing</t>
  </si>
  <si>
    <t>ORNAMENT FR /RR</t>
  </si>
  <si>
    <t>https://drive.google.com/file/d/1DkmEbieF3tJYwAAtI1EVTEn5EBu3ompe/view?usp=sharing</t>
  </si>
  <si>
    <t>ORNAMENT RR</t>
  </si>
  <si>
    <t>https://drive.google.com/file/d/16WScJ2xnq4zxT_HYgTnDczEFFEaB5b8d/view?usp=sharing</t>
  </si>
  <si>
    <t>ORNAMEN</t>
  </si>
  <si>
    <t>https://drive.google.com/file/d/15esYqqkmYMUIg4WufYG_z0VFe86pdwW_/view?usp=sharing</t>
  </si>
  <si>
    <t>DAR FR</t>
  </si>
  <si>
    <t>https://drive.google.com/file/d/172dREz5KYljJvOmdoAk6VfUyVHih7cKl/view?usp=sharing</t>
  </si>
  <si>
    <t>DAR FR / RR</t>
  </si>
  <si>
    <t>https://drive.google.com/file/d/18j1R9CsZI-mMbmxXpV9xU7wRMAh7ILfe/view?usp=sharing</t>
  </si>
  <si>
    <t>DAR RR</t>
  </si>
  <si>
    <t>https://drive.google.com/file/d/18G_MUV3PHM3-s2JTZ-IZHvlKQmqg1mf3/view?usp=sharing</t>
  </si>
  <si>
    <t>https://drive.google.com/file/d/189SWzqmrzfWQ4xoTjgTT9sfgCN5KBOBf/view?usp=sharing</t>
  </si>
  <si>
    <t>149RR</t>
  </si>
  <si>
    <t>https://drive.google.com/file/d/188A9FX5gVCEiNNsH749q1KDlXasbfyuI/view?usp=sharing</t>
  </si>
  <si>
    <t>https://drive.google.com/file/d/17sUEZYPk0dP_pqTOVzXdvHpOmbizxwQW/view?usp=sharing</t>
  </si>
  <si>
    <t>https://drive.google.com/file/d/19VFKZFRHHQdpWpG90hRdLDgobYW_7ydD/view?usp=sharing</t>
  </si>
  <si>
    <t>320-RAV4</t>
  </si>
  <si>
    <t>https://drive.google.com/file/d/19Pe3eq_LFd05z-Fj5GOZH0gj_5lig5r-/view?usp=sharing</t>
  </si>
  <si>
    <t>https://drive.google.com/file/d/19OreECIUKffTWvm_n5oEHCv5PtVO98LD/view?usp=sharing</t>
  </si>
  <si>
    <t>ESP-HFIR-192</t>
  </si>
  <si>
    <t>ESP-HFIR-193</t>
  </si>
  <si>
    <t>ESP-HFIR-194</t>
  </si>
  <si>
    <t>ESP-HFIR-195</t>
  </si>
  <si>
    <t>ESP-HFIR-196</t>
  </si>
  <si>
    <t>ESP-HFIR-197</t>
  </si>
  <si>
    <t>ESP-HFIR-198</t>
  </si>
  <si>
    <t>ESP-HFIR-199</t>
  </si>
  <si>
    <t>ESP-HFIR-200</t>
  </si>
  <si>
    <t>ESP-HFIR-201</t>
  </si>
  <si>
    <t>ESP-HFIR-202</t>
  </si>
  <si>
    <t>ESP-HFIR-203</t>
  </si>
  <si>
    <t>ESP-HFIR-204</t>
  </si>
  <si>
    <t>ESP-HFIR-205</t>
  </si>
  <si>
    <t>ESP-HFIR-206</t>
  </si>
  <si>
    <t>ESP-HFIR-207</t>
  </si>
  <si>
    <t>https://drive.google.com/file/d/19EbwbFXVOQBM8ghu5oqdI7sqOPOi0hP2/view?usp=sharing</t>
  </si>
  <si>
    <t>https://drive.google.com/file/d/1BEmJ79R14SDAZVGKk_gQRTGbxdV1MSAu/view?usp=sharing</t>
  </si>
  <si>
    <t>C2UG/G CENTER CONSOLE</t>
  </si>
  <si>
    <t>https://drive.google.com/file/d/1BD_1fL6p5WkYUqj-BVt8058bgUCxKWC0/view?usp=sharing</t>
  </si>
  <si>
    <t>https://drive.google.com/file/d/1B6bTTvtjICjVXil78fx3o2YGyQE94opi/view?usp=sharing</t>
  </si>
  <si>
    <t>https://drive.google.com/file/d/1B1WYGx8pcqzRPq1xG-bSYdHO05WdA9xq/view?usp=sharing</t>
  </si>
  <si>
    <t>55X38X65</t>
  </si>
  <si>
    <t>ESP-MF-009</t>
  </si>
  <si>
    <t>ESP-MF-010</t>
  </si>
  <si>
    <t>ESP-MF-011</t>
  </si>
  <si>
    <t>ESP-MF-012</t>
  </si>
  <si>
    <t>ESP-MF-013</t>
  </si>
  <si>
    <t>ESP-MF-014</t>
  </si>
  <si>
    <t>ESP-MF-015</t>
  </si>
  <si>
    <t>ESP-MF-016</t>
  </si>
  <si>
    <t>ESP-MF-017</t>
  </si>
  <si>
    <t>37X54X21</t>
  </si>
  <si>
    <t>51X36</t>
  </si>
  <si>
    <t>HEAD LAMP</t>
  </si>
  <si>
    <t>52X37X33</t>
  </si>
  <si>
    <t>36X52X7</t>
  </si>
  <si>
    <t>60X56X21</t>
  </si>
  <si>
    <t>HRV BKT</t>
  </si>
  <si>
    <t>55X59X21</t>
  </si>
  <si>
    <t>ESP-MF-019</t>
  </si>
  <si>
    <t>HRV BKT-1</t>
  </si>
  <si>
    <t>59X55</t>
  </si>
  <si>
    <t>https://drive.google.com/file/d/1GH90ksjXVxPcpEKgVGNnlVlO1gOYu_Yu/view?usp=sharing</t>
  </si>
  <si>
    <t>https://drive.google.com/file/d/1GIf_HtAY9gG2LXfUDHt8bvPUsVU5YZuU/view?usp=drive_link</t>
  </si>
  <si>
    <t>https://drive.google.com/file/d/1GMSGE10F18LdQ3G3QeR4Eqp4hi9tGwsK/view?usp=drive_link</t>
  </si>
  <si>
    <t>https://drive.google.com/file/d/1GNhybCGXL8JwvwcXQCiGt_anelU8UWr4/view?usp=sharing</t>
  </si>
  <si>
    <t>https://drive.google.com/file/d/1GTZEU0qxzrJUTf81y-beBVXOrar8iLmI/view?usp=drive_link</t>
  </si>
  <si>
    <t>https://drive.google.com/file/d/1GXXdCMdtZgqtU4Vf3SSoVAq_E-4ANdr7/view?usp=drive_link</t>
  </si>
  <si>
    <t>https://drive.google.com/file/d/1GYfHp4T8bTtOfywmfpL2dzENSw3Wn8oz/view?usp=drive_link</t>
  </si>
  <si>
    <t>https://drive.google.com/file/d/1GaZq_GaBzR7b762xI8dY81jdTIjy1_sX/view?usp=drive_link</t>
  </si>
  <si>
    <t>https://drive.google.com/file/d/1GiwfK_cxhvxtO-AHIB7fXXTkQy5LkXvC/view?usp=drive_link</t>
  </si>
  <si>
    <t>1/4"</t>
  </si>
  <si>
    <t>https://drive.google.com/file/d/1Az2ptTmGjcUqC67hHEYH2eHojReS9bkn/view?usp=sharing</t>
  </si>
  <si>
    <t>T1XX 22M FR-RR DECO INSERT</t>
  </si>
  <si>
    <t>https://drive.google.com/file/d/1AlbxOXbym3pdagKPQlNiLvi99oXj9NYf/view?usp=sharing</t>
  </si>
  <si>
    <t>https://drive.google.com/file/d/1AhXhHoX6FgvW7Ou0dPieF7aI2AQZcyLE/view?usp=sharing</t>
  </si>
  <si>
    <t>https://drive.google.com/file/d/1AdtIZYTYUk6YQvvZjtqyAahpMB2WxmYf/view?usp=sharing</t>
  </si>
  <si>
    <t>https://drive.google.com/file/d/1ATUqtpaogxjXHZuvMaLAmAgu-6glGcUJ/view?usp=sharing</t>
  </si>
  <si>
    <t>https://drive.google.com/file/d/1APFHAygEFEgfnoXgmERL-Y3Q_fIgj-J0/view?usp=sharing</t>
  </si>
  <si>
    <t>https://drive.google.com/file/d/1Bnqn2sDYF2o5Tg_cV-bjq4hRy9BXl8hT/view?usp=sharing</t>
  </si>
  <si>
    <t>https://drive.google.com/file/d/1BlPbFZsyg5a15zG_l_1lMDF10m72LPTS/view?usp=sharing</t>
  </si>
  <si>
    <t>https://drive.google.com/file/d/1BjrkmxrHY0K6p0Q-jaNtq6e5QEyQg1Jp/view?usp=sharing</t>
  </si>
  <si>
    <t>30AA 23M ACCORD DIRVE</t>
  </si>
  <si>
    <t>https://drive.google.com/file/d/1BfU0Kysuni_gMZtzqJ8YGQVHLdRfGj8R/view?usp=sharing</t>
  </si>
  <si>
    <t>P702 -GAP HIDER</t>
  </si>
  <si>
    <t>https://drive.google.com/file/d/1B_66pjl44AtWUTaNtTCYGiEz370KOWgg/view?usp=sharing</t>
  </si>
  <si>
    <t>CX483-LH MID TOPPER</t>
  </si>
  <si>
    <t>https://drive.google.com/file/d/1BVzeS8oEBmFDz2CQmPPjkvj9EWUF9Iu5/view?usp=sharing</t>
  </si>
  <si>
    <t>https://drive.google.com/file/d/1BVx0Ji53d70-gjAC9ZpLAG7vXZXhKcSb/view?usp=sharing</t>
  </si>
  <si>
    <t>https://drive.google.com/file/d/1BHv-ejLctGMKyQt_nRqOgP5kFxFyRbUS/view?usp=sharing</t>
  </si>
  <si>
    <t>https://drive.google.com/file/d/1BGSqHdirnC7-R0C7JRn3VIvgCur9PPDn/view?usp=sharing</t>
  </si>
  <si>
    <t>https://drive.google.com/file/d/1BGJeZJL0u-Ga-ML8bHNe_SnlUq1GGYEA/view?usp=sharing</t>
  </si>
  <si>
    <t>200 GR</t>
  </si>
  <si>
    <t>https://drive.google.com/file/d/1CfOv3IYdVe4ZalSHaFTf--tFm4PXKxKe/view?usp=sharing</t>
  </si>
  <si>
    <t>https://drive.google.com/file/d/1CcC28r2mM9Ph8tKxMIwGC_okvBiGV3_c/view?usp=sharing</t>
  </si>
  <si>
    <t>https://drive.google.com/file/d/1C_vKjZL4nf09-0I8FRi6buAbo-m7mFLl/view?usp=sharing</t>
  </si>
  <si>
    <t>https://drive.google.com/file/d/1CUVVlYGW2Ex8LAE9zprfMSK3W7cLSI72/view?usp=sharing</t>
  </si>
  <si>
    <t>LD/LX CONSOLE LID CPK</t>
  </si>
  <si>
    <t>https://drive.google.com/file/d/1CSVso7B1azDNbjRzttPOw9a6ZDYGRWkg/view?usp=sharing</t>
  </si>
  <si>
    <t>https://drive.google.com/file/d/1CRj1WR37T_N6Nfr5LxwggaHjsqv9OKWG/view?usp=sharing</t>
  </si>
  <si>
    <t>https://drive.google.com/file/d/1CPIJQ9ypvcf6Ma8cQaxp9iZJWigbmfz_/view?usp=sharing</t>
  </si>
  <si>
    <t>https://drive.google.com/file/d/1CIHi4uO87Vs2c9btRZuECV2SwAUMukY3/view?usp=sharing</t>
  </si>
  <si>
    <t>https://drive.google.com/file/d/1CEMDl2a2QvLitG8uAWSk-vIAilKIRt5p/view?usp=sharing</t>
  </si>
  <si>
    <t>https://drive.google.com/file/d/1C61VWz_kuTz0JgTu25BP7HuWiUyLygQF/view?usp=sharing</t>
  </si>
  <si>
    <t>https://drive.google.com/file/d/1C0C0f59dIV6r-nVAYMzXOxYT-csl6atS/view?usp=sharing</t>
  </si>
  <si>
    <t>https://drive.google.com/file/d/1BwvhjX2HGX4SQB8n-7ELRMwHOqx9fmRm/view?usp=sharing</t>
  </si>
  <si>
    <t>RDX SIDE GRARNISH RH/LH</t>
  </si>
  <si>
    <t>https://drive.google.com/file/d/1BqSLoTr_WhKDjs4buEbKMfr3l82gVMDm/view?usp=sharing</t>
  </si>
  <si>
    <t>https://drive.google.com/file/d/1BpRbVbVyv7otTFMAm5xvZqfiQ7gq3PBc/view?usp=sharing</t>
  </si>
  <si>
    <t>https://drive.google.com/file/d/1EoJhLKgERTSUCqZ3WWSUTl5JwiIej3G2/view?usp=sharing</t>
  </si>
  <si>
    <t>https://drive.google.com/file/d/1D7Qcs6M4B4GBQlzL9Q2Z2KOMiMYjn2zu/view?usp=sharing</t>
  </si>
  <si>
    <t>https://drive.google.com/file/d/1D6ZxNpBlJUBoeM6Nyg5aVTqArzgHlI9K/view?usp=sharing</t>
  </si>
  <si>
    <t>ESP-HFIR-208</t>
  </si>
  <si>
    <t>ESP-HFIR-209</t>
  </si>
  <si>
    <t>ESP-HFIR-210</t>
  </si>
  <si>
    <t>ESP-HFIR-211</t>
  </si>
  <si>
    <t>ESP-HFIR-212</t>
  </si>
  <si>
    <t>ESP-HFIR-213</t>
  </si>
  <si>
    <t>ESP-HFIR-214</t>
  </si>
  <si>
    <t>ESP-HFIR-215</t>
  </si>
  <si>
    <t>ESP-HFIR-216</t>
  </si>
  <si>
    <t>ESP-HFIR-217</t>
  </si>
  <si>
    <t>https://drive.google.com/file/d/1D460TiHuQYXyRKiNXYe_8-NSw09dLjsV/view?usp=sharing</t>
  </si>
  <si>
    <t>https://drive.google.com/file/d/1D3nvmGvmCkbLaHLHcS3kxv2qCT8nfGxK/view?usp=sharing</t>
  </si>
  <si>
    <t>JETTA</t>
  </si>
  <si>
    <t>https://drive.google.com/file/d/1D3MjUw9nB8qvylc9aSqwgyrye7MPGSjq/view?usp=sharing</t>
  </si>
  <si>
    <t>https://drive.google.com/file/d/1D2-a5YC2lHv3bKFw34VV_KTOjnAIcIzP/view?usp=sharing</t>
  </si>
  <si>
    <t>https://drive.google.com/file/d/1Cz2qfoSVTdmyYmjpR8mptjUVsCjbHSBA/view?usp=sharing</t>
  </si>
  <si>
    <t>IPF CPK LA FR DAR</t>
  </si>
  <si>
    <t>https://drive.google.com/file/d/1Cylx0XNppS-xkYsfz3yjIK-QrFC4SPlU/view?usp=sharing</t>
  </si>
  <si>
    <t>150 CAL</t>
  </si>
  <si>
    <t>https://drive.google.com/file/d/1CtwfpTVr1h0nLDr-O7g72aS6Vr8ikOCi/view?usp=sharing</t>
  </si>
  <si>
    <t>ESP-HFIR-218</t>
  </si>
  <si>
    <t>ESP-HFIR-219</t>
  </si>
  <si>
    <t>ESP-HFIR-220</t>
  </si>
  <si>
    <t>ESP-HFIR-221</t>
  </si>
  <si>
    <t>ESP-HFIR-222</t>
  </si>
  <si>
    <t>ESP-HFIR-223</t>
  </si>
  <si>
    <t>ESP-HFIR-224</t>
  </si>
  <si>
    <t>ESP-HFIR-225</t>
  </si>
  <si>
    <t>https://drive.google.com/file/d/1ClS99ym1CkhANmaId5iHwajp9LfWC_nK/view?usp=sharing</t>
  </si>
  <si>
    <t>1.5 CAL</t>
  </si>
  <si>
    <t>https://drive.google.com/file/d/1Cl31KHuNqrwAvxnoyXtyrGNwflQBqUVz/view?usp=sharing</t>
  </si>
  <si>
    <t>1/6"</t>
  </si>
  <si>
    <t>https://drive.google.com/file/d/1Dkw9Tp6zSjIivSsr3qeyRzxflRdQ18zG/view?usp=sharing</t>
  </si>
  <si>
    <t>https://drive.google.com/file/d/1DjB6-SCt6bMDA04Zg7nQv6WA4nq_bzeM/view?usp=sharing</t>
  </si>
  <si>
    <t>https://drive.google.com/file/d/1DitAXXXoqxgN1wB_K-5SqSIzU2YLWvkm/view?usp=sharing</t>
  </si>
  <si>
    <t>https://drive.google.com/file/d/1Di_43j50zQjkdXSiXLY9s1zYajCAOSEN/view?usp=sharing</t>
  </si>
  <si>
    <t>https://drive.google.com/file/d/1DgRLM0J22GIjtm6pjZYH1Ef43ETFq4jL/view?usp=sharing</t>
  </si>
  <si>
    <t>https://drive.google.com/file/d/1DeVOlOzhhuyyqBiDb1Jl_rvOv4lJbimm/view?usp=sharing</t>
  </si>
  <si>
    <t>https://drive.google.com/file/d/1Da_ZK5kkcIAgn8xC0x5JwZvvi25VpJfU/view?usp=sharing</t>
  </si>
  <si>
    <t>https://drive.google.com/file/d/1D_P8XpHZ6LNqCoKZKKKooZa0BelUhJ65/view?usp=sharing</t>
  </si>
  <si>
    <t>https://drive.google.com/file/d/1DZPnBJm2W0WskuN1ZE0-GV1RGlhKb6xq/view?usp=sharing</t>
  </si>
  <si>
    <t>https://drive.google.com/file/d/1DRCS3nyuww99w2uzBuQbDP0_Zi2bIHBZ/view?usp=sharing</t>
  </si>
  <si>
    <t>https://drive.google.com/file/d/1DGoL_nbWjTTzbwyrguElT4k3qnIVG_Cz/view?usp=sharing</t>
  </si>
  <si>
    <t>https://drive.google.com/file/d/16VuLNU9jXp2vu-yjL4pADS0GVI5WOwx8/view?usp=sharing</t>
  </si>
  <si>
    <t>https://drive.google.com/file/d/16N5oUp3W8ZnaZ24XJv8l3G498jkA9gzU/view?usp=sharing</t>
  </si>
  <si>
    <t>https://drive.google.com/file/d/16MR1l_A2zHT--v_km8pVSfPuPKdn-Pa0/view?usp=sharing</t>
  </si>
  <si>
    <t>23"X23"X61"</t>
  </si>
  <si>
    <t>https://drive.google.com/file/d/166HwbL7C7Id_26XOIuLN3hydm7kXEld7/view?usp=sharing</t>
  </si>
  <si>
    <t>https://drive.google.com/file/d/165sylN-tFeU-3RfPe7r0b8fLUSNNV3lr/view?usp=sharing</t>
  </si>
  <si>
    <t>https://drive.google.com/file/d/165fLve63G9sH_SEOXyXTXdhlQ-jGeJ3X/view?usp=sharing</t>
  </si>
  <si>
    <t>3X3X86</t>
  </si>
  <si>
    <t>3"X3"X86cm</t>
  </si>
  <si>
    <t>https://drive.google.com/file/d/161mZdbK10_eNY_J0JiPCnocrn4pMqCvK/view?usp=sharing</t>
  </si>
  <si>
    <t>https://drive.google.com/file/d/15lUmNoxhbpdPqwF9-0e84D4tXR6rYfCN/view?usp=sharing</t>
  </si>
  <si>
    <t>https://drive.google.com/file/d/15fKSAoavpfY_CzFcqpri9b2pDMi1IMjy/view?usp=sharing</t>
  </si>
  <si>
    <t>https://drive.google.com/file/d/15eH7Yp6VzGmhWrxnPWpHiBG-2eHMU4wE/view?usp=sharing</t>
  </si>
  <si>
    <t>https://drive.google.com/file/d/15XPnfeiU6V4H0V3iVPSBW2egGRWZyD5V/view?usp=sharing</t>
  </si>
  <si>
    <t>LD/LX CONSOLE</t>
  </si>
  <si>
    <t>https://drive.google.com/file/d/17mnmI11IO0RQ7u7T9kEPhc829McN9_pZ/view?usp=sharing</t>
  </si>
  <si>
    <t>https://drive.google.com/file/d/17ldb-N3qokZtggj0tVNzZVoyqDrw5wnC/view?usp=sharing</t>
  </si>
  <si>
    <t>LD/LX CONSOE</t>
  </si>
  <si>
    <t>https://drive.google.com/file/d/17bnAUMgOG_UYpo7pMdCRep4f48JvMgWL/view?usp=sharing</t>
  </si>
  <si>
    <t>https://drive.google.com/file/d/17J7Ukb_im14KB5UAuh7GKpIgq7Q0QPFJ/view?usp=sharing</t>
  </si>
  <si>
    <t>RDX CENTER CONSOLE LID</t>
  </si>
  <si>
    <t>https://drive.google.com/file/d/1EpaWSrH4qOXY_ax2WnHdKhDlcJSb63v3/view?usp=sharing</t>
  </si>
  <si>
    <t>RDX GLOVER BOX COVER</t>
  </si>
  <si>
    <t>ESP-HFIR-226</t>
  </si>
  <si>
    <t>ESP-HFIR-227</t>
  </si>
  <si>
    <t>ESP-HFIR-228</t>
  </si>
  <si>
    <t>ESP-HFIR-229</t>
  </si>
  <si>
    <t>ESP-HFIR-230</t>
  </si>
  <si>
    <t>ESP-HFIR-231</t>
  </si>
  <si>
    <t>ESP-HFIR-232</t>
  </si>
  <si>
    <t>ESP-HFIR-233</t>
  </si>
  <si>
    <t>ESP-HFIR-234</t>
  </si>
  <si>
    <t>ESP-HFIR-235</t>
  </si>
  <si>
    <t>https://drive.google.com/file/d/1733fJSzySKapnFhm2Nbz2gT7BjE37hYD/view?usp=sharing</t>
  </si>
  <si>
    <t>https://drive.google.com/file/d/172IaSC0D_E75DZlYSLSfg03spuqlzGQH/view?usp=sharing</t>
  </si>
  <si>
    <t>2YN CIVIC 21M/CONSOLE</t>
  </si>
  <si>
    <t>https://drive.google.com/file/d/1727gIj3JfmNYOZ2rKz_XUxJNGsOyyiD7/view?usp=sharing</t>
  </si>
  <si>
    <t>https://drive.google.com/file/d/16vf6ofnoBCld9DJPrkUhRhXfBkyJOxIm/view?usp=sharing</t>
  </si>
  <si>
    <t>https://drive.google.com/file/d/16r89Dl5o8hi-bO7Ed7g4PZSw7Md1ZjZt/view?usp=sharing</t>
  </si>
  <si>
    <t>https://drive.google.com/file/d/16d_WyJl4gui6QTP-ZL_uS2SaWUAwh-p2/view?usp=sharing</t>
  </si>
  <si>
    <t>https://drive.google.com/file/d/16Xh9lueqS-F1oBs6VMa_g8Leoxzj2JCb/view?usp=sharing</t>
  </si>
  <si>
    <t>https://drive.google.com/file/d/192LuD3COII--jV866KWlyQej4GwveIlj/view?usp=sharing</t>
  </si>
  <si>
    <t>https://drive.google.com/file/d/18zwwaH-k4Wm3NT-JKqQEG6ummYRc2LlY/view?usp=sharing</t>
  </si>
  <si>
    <t>https://drive.google.com/file/d/18wSBGMCSH_QcexB2-7DuT8NWt4Ov08w6/view?usp=sharing</t>
  </si>
  <si>
    <t>https://drive.google.com/file/d/18uXbbwI83dXcHIeUOFfh9L6HOEOTu9wl/view?usp=sharing</t>
  </si>
  <si>
    <t>https://drive.google.com/file/d/18e06R-MfjzGFO5DE8hoSeHzZIzDkJxw2/view?usp=sharing</t>
  </si>
  <si>
    <t>https://drive.google.com/file/d/18UpjukM3F55CYUO1WNnPPRVh34_XiCG-/view?usp=sharing</t>
  </si>
  <si>
    <t>https://drive.google.com/file/d/18TZzEjcyjODuSEepnlVZMPZ5qlcxV5AD/view?usp=sharing</t>
  </si>
  <si>
    <t>https://drive.google.com/file/d/18I64qaJ6od2AlqrHC0TOvkHyvOw7ajK0/view?usp=sharing</t>
  </si>
  <si>
    <t>https://drive.google.com/file/d/1839lKRmBkE0wANiy1Tgn15BkYOZ4JmE1/view?usp=sharing</t>
  </si>
  <si>
    <t>https://drive.google.com/file/d/1OAQmt-tz--RQquYQHWzP8qkZISQ4e__R/view?usp=sharing</t>
  </si>
  <si>
    <t>https://drive.google.com/file/d/1IsQbfaNWA4Sezp6mCGpk_-wnr-CDHSGB/view?usp=sharing</t>
  </si>
  <si>
    <t>https://drive.google.com/file/d/1RyODMK2GMSzy47qvJ8UxF7WD8qMJa9Kj/view?usp=sharing</t>
  </si>
  <si>
    <t>https://drive.google.com/file/d/1ImU4IE3GNv55VZ0N-gMgpcTbvh0PN17l/view?usp=sharing</t>
  </si>
  <si>
    <t>https://drive.google.com/file/d/10XBVnLi2FeMLaWSF5eVhBrHhyfl72OsI/view?usp=sharing</t>
  </si>
  <si>
    <t>MALIBU CONSOLE EX2022-312</t>
  </si>
  <si>
    <t>https://drive.google.com/file/d/1-VB9x1OslAXIktokRU2xbTEcpfU6IK8t/view?usp=sharing</t>
  </si>
  <si>
    <t>https://drive.google.com/file/d/1E5MMIRArlBtIn7h6lCEKo72oQUGGBe0h/view?usp=sharing</t>
  </si>
  <si>
    <t>https://drive.google.com/file/d/1yq1qLGGaAAjqwP4uI4_HfzCX0wUhemsd/view?usp=sharing</t>
  </si>
  <si>
    <t>60.9X50.9X36.8</t>
  </si>
  <si>
    <t>ESP-HFIR-236</t>
  </si>
  <si>
    <t>ESP-HFIR-237</t>
  </si>
  <si>
    <t>https://drive.google.com/file/d/1E-oC5-lgO4l5LcF6oYnTr-b_r4fzIYIu/view?usp=sharing</t>
  </si>
  <si>
    <t>https://drive.google.com/file/d/1DwSDFFRcJ7GUpyrDSuDPyOphyYytSoyD/view?usp=sharing</t>
  </si>
  <si>
    <t>https://drive.google.com/file/d/1E4-If_TFT3MMfPTJYmiTgvGL4KCzlFSZ/view?usp=sharing</t>
  </si>
  <si>
    <t>2TN PALMREST</t>
  </si>
  <si>
    <t>https://drive.google.com/file/d/1E5pSfRnLnyNrUeRku6qtjzdWJckw2CzV/view?usp=sharing</t>
  </si>
  <si>
    <t>https://drive.google.com/file/d/1EmLTe_ZyWptyT5K-zDVtiMzN24jtZPkf/view?usp=sharing</t>
  </si>
  <si>
    <t>https://drive.google.com/file/d/1EyYDVzdmDYPj45KvfwEqNpztn695ygVh/view?usp=sharing</t>
  </si>
  <si>
    <t>https://drive.google.com/file/d/1FBSiofRk4ux-FFpfo8BKac8sBw06tUXG/view?usp=sharing</t>
  </si>
  <si>
    <t>https://drive.google.com/file/d/1FBfCmw3YckNLN1-C0vV1vHcGzdRD_LBO/view?usp=sharing</t>
  </si>
  <si>
    <t>https://drive.google.com/file/d/1FL3HGKlDWoFg__ZOZ8fgoUYGZcFAu-pw/view?usp=sharing</t>
  </si>
  <si>
    <t>https://drive.google.com/file/d/1FLS8G25c3XFCVeLelmZGB0tdSz96uL2s/view?usp=sharing</t>
  </si>
  <si>
    <t>https://drive.google.com/file/d/1FQJFu_2MmCxfE65iz6PYeSO3xfpzHnEp/view?usp=sharing</t>
  </si>
  <si>
    <t>https://drive.google.com/file/d/1FRAJouzpK8ys38jSvqD1drRR7v-fz3Fv/view?usp=sharing</t>
  </si>
  <si>
    <t>https://drive.google.com/file/d/1FWwmyReLjpCW00HlVsOl9WMmzPlslNhP/view?usp=sharing</t>
  </si>
  <si>
    <t>https://drive.google.com/file/d/1FYLUIJSL0YfqwxPYhhn4phI9rgsZuoy6/view?usp=sharing</t>
  </si>
  <si>
    <t>https://drive.google.com/file/d/1F_sDnw62QiXnbeN5yw69rL9NQ3hWVYqh/view?usp=sharing</t>
  </si>
  <si>
    <t>https://drive.google.com/file/d/1FfP9auLWs4ArUrd-8DWfRlEeK2FREpu5/view?usp=sharing</t>
  </si>
  <si>
    <t>https://drive.google.com/file/d/1FrevntkdQO5sO8hqE61JLVmcWTzrZ1sJ/view?usp=sharing</t>
  </si>
  <si>
    <t>https://drive.google.com/file/d/1G4VzobDR6j_bGMQiwxpB1Nk5x07m1MfN/view?usp=sharing</t>
  </si>
  <si>
    <t>https://drive.google.com/file/d/1G4sejN9J_3Bwr5Zfh9fM9gq0Xgjnn5Kv/view?usp=sharing</t>
  </si>
  <si>
    <t>https://drive.google.com/file/d/1G4smoYp7DY6ZmBcc71G5yx1B9Qyqh84C/view?usp=sharing</t>
  </si>
  <si>
    <t>https://drive.google.com/file/d/1GA8_n1Q0z-x20YboTI5DBpwKehWt4UQz/view?usp=sharing</t>
  </si>
  <si>
    <t>https://drive.google.com/file/d/1GDtHJqMf6LZ6CNsmQK21_ekvJHdq-bmQ/view?usp=sharing</t>
  </si>
  <si>
    <t>https://drive.google.com/file/d/1GFkVf372_3e8m8l5AKTOtgYBgRmNakrK/view?usp=sharing</t>
  </si>
  <si>
    <t>https://drive.google.com/file/d/1fClKJlbn4loXhumIxUFUhJ6P4gXaaMKV/view?usp=sharing</t>
  </si>
  <si>
    <t>https://drive.google.com/file/d/1R5W10W-sKZv3IXiKdFMWpjDoBLXKPvSW/view?usp=sharing</t>
  </si>
  <si>
    <t>https://drive.google.com/file/d/1QZ_ndUxszXwIAv8TqgeSh01Ln0t-ugbv/view?usp=sharing</t>
  </si>
  <si>
    <t>https://drive.google.com/file/d/11kZkdSlObwhqWvQc9RShJLQytTguiSDf/view?usp=sharing</t>
  </si>
  <si>
    <t>https://drive.google.com/file/d/11jqVMYKbvSmMG-eA01u4m-QCQK1TmMv8/view?usp=sharing</t>
  </si>
  <si>
    <t>https://drive.google.com/file/d/11frLEijHvDpPubKEkE7F4kCNkbOcdJh0/view?usp=sharing</t>
  </si>
  <si>
    <t>47-0785</t>
  </si>
  <si>
    <t>TOYOTA</t>
  </si>
  <si>
    <t>ESP-SIT-055</t>
  </si>
  <si>
    <t>ESP-SIT-056</t>
  </si>
  <si>
    <t>46-0919</t>
  </si>
  <si>
    <t>https://drive.google.com/file/d/1GzYmqDc-6hKxj6XTYEQWjyyNebfxqSXq/view?usp=drive_link</t>
  </si>
  <si>
    <t>https://drive.google.com/file/d/1GzydwEC19PYUmn_xvByQESUCcJp3vvwL/view?usp=drive_link</t>
  </si>
  <si>
    <t>300 GRS</t>
  </si>
  <si>
    <t>PL624 / 1</t>
  </si>
  <si>
    <t>PL624 / 2</t>
  </si>
  <si>
    <t>PL624 / 3</t>
  </si>
  <si>
    <t>PL624 / 4</t>
  </si>
  <si>
    <t>PL624 (LOWER CENTER)</t>
  </si>
  <si>
    <t>ESP-HFIR-238</t>
  </si>
  <si>
    <t>ESP-HFIR-239</t>
  </si>
  <si>
    <t>ESP-HFIR-240</t>
  </si>
  <si>
    <t>ESP-HFIR-241</t>
  </si>
  <si>
    <t>ESP-HFIR-242</t>
  </si>
  <si>
    <t>ESP-HFIR-243</t>
  </si>
  <si>
    <t>ESP-HFIR-244</t>
  </si>
  <si>
    <t>ESP-HFIR-245</t>
  </si>
  <si>
    <t>ESP-HFIR-246</t>
  </si>
  <si>
    <t>ESP-HFIR-247</t>
  </si>
  <si>
    <t>1"</t>
  </si>
  <si>
    <t>PL629 / 1</t>
  </si>
  <si>
    <t>PL629 (KNEE BOLSTER)</t>
  </si>
  <si>
    <t>PL629 / 2</t>
  </si>
  <si>
    <t>PL629 / 3</t>
  </si>
  <si>
    <t>PL629 / 4</t>
  </si>
  <si>
    <t>PKG0189</t>
  </si>
  <si>
    <t>C/LENTE</t>
  </si>
  <si>
    <t>ESP-DAI-215</t>
  </si>
  <si>
    <t>https://drive.google.com/file/d/1H9Y7MVJgTq7RymPefchAFgbrp3on_aEo/view?usp=sharing</t>
  </si>
  <si>
    <t>https://drive.google.com/file/d/1HAO1BsF5UicmPwSCVDTsXj-B3_jp5sNT/view?usp=sharing</t>
  </si>
  <si>
    <t>PKG0271</t>
  </si>
  <si>
    <t>113X97X68</t>
  </si>
  <si>
    <t>114X98X10</t>
  </si>
  <si>
    <t>112X96</t>
  </si>
  <si>
    <t>ESP-DYP-001</t>
  </si>
  <si>
    <t>ESP-DYP-002</t>
  </si>
  <si>
    <t>ESP-DYP-003</t>
  </si>
  <si>
    <t>ESP-DYP-004</t>
  </si>
  <si>
    <t>https://drive.google.com/file/d/1HKw_tys9SLKO-EpGAJGOzrUOYTSLugcg/view?usp=sharing</t>
  </si>
  <si>
    <t>https://drive.google.com/file/d/1HTAleeYEE2SSmH0OlZbLHN36O0Ocy4W0/view?usp=drive_link</t>
  </si>
  <si>
    <t>https://drive.google.com/file/d/1HYg2CHSCFmNKJ5MAYGzrkLgncfWYI2x8/view?usp=drive_link</t>
  </si>
  <si>
    <t>60X27X20</t>
  </si>
  <si>
    <t>https://drive.google.com/file/d/1HhiQmHIeaRrOSsgTUrGaz4yu7RFcNEfm/view?usp=drive_link</t>
  </si>
  <si>
    <t>60X40X29</t>
  </si>
  <si>
    <t>60X40X6</t>
  </si>
  <si>
    <t>60X40</t>
  </si>
  <si>
    <t>https://drive.google.com/file/d/1IUrYpv_aqhqGVbbwovSAM_f5lx28AshU/view?usp=drive_link</t>
  </si>
  <si>
    <t>https://drive.google.com/file/d/1IXEQjqN4hPGiHt-WYexs3LRctV3sMlHK/view?usp=drive_link</t>
  </si>
  <si>
    <t>https://drive.google.com/file/d/1Ief_YMYLzR0D3EikVcLfBwwlJP2zwh8_/view?usp=drive_link</t>
  </si>
  <si>
    <t>SIDE COVER</t>
  </si>
  <si>
    <t>55x59X10</t>
  </si>
  <si>
    <t>5F</t>
  </si>
  <si>
    <t>ESP-DSO-081</t>
  </si>
  <si>
    <t>TAPA 5F</t>
  </si>
  <si>
    <t>ESP-DSO-082</t>
  </si>
  <si>
    <t>ESP-DSO-083</t>
  </si>
  <si>
    <t>ESP-DSO-084</t>
  </si>
  <si>
    <t>ESP-DSO-085</t>
  </si>
  <si>
    <t>ESP-DSO-087</t>
  </si>
  <si>
    <t>ESP-DSO-088</t>
  </si>
  <si>
    <t>ESP-DSO-089</t>
  </si>
  <si>
    <t>ESP-DSO-090</t>
  </si>
  <si>
    <t>ESP-DSO-091</t>
  </si>
  <si>
    <t>https://drive.google.com/file/d/1Ig3c2TnzZ88tcqlLmSqLoc0m5QUHVpJt/view?usp=sharing</t>
  </si>
  <si>
    <t>https://drive.google.com/file/d/1IqtDxXaMzRI_g5yfoheuWlpkEx_M-xB6/view?usp=sharing</t>
  </si>
  <si>
    <t>26X32X39</t>
  </si>
  <si>
    <t>38X36X25</t>
  </si>
  <si>
    <t>MX-PCK-0127</t>
  </si>
  <si>
    <t>ESP-PP-023</t>
  </si>
  <si>
    <t>ESP-PP-024</t>
  </si>
  <si>
    <t>ESP-PP-025</t>
  </si>
  <si>
    <t>ESP-PP-026</t>
  </si>
  <si>
    <t>14 7/8" X 13 7/8" X 9 1/8"</t>
  </si>
  <si>
    <t>19X13X21</t>
  </si>
  <si>
    <t>MX-PKC-0079</t>
  </si>
  <si>
    <t>https://drive.google.com/file/d/1JBXUR8aORwbGRiqCxXn5XIlHoYBS8yD0/view?usp=drive_link</t>
  </si>
  <si>
    <t>https://drive.google.com/file/d/1JAIQn2GnCVtbVpzTsv1tKbosmv3OV9s1/view?usp=drive_link</t>
  </si>
  <si>
    <t>https://drive.google.com/file/d/1J7l67IhAb6veee_982T1nDdZsy5b6J2-/view?usp=drive_link</t>
  </si>
  <si>
    <t>https://drive.google.com/file/d/1J6Qb1NKCqnPD1JXVJcB3bpl91Nzj2KkT/view?usp=drive_link</t>
  </si>
  <si>
    <t>CARRETES</t>
  </si>
  <si>
    <t>10 X 10 X 5"</t>
  </si>
  <si>
    <t>MX-PCK-0136</t>
  </si>
  <si>
    <t>ESP-PP-027</t>
  </si>
  <si>
    <t>https://drive.google.com/file/d/1JFuco1pX76JCnZXbrZcuwru8zBOSAJS4/view?usp=drive_link</t>
  </si>
  <si>
    <t>PANEL ASM L/P LWE CTR TR</t>
  </si>
  <si>
    <t>ESP-SDC-009</t>
  </si>
  <si>
    <t>ESP-SDC-011</t>
  </si>
  <si>
    <t>ESP-SDC-013</t>
  </si>
  <si>
    <t>https://drive.google.com/file/d/1FiM449UqG2tZzCtyLAnLlD9RDC0Lqj1J/view?usp=sharing</t>
  </si>
  <si>
    <t>https://drive.google.com/file/d/1hqh3ciCRprV9sesbPR6drAXEFhOlSkvR/view?usp=drive_link</t>
  </si>
  <si>
    <t>https://drive.google.com/file/d/1hvAeENKlPfmbkPG7Q2jAWD1aNmc-r67d/view?usp=drive_link</t>
  </si>
  <si>
    <t>https://drive.google.com/file/d/1hwl1CBzGJmaLScFGxkP0_GXJVTXmp42T/view?usp=drive_link</t>
  </si>
  <si>
    <t>1 CM</t>
  </si>
  <si>
    <t>118790804-01</t>
  </si>
  <si>
    <t>45'X42'</t>
  </si>
  <si>
    <t>ESP-GH-093</t>
  </si>
  <si>
    <t>ESP-GH-094</t>
  </si>
  <si>
    <t>ESP-GH-095</t>
  </si>
  <si>
    <t>ESP-GH-096</t>
  </si>
  <si>
    <t>129510810-01</t>
  </si>
  <si>
    <t>PKG-062</t>
  </si>
  <si>
    <t>45"X42"</t>
  </si>
  <si>
    <t>FADA</t>
  </si>
  <si>
    <t>Cubrebocas</t>
  </si>
  <si>
    <t>Caja troquelada</t>
  </si>
  <si>
    <t>ESP-AUT-003</t>
  </si>
  <si>
    <t>ESP-AUT-004</t>
  </si>
  <si>
    <t>ESP-AUT-005</t>
  </si>
  <si>
    <t>BMW/CIYC</t>
  </si>
  <si>
    <t>SUAJE PLANO</t>
  </si>
  <si>
    <t>SEPARADOR TRQ</t>
  </si>
  <si>
    <t>1600090M</t>
  </si>
  <si>
    <t>1600091M</t>
  </si>
  <si>
    <t>1600040M</t>
  </si>
  <si>
    <t>1600041M</t>
  </si>
  <si>
    <t>POLARIS (RETURN TO WOODBRIDGE)</t>
  </si>
  <si>
    <t>https://drive.google.com/file/d/1iPIBsXC29Oz7RYf0O3V0N5i5h38eOABG/view?usp=drive_link</t>
  </si>
  <si>
    <t>ESP-AUT-006</t>
  </si>
  <si>
    <t>(POLARIS) RETURN TO AUTOTRIM</t>
  </si>
  <si>
    <t>https://drive.google.com/file/d/1iR9WYdLkk_8mAlmTmWIntOuUutUCmayL/view?usp=drive_link</t>
  </si>
  <si>
    <t>ESP-TT-099</t>
  </si>
  <si>
    <t>https://drive.google.com/file/d/1iUFJkD1eJWc-9nWI6OcvEs_sg7DtXwat/view?usp=drive_link</t>
  </si>
  <si>
    <t>RETURN TO AUTOTRIM (POLARIS)</t>
  </si>
  <si>
    <t>CONSOLE ARMREST (U717) #7</t>
  </si>
  <si>
    <t>RH AND LH RAILS 40CAV (U717) #8</t>
  </si>
  <si>
    <t>CPK LB 25M SIDE PANEL</t>
  </si>
  <si>
    <t>https://drive.google.com/file/d/1in-jiEZ0_qNJB1Zt10SBBC_Rc1z4CTP5/view?usp=drive_link</t>
  </si>
  <si>
    <t>40"X24"X11"</t>
  </si>
  <si>
    <t>https://drive.google.com/file/d/1iqy1YHOtzw0_dQxC-5PgtfHxsL2YvKQf/view?usp=drive_link</t>
  </si>
  <si>
    <t>https://drive.google.com/file/d/1iwx04XjguXS9Ssl4XJhTbwCRTXdLoax4/view?usp=drive_link</t>
  </si>
  <si>
    <t>https://drive.google.com/file/d/1j1P3SVZ_aBbye5XkaPntQWz9wbWVd18b/view?usp=sharing</t>
  </si>
  <si>
    <t>https://drive.google.com/file/d/1j3XBXgVqKDVxCfjr7IpcNXaB0GJ3i3IG/view?usp=drive_link</t>
  </si>
  <si>
    <t>https://drive.google.com/file/d/1j54CzZ5sQVIyLnbzh5RBzl9GkIwjR7jv/view?usp=drive_link</t>
  </si>
  <si>
    <t>https://drive.google.com/file/d/1jRvn_gcwf1DMXmMOgfHUrZgHZ4fNUGoz/view?usp=drive_link</t>
  </si>
  <si>
    <t>https://drive.google.com/file/d/1jVM0fuf0nR1gsfH3-xnodGEbKKvUIJUQ/view?usp=sharing</t>
  </si>
  <si>
    <t>1st ROW UPPER SIDE RAIL LH/RH (U718)</t>
  </si>
  <si>
    <t>https://drive.google.com/file/d/1jXU68mLTM9B-lAL3z04L6UopZDlyATTh/view?usp=drive_link</t>
  </si>
  <si>
    <t>https://drive.google.com/file/d/1japodpO4VDgOHZzKqYoZ6evQUFGxCcPT/view?usp=drive_link</t>
  </si>
  <si>
    <t>FRONT CENTER RAIL/LOWER SIDE RAIL (U718)</t>
  </si>
  <si>
    <t>https://drive.google.com/file/d/1jdZ5Mys8CpYdqY-hpMUGnd2mvNIFRYo4/view?usp=drive_link</t>
  </si>
  <si>
    <t>https://drive.google.com/file/d/1jmsLn20yo9e7no780Dt0P4gtXTjZRu9V/view?usp=drive_link</t>
  </si>
  <si>
    <t>https://drive.google.com/file/d/1k0heZpYLKV3yg8uaK7WveaCTpCdMfz40/view?usp=drive_link</t>
  </si>
  <si>
    <t>https://drive.google.com/file/d/1k1Zp_HwcJwckKLMc0NpPiq2EOME9zh73/view?usp=drive_link</t>
  </si>
  <si>
    <t>https://drive.google.com/file/d/1k1xlr_tRKy4w4apRwU4tswWVDoEjAse0/view?usp=drive_link</t>
  </si>
  <si>
    <t>https://drive.google.com/file/d/1kBDXLvGiTAJlgIHXXIp5woybq44IpXip/view?usp=drive_link</t>
  </si>
  <si>
    <t>https://drive.google.com/file/d/1kCanDcp8O0uE28T-FK89VOdTM8w8Gfwi/view?usp=sharing</t>
  </si>
  <si>
    <t>https://drive.google.com/file/d/1kEw_EFAL-nFdrP-pJVOO-DiWOvc_byby/view?usp=sharing</t>
  </si>
  <si>
    <t>https://drive.google.com/file/d/1kIJfpKnJBX7hetFvaMc2k2KDUHh2uKj0/view?usp=sharing</t>
  </si>
  <si>
    <t>https://drive.google.com/file/d/1kIqp4v3JL-n_eER1d8soXUgSdlZdfpx4/view?usp=sharing</t>
  </si>
  <si>
    <t>https://drive.google.com/file/d/1kKvHI9p7QeTfi4Pz_UjbKniOONpmY4lS/view?usp=sharing</t>
  </si>
  <si>
    <t>https://drive.google.com/file/d/1kQONbpzQyZG-SvXrLNduGjfoyPufBjgh/view?usp=sharing</t>
  </si>
  <si>
    <t>ESP-DAI-216</t>
  </si>
  <si>
    <t>ESP-DAI-217</t>
  </si>
  <si>
    <t>CARGO</t>
  </si>
  <si>
    <t>1st Row Lower Panel LH/RH (U718)</t>
  </si>
  <si>
    <t>F68 SUB ASSY RR COVERED VINYC (U718)</t>
  </si>
  <si>
    <t>F68 SUB ASSY RR COVERED LEATHER (U718)</t>
  </si>
  <si>
    <t>RC UPPER SIDE RAIL (U718)</t>
  </si>
  <si>
    <t>FRONT CENTER RAIL (U718)</t>
  </si>
  <si>
    <t>1ST ROW CONSOLE ARMREST LH-RH (U718)</t>
  </si>
  <si>
    <t>2ND ROW CONSOLE ARMREST LH (U718)</t>
  </si>
  <si>
    <t>SHIFFTER CLOSEOUT COVER SL7B (U718)</t>
  </si>
  <si>
    <t xml:space="preserve">(#14) 61X37X33.5 </t>
  </si>
  <si>
    <t>FALCON</t>
  </si>
  <si>
    <t>PKG0370</t>
  </si>
  <si>
    <t>PKG0369</t>
  </si>
  <si>
    <t>EVEREST</t>
  </si>
  <si>
    <t>ESP-DAI-218</t>
  </si>
  <si>
    <t>ESP-DAI-219</t>
  </si>
  <si>
    <t>ESP-DAI-220</t>
  </si>
  <si>
    <t>ESP-DAI-221</t>
  </si>
  <si>
    <t>7-I</t>
  </si>
  <si>
    <t>https://drive.google.com/file/d/1-Vo4yBZxKiDkV0BGNl_UU6U72lQ-nVWs/view?usp=sharing</t>
  </si>
  <si>
    <t>https://drive.google.com/file/d/1-LugGCFTzl67mFW7Xdz1dTVy45qw9dOV/view?usp=drive_link</t>
  </si>
  <si>
    <t>https://drive.google.com/file/d/1-OqX_yZBsecF9Kpk2bwEfmbvzh-uQSt4/view?usp=drive_link</t>
  </si>
  <si>
    <t>https://drive.google.com/file/d/1-P3hvsUhmSikWeW5MkvlucLNO74xYVam/view?usp=drive_link</t>
  </si>
  <si>
    <t>https://drive.google.com/file/d/1-RCMfbnboLvo0yIMFpeBNHCGdGfy3_D9/view?usp=drive_link</t>
  </si>
  <si>
    <t>PKG0368</t>
  </si>
  <si>
    <t>CAL-160</t>
  </si>
  <si>
    <t>ESP-DAI-222</t>
  </si>
  <si>
    <t>https://drive.google.com/file/d/1-WoZHAuA94e80YMDkczFT1xb8dC6Q6Wb/view?usp=sharing</t>
  </si>
  <si>
    <t>1719003-2</t>
  </si>
  <si>
    <t>1719004-2</t>
  </si>
  <si>
    <t>LB49 25M FR/RR DOOR UPPER</t>
  </si>
  <si>
    <t>ESP-HFIR-249</t>
  </si>
  <si>
    <t>ESP-HFIR-250</t>
  </si>
  <si>
    <t>ESP-HFIR-251</t>
  </si>
  <si>
    <t>https://drive.google.com/file/d/1TiioAIYOUPzkipX91UCogXHwu-JHuAB0/view?usp=drive_link</t>
  </si>
  <si>
    <t>https://drive.google.com/file/d/1--yKN0wXlCgooh2G9kDfEdt8HI12wErN/view?usp=drive_link</t>
  </si>
  <si>
    <t>https://drive.google.com/file/d/1-1khkOa7ZGnbt0mNZgp5asg29Murv7p5/view?usp=drive_link</t>
  </si>
  <si>
    <t>CAJA TUNDRA</t>
  </si>
  <si>
    <t>TAPA TUNDRA</t>
  </si>
  <si>
    <t>660-B</t>
  </si>
  <si>
    <t>ESP-LS-003</t>
  </si>
  <si>
    <t>ESP-LS-004</t>
  </si>
  <si>
    <t>ESP-LS-005</t>
  </si>
  <si>
    <t>ESP-LS-006</t>
  </si>
  <si>
    <t xml:space="preserve">7-I </t>
  </si>
  <si>
    <t>https://drive.google.com/open?id=1-LoMrI3yOlJsBf_QweCh1bOr2dmfb734&amp;usp=drive_fs</t>
  </si>
  <si>
    <t>https://drive.google.com/open?id=1-DE_PWolaT_4_5DiScXT397RF4PwxvMv&amp;usp=drive_fs</t>
  </si>
  <si>
    <t>https://drive.google.com/open?id=1-JI2TZn6XVxN0z9mP32vEXCp669Riq2F&amp;usp=drive_fs</t>
  </si>
  <si>
    <t>https://drive.google.com/open?id=1-DvLfuurf1HkaZbKHo7rBXBdKv7ih8u_&amp;usp=drive_fs</t>
  </si>
  <si>
    <t>TAPA TELESCOPIA</t>
  </si>
  <si>
    <t>LB49 DAR FORNT ASSY</t>
  </si>
  <si>
    <t>ESP-HFIR-252</t>
  </si>
  <si>
    <t>ESP-HFIR-253</t>
  </si>
  <si>
    <t>ESP-HFIR-254</t>
  </si>
  <si>
    <t>ESP-HFIR-255</t>
  </si>
  <si>
    <t>ESP-HFIR-256</t>
  </si>
  <si>
    <t>https://drive.google.com/open?id=1-rSUECAoebRojGojUOtgUkKHC_O6Nqgv&amp;usp=drive_fs</t>
  </si>
  <si>
    <t>https://drive.google.com/open?id=1-sU9GYfWMvuNkPpFh2P2qHfIK2ObkNW4&amp;usp=drive_fs</t>
  </si>
  <si>
    <t>https://drive.google.com/open?id=1-tFhZ9VXlYJgjGdc4JvVCXZ5pT48H4B1&amp;usp=drive_fs</t>
  </si>
  <si>
    <t>https://drive.google.com/open?id=102JhdUPhhbYuP7OonOhJnrjEjZf-WySU&amp;usp=drive_fs</t>
  </si>
  <si>
    <t>https://drive.google.com/open?id=103UWb_y8VaLS9NEj_ZAf4KrbwmxLMYu8&amp;usp=drive_fs</t>
  </si>
  <si>
    <t>https://drive.google.com/open?id=10CiVlfhxbBvVo5Osgvsf9dFGwyvek2uK&amp;usp=drive_fs</t>
  </si>
  <si>
    <t>https://drive.google.com/open?id=10L68vsTYKQFMWlOkqUldBZnyHsGLX6Ye&amp;usp=drive_fs</t>
  </si>
  <si>
    <t>https://drive.google.com/open?id=10LBXGUolLd_QwwAkvcHnJ5uXKLWHrKcr&amp;usp=drive_fs</t>
  </si>
  <si>
    <t>PKG-LS1220</t>
  </si>
  <si>
    <t>30AA 23M CONSOLE LID</t>
  </si>
  <si>
    <t>ESP-HFIR-257</t>
  </si>
  <si>
    <t>ESP-HFIR-258</t>
  </si>
  <si>
    <t>ESP-HFIR-259</t>
  </si>
  <si>
    <t>1.2MIL</t>
  </si>
  <si>
    <t>30AA 23M SIDE GARNISH</t>
  </si>
  <si>
    <t xml:space="preserve"> (#5) 1500874M</t>
  </si>
  <si>
    <t xml:space="preserve"> (#5) 1500873M</t>
  </si>
  <si>
    <t>(#6) 1500853M</t>
  </si>
  <si>
    <t>(#6) 1500854M</t>
  </si>
  <si>
    <t>(#8) 1500856M</t>
  </si>
  <si>
    <t>(#8) 1500857M</t>
  </si>
  <si>
    <t>(#7) 1500866M</t>
  </si>
  <si>
    <t>(#10) 1500862M</t>
  </si>
  <si>
    <t>(#10) 1500863M</t>
  </si>
  <si>
    <t>(#13) 1500859M</t>
  </si>
  <si>
    <t>(#11) 1500868M</t>
  </si>
  <si>
    <t>(#11) 1500869M</t>
  </si>
  <si>
    <t>(#12) 1500850M</t>
  </si>
  <si>
    <t>(#12) 1500851M</t>
  </si>
  <si>
    <t>(#13) 1500860M</t>
  </si>
  <si>
    <t>(#15) 1500876M</t>
  </si>
  <si>
    <t>(#15) 1500877M</t>
  </si>
  <si>
    <t>MOPAR CH (SIN IMPRESÓN)</t>
  </si>
  <si>
    <t>MOPAR M (SIN IMPRESIÓN)</t>
  </si>
  <si>
    <t>MOPAR CH (SIN IMPRESIÓN)</t>
  </si>
  <si>
    <t>MOPAR G (SIN IMPRESIÓN)</t>
  </si>
  <si>
    <t>https://drive.google.com/open?id=10dtJdquRc0AmUab66gXYvevBg2I35o_-&amp;usp=drive_fs</t>
  </si>
  <si>
    <t>https://drive.google.com/open?id=10j6_AQ2FRvVPPn0qaFZJlA-OkqyUgUOb&amp;usp=drive_fs</t>
  </si>
  <si>
    <t>https://drive.google.com/open?id=10mKB5pdfHX-pNuYkMX-0Z7EhgpygEH_a&amp;usp=drive_fs</t>
  </si>
  <si>
    <t>HONDA MX (SIN IMPRESIÓN)</t>
  </si>
  <si>
    <t>LEXUS TOYOTA (SIN IMPRESIÓN)</t>
  </si>
  <si>
    <t>ESP-DAI-223</t>
  </si>
  <si>
    <t>https://drive.google.com/open?id=10qzrwAfiG1zS1BThy-8086asIG80Xl0W&amp;usp=drive_fs</t>
  </si>
  <si>
    <t>DESPENSA ARTEAGA</t>
  </si>
  <si>
    <t>ESP-MAR-017</t>
  </si>
  <si>
    <t>ESP-MAR-018</t>
  </si>
  <si>
    <t>1562038/TAPA</t>
  </si>
  <si>
    <t>1564017/TAPA</t>
  </si>
  <si>
    <t>1438024/TAPA</t>
  </si>
  <si>
    <t>1433028/TAPA</t>
  </si>
  <si>
    <t>1432018/TAPA</t>
  </si>
  <si>
    <t>1566022/TAPA</t>
  </si>
  <si>
    <t xml:space="preserve">PANEL ASM-I/P UPR TR-LH (PL562)UPPER LEFT </t>
  </si>
  <si>
    <t>PANEL ASM-I/P LWR TR START/STOP SW PANEL</t>
  </si>
  <si>
    <t>T1UL PAD ASM-I/P TR LH (PL438) DRIVE MID PANEL</t>
  </si>
  <si>
    <t>T1UL PANEL ASM-I/P LWR TR-RH (PL433,PL623)</t>
  </si>
  <si>
    <t>T1UL TRIM PLATE ASM-UPR COLUMN (PL432) GAP HIDER</t>
  </si>
  <si>
    <t>PANEL ASM-I/P CTR TR (PL566) UPPER CTR</t>
  </si>
  <si>
    <t>ESP-HFIR-260</t>
  </si>
  <si>
    <t>ESP-HFIR-261</t>
  </si>
  <si>
    <t>ESP-HFIR-262</t>
  </si>
  <si>
    <t>ESP-HFIR-263</t>
  </si>
  <si>
    <t>ESP-HFIR-264</t>
  </si>
  <si>
    <t>ESP-HFIR-265</t>
  </si>
  <si>
    <t>ESP-HFIR-266</t>
  </si>
  <si>
    <t>ESP-HFIR-267</t>
  </si>
  <si>
    <t>ESP-HFIR-268</t>
  </si>
  <si>
    <t>ESP-HFIR-269</t>
  </si>
  <si>
    <t>ESP-HFIR-270</t>
  </si>
  <si>
    <t>ESP-HFIR-271</t>
  </si>
  <si>
    <t>ESP-HFIR-272</t>
  </si>
  <si>
    <t>ESP-HFIR-273</t>
  </si>
  <si>
    <t>ESP-HFIR-274</t>
  </si>
  <si>
    <t>ESP-HFIR-275</t>
  </si>
  <si>
    <t>PKG0371</t>
  </si>
  <si>
    <t>PKG0372</t>
  </si>
  <si>
    <t>PKG0374</t>
  </si>
  <si>
    <t>CABIN D6180183</t>
  </si>
  <si>
    <t>PKG0373</t>
  </si>
  <si>
    <t>CONSOLA RIVIAN D6180196/D6180197</t>
  </si>
  <si>
    <t>DUCATO PRNDL BEZEL ASSY (129880900-1)</t>
  </si>
  <si>
    <t>129880800-01</t>
  </si>
  <si>
    <t>ESP-GH-097</t>
  </si>
  <si>
    <t>ESP-GH-098</t>
  </si>
  <si>
    <t>ESP-GH-099</t>
  </si>
  <si>
    <t>https://drive.google.com/open?id=11Oq9HS_5N9RzKH6MBcxm-BJq_cQDMsXi&amp;usp=drive_fs</t>
  </si>
  <si>
    <t>https://drive.google.com/open?id=11P3aw_cnOZ5pk9mBf7HZdzCpkV6-_AGL&amp;usp=drive_fs</t>
  </si>
  <si>
    <t>https://drive.google.com/open?id=11Ueh7W-krsyguyhjBG_DmWcTo0tVJSwI&amp;usp=drive_fs</t>
  </si>
  <si>
    <t>https://drive.google.com/open?id=11Vkr3GWvHdS45PqnqiabxH1xJXHUGwv7&amp;usp=drive_fs</t>
  </si>
  <si>
    <t>https://drive.google.com/open?id=11YrGazjKLSjd-4HFGZmr9YS6VHIiNNmV&amp;usp=drive_fs</t>
  </si>
  <si>
    <t>https://drive.google.com/open?id=11hT_Dndm2TekssIDIDNxrQvXGyB3QlIn&amp;usp=drive_fs</t>
  </si>
  <si>
    <t>https://drive.google.com/open?id=11is1oWDiDhuVvOBl5ORtLhI_Obmn8l8f&amp;usp=drive_fs</t>
  </si>
  <si>
    <t>https://drive.google.com/open?id=11JMVX5GN-39KOuZpwK70m59pa6J51hxX&amp;usp=drive_fs</t>
  </si>
  <si>
    <t>https://drive.google.com/open?id=11NeEKDNxhsVTLLCdnZN1EkxVmKMKVCp7&amp;usp=drive_fs</t>
  </si>
  <si>
    <t>DUCATO / RAM-C (129880900-1)</t>
  </si>
  <si>
    <t>ACCORD RR (CHICA)</t>
  </si>
  <si>
    <t>HFI ACCORD (ACCORD GRANDE)</t>
  </si>
  <si>
    <t>BRACKET/MANGA</t>
  </si>
  <si>
    <t>NORTHWEST</t>
  </si>
  <si>
    <t>BRACKET/TT</t>
  </si>
  <si>
    <t>BRACKET/SEPARADOR</t>
  </si>
  <si>
    <t>BRACKET/ESQ</t>
  </si>
  <si>
    <t>BRACKET/TARIMAS</t>
  </si>
  <si>
    <t>BRACKET</t>
  </si>
  <si>
    <t>PEDALES</t>
  </si>
  <si>
    <t>PEDALES/MANGA</t>
  </si>
  <si>
    <t>PEDALES/SEPARADOR</t>
  </si>
  <si>
    <t>PEDALES/TT</t>
  </si>
  <si>
    <t>PEDALES/ESQ</t>
  </si>
  <si>
    <t>PEDALES/TARIMA</t>
  </si>
  <si>
    <t>ESP-NW-001</t>
  </si>
  <si>
    <t>ESP-NW-002</t>
  </si>
  <si>
    <t>ESP-NW-003</t>
  </si>
  <si>
    <t>ESP-NW-004</t>
  </si>
  <si>
    <t>ESP-NW-005</t>
  </si>
  <si>
    <t>ESP-NW-006</t>
  </si>
  <si>
    <t>ESP-NW-007</t>
  </si>
  <si>
    <t>ESP-NW-008</t>
  </si>
  <si>
    <t>ESP-NW-009</t>
  </si>
  <si>
    <t>ESP-NW-010</t>
  </si>
  <si>
    <t>https://drive.google.com/open?id=123CW33tLR5bRjDDJctZY903KgP97HfRR&amp;usp=drive_fs</t>
  </si>
  <si>
    <t>https://drive.google.com/open?id=127-pNkyxoYGFVJBo8UTIatvxb0JGOTzo&amp;usp=drive_fs</t>
  </si>
  <si>
    <t>https://drive.google.com/open?id=12MZ7vEbbvmOUJ1xjYf1OsegAdg5CAVkt&amp;usp=drive_fs</t>
  </si>
  <si>
    <t>https://drive.google.com/open?id=12Mm_Nwvr4kkULPXiTs7GG3UvpdnwJtgL&amp;usp=drive_fs</t>
  </si>
  <si>
    <t>https://drive.google.com/open?id=12QmRgaWE11fDh_-dBU4DgyihlOIogfgj&amp;usp=drive_fs</t>
  </si>
  <si>
    <t>https://drive.google.com/open?id=12ZhpcIbIDC1SHiORUNexIoZ82VzRwPS2&amp;usp=drive_fs</t>
  </si>
  <si>
    <t>https://drive.google.com/open?id=12dSgeVSIwWoZh6JEwsiBHIUM_qnsfhE1&amp;usp=drive_fs</t>
  </si>
  <si>
    <t>https://drive.google.com/open?id=12ewGsNZl9rnF4VoYBc4pktyhgxoygHOh&amp;usp=drive_fs</t>
  </si>
  <si>
    <t>https://drive.google.com/open?id=12fsypWb-Qqs2pqiIva4cyUr5vk9Qq2LD&amp;usp=drive_fs</t>
  </si>
  <si>
    <t>https://drive.google.com/open?id=12gU1sIWRJMWoebIcdUly9WOBR31zO7oM&amp;usp=drive_fs</t>
  </si>
  <si>
    <t>42IN</t>
  </si>
  <si>
    <t>45IN</t>
  </si>
  <si>
    <t>28IN</t>
  </si>
  <si>
    <t>PKG0383</t>
  </si>
  <si>
    <t>PKG0384</t>
  </si>
  <si>
    <t>LUCID</t>
  </si>
  <si>
    <t>ESP-DAI-224</t>
  </si>
  <si>
    <t>ESP-DAI-225</t>
  </si>
  <si>
    <t>ESP-DAI-226</t>
  </si>
  <si>
    <t>ESP-DAI-227</t>
  </si>
  <si>
    <t xml:space="preserve">PKG0390 </t>
  </si>
  <si>
    <t>PKG0391</t>
  </si>
  <si>
    <t>MC ULG FABRIC MIDDLE CUT</t>
  </si>
  <si>
    <t>MC ULG FABRIC CUTTING PIECES</t>
  </si>
  <si>
    <t>https://drive.google.com/open?id=137GXqPap6f7CBz9UU78jnTHVD3Lu796F&amp;usp=drive_fs</t>
  </si>
  <si>
    <t>https://drive.google.com/open?id=13BSMiLc26NSjJTAtj2OqrarxbCKgIXv7&amp;usp=drive_fs</t>
  </si>
  <si>
    <t>https://drive.google.com/open?id=13Gx-_T2TS5k4Ik5wwTCp6-OZqKfYRQI3&amp;usp=drive_fs</t>
  </si>
  <si>
    <t>https://drive.google.com/open?id=13CyQxGXltwPbEg0bsvnMPgh4VeSSO1uB&amp;usp=drive_fs</t>
  </si>
  <si>
    <t>MEDIDAS EXTERNAS</t>
  </si>
  <si>
    <t>PANGEA</t>
  </si>
  <si>
    <t>PL9</t>
  </si>
  <si>
    <t>ESP-PGA-001</t>
  </si>
  <si>
    <t>https://drive.google.com/open?id=13Wi-nyqfyyrmxXz1JGKZTvOU1qeqv0VA&amp;usp=drive_fs</t>
  </si>
  <si>
    <t>129190902-01 (Kit DT TRX )</t>
  </si>
  <si>
    <t>192190800-01</t>
  </si>
  <si>
    <t>ECT-32m</t>
  </si>
  <si>
    <t>ESP-GH-100</t>
  </si>
  <si>
    <t>https://drive.google.com/open?id=13_qPUt85XJu4JAe_1s5Bu752OqiBwsQr&amp;usp=drive_fs</t>
  </si>
  <si>
    <t>https://drive.google.com/open?id=1ugH3fHvGvXy59Mu7P_O-z3D7wn3lbV67&amp;usp=drive_fs</t>
  </si>
  <si>
    <t>https://drive.google.com/open?id=13l-kdfeJVeFV_XIOEHo3enaJuKxOnagT&amp;usp=drive_fs</t>
  </si>
  <si>
    <t>https://drive.google.com/open?id=14HvBLputnba-wVb3r9OrH7o4etjdjKDT&amp;usp=drive_fs</t>
  </si>
  <si>
    <t>https://drive.google.com/open?id=14MKzp1HRtaYu53TL-d7BJXOFHO93udIa&amp;usp=drive_fs</t>
  </si>
  <si>
    <t>https://drive.google.com/open?id=14NoOdpnNQAI-GmxCC_OoSfqGjCimX5hV&amp;usp=drive_fs</t>
  </si>
  <si>
    <t>https://drive.google.com/open?id=14QStCEVm5dZSLq3kgLkfnDDt2M83xbFx&amp;usp=drive_fs</t>
  </si>
  <si>
    <t>https://drive.google.com/open?id=14ePhVt2Vgue6VoS2qsvyJJfV_RMkLNNp&amp;usp=drive_fs</t>
  </si>
  <si>
    <t>ECT - 32 NOMAR2S</t>
  </si>
  <si>
    <t>https://drive.google.com/open?id=14fU293ooiviVSrXPfhl_wwrH0aKKPeOY&amp;usp=drive_fs</t>
  </si>
  <si>
    <t>https://drive.google.com/open?id=14fdbtNDJ3vFwJ7SamnwUC_TPjoEcvOA7&amp;usp=drive_fs</t>
  </si>
  <si>
    <t>https://drive.google.com/open?id=14njtWZ9Zh8z8g-u18IlQXz79qQ0j39Sy&amp;usp=drive_fs</t>
  </si>
  <si>
    <t>https://drive.google.com/open?id=14uNXRvIrw6b-OBzTNUPFz-KkfWg73viE&amp;usp=drive_fs</t>
  </si>
  <si>
    <t>https://drive.google.com/open?id=152Anx7GHFt-fUz5v3AkPZIVAmuLWe3lg&amp;usp=drive_fs</t>
  </si>
  <si>
    <t>https://drive.google.com/open?id=158f5YEYOt8IBaiahaSWmsPF7ASJvEqat&amp;usp=drive_fs</t>
  </si>
  <si>
    <t>https://drive.google.com/open?id=1599RVVxE3AozY3lhcskclQq67WuDFfRv&amp;usp=drive_fs</t>
  </si>
  <si>
    <t>https://drive.google.com/open?id=15EU_XX38uXD8CmqspQ0niWSU1ORDokCi&amp;usp=drive_fs</t>
  </si>
  <si>
    <t>TGTX 780 TOYOTA TUNDRA CUPHOLDER</t>
  </si>
  <si>
    <t>ESP-HFIR-276</t>
  </si>
  <si>
    <t>ESP-HFIR-277</t>
  </si>
  <si>
    <t>ESP-HFIR-278</t>
  </si>
  <si>
    <t>ESP-HFIR-279</t>
  </si>
  <si>
    <t>ESP-HFIR-280</t>
  </si>
  <si>
    <t>ESP-HFIR-281</t>
  </si>
  <si>
    <t>ESP-HFIR-282</t>
  </si>
  <si>
    <t>ESP-HFIR-283</t>
  </si>
  <si>
    <t>780B 22M AR CONSOLE LH/RH</t>
  </si>
  <si>
    <t>ESP-HFIR-287</t>
  </si>
  <si>
    <t>https://drive.google.com/open?id=15YOAOH3240O557_791MCvmz0EI3pxdcl&amp;usp=drive_fs</t>
  </si>
  <si>
    <t>https://drive.google.com/open?id=15_8-ppKaw8tS6Kl4PJbAv-__0QXkKM5k&amp;usp=drive_fs</t>
  </si>
  <si>
    <t>https://drive.google.com/open?id=15cClmr3eUq5gA3VG1tVfs9nUJ8FlIl9I&amp;usp=drive_fs</t>
  </si>
  <si>
    <t>36X22X15</t>
  </si>
  <si>
    <t>SENSOR</t>
  </si>
  <si>
    <t>ESP-DUO-007</t>
  </si>
  <si>
    <t>ESP-DUO-008</t>
  </si>
  <si>
    <t>ESP-DUO-009</t>
  </si>
  <si>
    <t>ESP-DUO-010</t>
  </si>
  <si>
    <t>ESP-DUO-011</t>
  </si>
  <si>
    <t>ESP-DUO-012</t>
  </si>
  <si>
    <t>ESP-DUO-013</t>
  </si>
  <si>
    <t>ESP-DUO-014</t>
  </si>
  <si>
    <t>ESP-DUO-015</t>
  </si>
  <si>
    <t>ESP-DUO-016</t>
  </si>
  <si>
    <t>ESP-DUO-017</t>
  </si>
  <si>
    <t>ESP-DUO-018</t>
  </si>
  <si>
    <t>https://drive.google.com/open?id=163qMwUw6eqxPImSaKwwnwVmaPHerEkdC&amp;usp=drive_fs</t>
  </si>
  <si>
    <t>33X21X4</t>
  </si>
  <si>
    <t>https://drive.google.com/open?id=167ntMHK09ersNQk6oZQ1yIdkAKjLJiUB&amp;usp=drive_fs</t>
  </si>
  <si>
    <t>33X22</t>
  </si>
  <si>
    <t>https://drive.google.com/open?id=169fV0plvVjnxn6lW5wgV2mBWG2u1M4aj&amp;usp=drive_fs</t>
  </si>
  <si>
    <t>56X49X35</t>
  </si>
  <si>
    <t>https://drive.google.com/open?id=16C9kfbEG6a5INKoAhFbQx9ai0-5DomNF&amp;usp=drive_fs</t>
  </si>
  <si>
    <t>56X48X16</t>
  </si>
  <si>
    <t>https://drive.google.com/open?id=16CHNmKTDbattrkyyqz6zt1o0xCjll6mh&amp;usp=drive_fs</t>
  </si>
  <si>
    <t>56X48</t>
  </si>
  <si>
    <t>https://drive.google.com/open?id=16IPqvgEhMqW-5xz7QAmH9SrbBnaDm5Tf&amp;usp=drive_fs</t>
  </si>
  <si>
    <t>51X41X31</t>
  </si>
  <si>
    <t>TORSIONAL</t>
  </si>
  <si>
    <t>https://drive.google.com/open?id=16JDfygb7uS37KXnQaIsMIh3HDv0-32Wz&amp;usp=drive_fs</t>
  </si>
  <si>
    <t>50X40X9</t>
  </si>
  <si>
    <t>https://drive.google.com/open?id=16OOa7lxcI2vNKeNWp9bJmIWTJPwEDanI&amp;usp=drive_fs</t>
  </si>
  <si>
    <t>50X40</t>
  </si>
  <si>
    <t>https://drive.google.com/open?id=16QFPjw4OwUIcZ7vNfpBctrobOGjkU4R8&amp;usp=drive_fs</t>
  </si>
  <si>
    <t>60X34X23</t>
  </si>
  <si>
    <t>DOOR LEVELER</t>
  </si>
  <si>
    <t>https://drive.google.com/open?id=16YHRZ2GsUhTidxvC2EEpMGZg6J487toc&amp;usp=drive_fs</t>
  </si>
  <si>
    <t>59X33X7</t>
  </si>
  <si>
    <t>https://drive.google.com/open?id=16bkTMwubsNRpfDO_I2enL-a42FOWEj4D&amp;usp=drive_fs</t>
  </si>
  <si>
    <t>59.6X34.6</t>
  </si>
  <si>
    <t>https://drive.google.com/open?id=16qFTnp31fy-xhUlM4H8rq9uCDo9jnNcS&amp;usp=drive_fs</t>
  </si>
  <si>
    <t>https://drive.google.com/open?id=17BplNJNTw7KGB_AOHrhWewD_S1M2A78Q&amp;usp=drive_fs</t>
  </si>
  <si>
    <t>https://drive.google.com/open?id=17DwFMrWEd_GDhNtv8nekGD-QEkjFDP5F&amp;usp=drive_fs</t>
  </si>
  <si>
    <t>https://drive.google.com/open?id=17EsJte08XhtNtI2T4tK2T9aJteoOd9sM&amp;usp=drive_fs</t>
  </si>
  <si>
    <t>https://drive.google.com/open?id=17FCwxiplHKe4rpgsuGsLqJr185eCZQlw&amp;usp=drive_fs</t>
  </si>
  <si>
    <t>https://drive.google.com/open?id=17GUc4hadekoUf-_3pFt_5UqTQVwvrPAj&amp;usp=drive_fs</t>
  </si>
  <si>
    <t>https://drive.google.com/open?id=17GnsHi90yjGq6m5EE4yYFbXXqD1gHIc3&amp;usp=drive_fs</t>
  </si>
  <si>
    <t>https://drive.google.com/open?id=1HhrZc2cEf8oqda3wfd0_UxW7mmaAaoGW&amp;usp=drive_fs</t>
  </si>
  <si>
    <t>https://drive.google.com/open?id=17SjYquVKcExHS3cO4IQ4moklmjj1PGx0&amp;usp=drive_fs</t>
  </si>
  <si>
    <t>https://drive.google.com/open?id=17VWavRLntK7T5X56DzdlT5x011y4lx1a&amp;usp=drive_fs</t>
  </si>
  <si>
    <t>https://drive.google.com/open?id=17XSPJQwHRbl22ddMC_0kzTRg1pCsdvdm&amp;usp=drive_fs</t>
  </si>
  <si>
    <t>https://drive.google.com/open?id=17bgsmLCfLdrrG5zIIAe7jDdO46ZqmMKL&amp;usp=drive_fs</t>
  </si>
  <si>
    <t>https://drive.google.com/open?id=17lTaZWag5uLkqe06k2oxWGDWdD8B0dN2&amp;usp=drive_fs</t>
  </si>
  <si>
    <t>https://drive.google.com/open?id=17nXdVDj65P7pnHY7Tndqet2082l1UZkU&amp;usp=drive_fs</t>
  </si>
  <si>
    <t>https://drive.google.com/open?id=17uxJ0v3VFTMHI8TLYeecm4hNQBiJ8Rk4&amp;usp=drive_fs</t>
  </si>
  <si>
    <t>https://drive.google.com/open?id=184tAFsQMCYfuWeqVgLyJrDu_3HTiqMuY&amp;usp=drive_fs</t>
  </si>
  <si>
    <t>https://drive.google.com/open?id=186cqIwed_Fs_8ocAyb5Wf81fhvBE7IhL&amp;usp=drive_fs</t>
  </si>
  <si>
    <t>https://drive.google.com/open?id=18HCvySRxJy--pVSPa-zsOygfqy56gvYD&amp;usp=drive_fs</t>
  </si>
  <si>
    <t>https://drive.google.com/open?id=18QdVIUNj9APfxg0uBF80_aMDydLejR1E&amp;usp=drive_fs</t>
  </si>
  <si>
    <t>https://drive.google.com/open?id=18Tvc2FWgOG3aZeNdg17FvvpxFSICcKcW&amp;usp=drive_fs</t>
  </si>
  <si>
    <t>https://drive.google.com/open?id=18USmufguMwSpeAhOsvFGkDtBDNbS-waK&amp;usp=drive_fs</t>
  </si>
  <si>
    <t>https://drive.google.com/open?id=18UkyGXHpkmdIGdZzQ6puLPhp6UREVy2j&amp;usp=drive_fs</t>
  </si>
  <si>
    <t>https://drive.google.com/open?id=18XUT2RcjvivNwzZ7ZLMOLDBC5pmnknOI&amp;usp=drive_fs</t>
  </si>
  <si>
    <t>https://drive.google.com/open?id=18XnQogQOFqQczdg1WA8pzKbElyd95lgn&amp;usp=drive_fs</t>
  </si>
  <si>
    <t>https://drive.google.com/open?id=18_nFwPH5v0veAJg1wbVmK0XqGUYghLCQ&amp;usp=drive_fs</t>
  </si>
  <si>
    <t>https://drive.google.com/open?id=18aHY6eae_6BW3PY1fAyGn_2uHE3i84od&amp;usp=drive_fs</t>
  </si>
  <si>
    <t>https://drive.google.com/open?id=18c4wAeE-Wz9oppdUwd5gVFQb789kEFl8&amp;usp=drive_fs</t>
  </si>
  <si>
    <t>https://drive.google.com/open?id=18ebz4MXIkCR-VU9t_txu2kjG-QGPRMjI&amp;usp=drive_fs</t>
  </si>
  <si>
    <t>https://drive.google.com/open?id=18fRSNfMZuwrkTzMtfdeAFe2mfeKNt7i1&amp;usp=drive_fs</t>
  </si>
  <si>
    <t>https://drive.google.com/open?id=18oli4xsCDWqkskcVOFSKEYuGlWR0EljS&amp;usp=drive_fs</t>
  </si>
  <si>
    <t>https://drive.google.com/open?id=18pGTo7FKtNxUqN6nedairjCuCyc72H6U&amp;usp=drive_fs</t>
  </si>
  <si>
    <t>https://drive.google.com/open?id=18uK_MGV-fivw1mi2G1iUchAemJfJjh4g&amp;usp=drive_fs</t>
  </si>
  <si>
    <t>https://drive.google.com/open?id=18wtOzbSN2xlOrHVSwMkHU2FCI6bMtFCu&amp;usp=drive_fs</t>
  </si>
  <si>
    <t>https://drive.google.com/open?id=18x-jJwDp3-rulXiAdw6v2kdeAsM6hlC3&amp;usp=drive_fs</t>
  </si>
  <si>
    <t>https://drive.google.com/open?id=193eeUM1vFYRHVtw5cjcE5liQZ4RY-JX9&amp;usp=drive_fs</t>
  </si>
  <si>
    <t>https://drive.google.com/open?id=19NsF68kgdJBnLmJwZxgXWwA1-h8bx2p-&amp;usp=drive_fs</t>
  </si>
  <si>
    <t>https://drive.google.com/open?id=19QeDLQIoOORFWC3MWY4TvMVTE_DKregE&amp;usp=drive_fs</t>
  </si>
  <si>
    <t>https://drive.google.com/open?id=19TI4J7wOSjy1jVc8qK9L88EC8T8dEr2J&amp;usp=drive_fs</t>
  </si>
  <si>
    <t>https://drive.google.com/open?id=19eYcX325QkogP93ookIWf5yPuUrInX8P&amp;usp=drive_fs</t>
  </si>
  <si>
    <t>https://drive.google.com/open?id=19iW3szZfzP7l6Z7au0-xMa_-XdIe3Wsd&amp;usp=drive_fs</t>
  </si>
  <si>
    <t>https://drive.google.com/open?id=19k7YOrRWvBHG2AqzWRk-aL2CmwTilTWR&amp;usp=drive_fs</t>
  </si>
  <si>
    <t>https://drive.google.com/open?id=19rD_Mv6vNx4RHGCIWWj5nWulPFUkZ0wd&amp;usp=drive_fs</t>
  </si>
  <si>
    <t>https://drive.google.com/open?id=19tJZjfW7gRRcdZbnYgRQ10LiRUxoBW_H&amp;usp=drive_fs</t>
  </si>
  <si>
    <t>https://drive.google.com/open?id=19vPpvbPQ8EFh5foqoR71oAf2wq9MegLQ&amp;usp=drive_fs</t>
  </si>
  <si>
    <t>https://drive.google.com/open?id=19vhbPYCW_uJuCImfixUoFsBJn-jAoB-e&amp;usp=drive_fs</t>
  </si>
  <si>
    <t>https://drive.google.com/open?id=19wWRDzIEpVNEKHp-m9GSIxQVfboFMIgk&amp;usp=drive_fs</t>
  </si>
  <si>
    <t>https://drive.google.com/open?id=19zjtLMYYrzVlS_L_ux-7PYHAN06iyfVi&amp;usp=drive_fs</t>
  </si>
  <si>
    <t>https://drive.google.com/open?id=1A0nDsPt89ORbV4Q-T5EHfzijhv1UV-iE&amp;usp=drive_fs</t>
  </si>
  <si>
    <t>https://drive.google.com/open?id=1A1kpVcD4YdTHFMvFLDhxs-8av2epNIhr&amp;usp=drive_fs</t>
  </si>
  <si>
    <t>SEMI DEAD PEDAL ASM RH</t>
  </si>
  <si>
    <t>SEMI DEAD RADAL ASM LH</t>
  </si>
  <si>
    <t>PKG0170</t>
  </si>
  <si>
    <t>TAOS</t>
  </si>
  <si>
    <t>2GK</t>
  </si>
  <si>
    <t>ESP-VWT-001</t>
  </si>
  <si>
    <t>ESP-VWT-002</t>
  </si>
  <si>
    <t>ESP-VWT-003</t>
  </si>
  <si>
    <t>ESP-VWT-004</t>
  </si>
  <si>
    <t>ESP-VWT-005</t>
  </si>
  <si>
    <t>ESP-VWT-006</t>
  </si>
  <si>
    <t>ESP-VWT-007</t>
  </si>
  <si>
    <t>https://drive.google.com/open?id=1AXap6vYbvSFZCK4WgiabsMuqBy6NVS6D&amp;usp=drive_fs</t>
  </si>
  <si>
    <t>60X45X10</t>
  </si>
  <si>
    <t>https://drive.google.com/open?id=1Aaac9x9fqzELdWjfkRl-Zs5fNkr4wdfh&amp;usp=drive_fs</t>
  </si>
  <si>
    <t>37X60</t>
  </si>
  <si>
    <t>https://drive.google.com/open?id=1AegvMT2fT2T4gCWGkU6SsGHiieGtfa2h&amp;usp=drive_fs</t>
  </si>
  <si>
    <t>https://drive.google.com/open?id=1AgyFm1NGwAzYKTEGjM8YwaAa6DAEr_8M&amp;usp=drive_fs</t>
  </si>
  <si>
    <t>2GK858</t>
  </si>
  <si>
    <t>https://drive.google.com/open?id=1AjsZsoyGFvAPN-EbxuOxt9XwcZocQkIT&amp;usp=drive_fs</t>
  </si>
  <si>
    <t>121X111X94</t>
  </si>
  <si>
    <t>120X110X93</t>
  </si>
  <si>
    <t>2GK859</t>
  </si>
  <si>
    <t>2GK860</t>
  </si>
  <si>
    <t>https://drive.google.com/open?id=1AkqbPWq9RzDaD0xXX5E81DG6iQY_njZ2&amp;usp=drive_fs</t>
  </si>
  <si>
    <t>123X113X10</t>
  </si>
  <si>
    <t>https://drive.google.com/open?id=1AlMIGuOzG_n9a_2ZnerujHu28yaq1OIl&amp;usp=drive_fs</t>
  </si>
  <si>
    <t>61X38X20</t>
  </si>
  <si>
    <t>1714009/1714020</t>
  </si>
  <si>
    <t>ESP-HFIR-129-1</t>
  </si>
  <si>
    <t>https://drive.google.com/open?id=1AoxFgbBC1vPR5jAHlSUM94GX4i0ye7JT&amp;usp=drive_fs</t>
  </si>
  <si>
    <t>NOMAR22</t>
  </si>
  <si>
    <t>36"</t>
  </si>
  <si>
    <t>ESP-HFIR-288</t>
  </si>
  <si>
    <t>PKG0163</t>
  </si>
  <si>
    <t>70"x54"x9.5"</t>
  </si>
  <si>
    <t>SEAT TOYOTA GRANDE</t>
  </si>
  <si>
    <t>SEAT TOYOTA CHICA</t>
  </si>
  <si>
    <t>56.6"X54X9.5"</t>
  </si>
  <si>
    <t>AVANZAR TECHNOLOGIES</t>
  </si>
  <si>
    <t>ESP-AVN-001</t>
  </si>
  <si>
    <t>ESP-AVN-002</t>
  </si>
  <si>
    <t>ESP-AVN-003</t>
  </si>
  <si>
    <t>ESP-AVN-004</t>
  </si>
  <si>
    <t>ESP-DUO-019</t>
  </si>
  <si>
    <t>https://drive.google.com/open?id=1BO_T5D1X-RGmrd601zR9e-n1wa6T-r35&amp;usp=drive_fs</t>
  </si>
  <si>
    <t>ESP-DR-001</t>
  </si>
  <si>
    <t>https://drive.google.com/open?id=1BPC4TOMW4rwRQNuv2MlLSRHMKY2PaO19&amp;usp=drive_fs</t>
  </si>
  <si>
    <t>23M ACCORD PASSENGER IP</t>
  </si>
  <si>
    <t>ESP-HFIR-284</t>
  </si>
  <si>
    <t>M1004322</t>
  </si>
  <si>
    <t>ESP-DAI-228</t>
  </si>
  <si>
    <t>ESP-DAI-229</t>
  </si>
  <si>
    <t>M1004324</t>
  </si>
  <si>
    <t>https://www.youtube.com/watch?v=dQw4w9WgXcQ</t>
  </si>
  <si>
    <t>PKG0042</t>
  </si>
  <si>
    <t xml:space="preserve">PKG-4580 </t>
  </si>
  <si>
    <t>ADMIRAL</t>
  </si>
  <si>
    <t>ESP-PMW-004</t>
  </si>
  <si>
    <t>ESP-CON-011</t>
  </si>
  <si>
    <t>https://drive.google.com/open?id=1CAE_Ho0R4rb_a2S4hyOqbYJGWGb9gSF2&amp;usp=drive_fs</t>
  </si>
  <si>
    <t>ECT- 61+61</t>
  </si>
  <si>
    <t>https://drive.google.com/open?id=17RMjU6uYQPQp5mIQyrH8H_VvIdmg6voM&amp;usp=drive_fs</t>
  </si>
  <si>
    <t>https://drive.google.com/open?id=1C9bAJAy-uCHsHMSWEk-4NCui5Xj8OywC&amp;usp=drive_fs</t>
  </si>
  <si>
    <t xml:space="preserve"> </t>
  </si>
  <si>
    <t>TBJ RDX 25M CONSOLE</t>
  </si>
  <si>
    <t>ESP-HFIR-285</t>
  </si>
  <si>
    <t>ESP-HFIR-286</t>
  </si>
  <si>
    <t>TBJ RDX 25M GARNISH</t>
  </si>
  <si>
    <t>ESP-HFIR-289</t>
  </si>
  <si>
    <t>ESP-HFIR-290</t>
  </si>
  <si>
    <t>ESP-HFIR-291</t>
  </si>
  <si>
    <t>ESP-HFIR-292</t>
  </si>
  <si>
    <t>https://drive.google.com/open?id=1CQMJUIIkB_y8RZLE9tcSl7m_wDmZuYPk&amp;usp=drive_fs</t>
  </si>
  <si>
    <t>https://drive.google.com/open?id=1CUHiG6umCrAEj0ewryvX3Y0yUtvmfsms&amp;usp=drive_fs</t>
  </si>
  <si>
    <t>https://drive.google.com/open?id=1CbRO8Za7MHj3yNfo_K_D4pWyScHp8r_X&amp;usp=drive_fs</t>
  </si>
  <si>
    <t>https://drive.google.com/open?id=1CgebctYVkNdcNG2VTBAJ9xJBFAp7Xw1w&amp;usp=drive_fs</t>
  </si>
  <si>
    <t>https://drive.google.com/open?id=1CkAupfdXURyXe-vPEUantuC_WIIONnmg&amp;usp=drive_fs</t>
  </si>
  <si>
    <t>https://drive.google.com/open?id=1ClcCwg6LsICIH58DdqIHf3zCyQYP0nKh&amp;usp=drive_fs</t>
  </si>
  <si>
    <t>https://drive.google.com/open?id=1BzqyKIGUmO2buCP7WMezCqxttANQP2I2&amp;usp=drive_fs</t>
  </si>
  <si>
    <t>https://drive.google.com/open?id=1Fi4aP5XyAqOh_dbTozYNDGyHQoDai9Hy&amp;usp=drive_fs</t>
  </si>
  <si>
    <t>https://drive.google.com/open?id=1CmC8-zn2TVXgFA9O4qfBL7BfMm8WDpYe&amp;usp=drive_fs</t>
  </si>
  <si>
    <t>https://drive.google.com/file/d/1ewJ4_PTYFbd3jlWZyuXVR_jTEin9Jrc6/view?usp=sharing</t>
  </si>
  <si>
    <t>C2</t>
  </si>
  <si>
    <t>PHANTOM ADMIRAL</t>
  </si>
  <si>
    <t>ESP-TT-100</t>
  </si>
  <si>
    <t>ESP-TT-101</t>
  </si>
  <si>
    <t>ESP-TT-102</t>
  </si>
  <si>
    <t>C6</t>
  </si>
  <si>
    <t>C1</t>
  </si>
  <si>
    <t>AR T90</t>
  </si>
  <si>
    <t>ESP-TT-103</t>
  </si>
  <si>
    <t>https://drive.google.com/open?id=1CpV9tsyP0lGTGfzk_dpSN1w2koaHqM6m&amp;usp=drive_fs</t>
  </si>
  <si>
    <t>https://drive.google.com/open?id=1D0jUSXEW0TfdoMCQQNLQOEX8UM6Berzb&amp;usp=drive_fs</t>
  </si>
  <si>
    <t>https://drive.google.com/open?id=1D5aITlL17sNzlJ_ub7Q8F3eBdBRPwGRs&amp;usp=drive_fs</t>
  </si>
  <si>
    <t>https://drive.google.com/open?id=1D3GH0qLM7JqkFteE6SRfaFHODYBrdFet&amp;usp=drive_fs</t>
  </si>
  <si>
    <t>(#14) 1500872M</t>
  </si>
  <si>
    <t>https://drive.google.com/open?id=1DLDw5rrLVIvzYv-fI6FhlqKDXJNYvJxP&amp;usp=drive_fs</t>
  </si>
  <si>
    <t>C-10</t>
  </si>
  <si>
    <t>C-11</t>
  </si>
  <si>
    <t>C-14</t>
  </si>
  <si>
    <t>C-11K</t>
  </si>
  <si>
    <t>41" 3/4</t>
  </si>
  <si>
    <t>C-16</t>
  </si>
  <si>
    <t>C-18A</t>
  </si>
  <si>
    <t>C-28C1</t>
  </si>
  <si>
    <t>ESP-PGA-002</t>
  </si>
  <si>
    <t>ESP-PGA-003</t>
  </si>
  <si>
    <t>ESP-PGA-004</t>
  </si>
  <si>
    <t>ESP-PGA-005</t>
  </si>
  <si>
    <t>ESP-PGA-006</t>
  </si>
  <si>
    <t>ESP-PGA-007</t>
  </si>
  <si>
    <t>ESP-PGA-008</t>
  </si>
  <si>
    <t>ESP-PGA-009</t>
  </si>
  <si>
    <t>ESP-PGA-010</t>
  </si>
  <si>
    <t>ESP-PGA-011</t>
  </si>
  <si>
    <t>ESP-PGA-012</t>
  </si>
  <si>
    <t>BT1XX</t>
  </si>
  <si>
    <t>INSERTO TRQ</t>
  </si>
  <si>
    <t>ESP-DAI-230</t>
  </si>
  <si>
    <t>ESP-DAI-231</t>
  </si>
  <si>
    <t>ESP-DAI-232</t>
  </si>
  <si>
    <t>Tesla Highland</t>
  </si>
  <si>
    <t>C-28H</t>
  </si>
  <si>
    <t>C-35</t>
  </si>
  <si>
    <t>ESP-PGA-013</t>
  </si>
  <si>
    <t>ESP-PGA-014</t>
  </si>
  <si>
    <t>C-40C</t>
  </si>
  <si>
    <t>C-40D</t>
  </si>
  <si>
    <t>https://drive.google.com/open?id=1DqLQbfO6Noc1ClagPDW0eOSTBCQAEH6u&amp;usp=drive_fs</t>
  </si>
  <si>
    <t>https://drive.google.com/open?id=1DtMOQGAIUJJ72uaS_rTwB7culswU6-wA&amp;usp=drive_fs</t>
  </si>
  <si>
    <t>https://drive.google.com/open?id=1Dw9Gri6YIgbdJgh1q_hPBzGP-oFdsIP-&amp;usp=drive_fs</t>
  </si>
  <si>
    <t>PL432/CF</t>
  </si>
  <si>
    <t>PL432/R</t>
  </si>
  <si>
    <t>PL432/S</t>
  </si>
  <si>
    <t>PL432/F</t>
  </si>
  <si>
    <t>PL432/TT</t>
  </si>
  <si>
    <t>T1UL TRIM PLATE ASM-UPR COLUMN</t>
  </si>
  <si>
    <t>ESP-HFIR-293</t>
  </si>
  <si>
    <t>ESP-HFIR-294</t>
  </si>
  <si>
    <t>ESP-HFIR-295</t>
  </si>
  <si>
    <t>ESP-HFIR-296</t>
  </si>
  <si>
    <t>ESP-HFIR-297</t>
  </si>
  <si>
    <t>https://drive.google.com/open?id=1EIoWkxCPnevFMVtexh3aL1Ies8FjS7we&amp;usp=drive_fs</t>
  </si>
  <si>
    <t>https://drive.google.com/open?id=1EOtS7POJwR6RjmhLXqV8AvZwDXRHCpng&amp;usp=drive_fs</t>
  </si>
  <si>
    <t>https://drive.google.com/open?id=1ESD3g2_Jc13KTYJSODsVIAbNP3uvB_Qz&amp;usp=drive_fs</t>
  </si>
  <si>
    <t>https://drive.google.com/open?id=1ETJlJmT-nU3pDq12oWsq1XmxaxAtEqEB&amp;usp=drive_fs</t>
  </si>
  <si>
    <t>https://drive.google.com/open?id=1EUQWuw-PuzbOx5eSMeZgPfYExFEiPs3e&amp;usp=drive_fs</t>
  </si>
  <si>
    <t>1562039-A</t>
  </si>
  <si>
    <t>1562039-C</t>
  </si>
  <si>
    <t>GM SERVICE PACK N°1</t>
  </si>
  <si>
    <t>GM SERVICE PACK N°2</t>
  </si>
  <si>
    <t>GM SERVICE PACK N°3</t>
  </si>
  <si>
    <t>ESP-HFIM-286</t>
  </si>
  <si>
    <t>ESP-HFIM-287</t>
  </si>
  <si>
    <t>ESP-HFIM-288</t>
  </si>
  <si>
    <t>500GR</t>
  </si>
  <si>
    <t>https://drive.google.com/open?id=1E_YxV4an7FE1iAx51Cl_EllAOJS0P5l0&amp;usp=drive_fs</t>
  </si>
  <si>
    <t>https://drive.google.com/open?id=1EcRz4kuiZ4GtMk8Gfcn_IFYJz1newFX2&amp;usp=drive_fs</t>
  </si>
  <si>
    <t>https://drive.google.com/open?id=1Ech30YWFBlQNzT9KR7rAOvPS966LuiaG&amp;usp=drive_fs</t>
  </si>
  <si>
    <t>ESP-HFIR-298</t>
  </si>
  <si>
    <t>ESP-HFIR-299</t>
  </si>
  <si>
    <t>https://drive.google.com/open?id=1EyiIuEszK7B1WUs4RxPONEteck9_ojKk&amp;usp=drive_fs</t>
  </si>
  <si>
    <t>https://drive.google.com/open?id=1EzavUkrbavOsw_TK1_zK0Gf_DtdS9HqH&amp;usp=drive_fs</t>
  </si>
  <si>
    <t>PKG0411</t>
  </si>
  <si>
    <t>PKG0410</t>
  </si>
  <si>
    <t>PKG0409</t>
  </si>
  <si>
    <t>50X34X28</t>
  </si>
  <si>
    <t>49X33X8</t>
  </si>
  <si>
    <t>49X33</t>
  </si>
  <si>
    <t>https://drive.google.com/open?id=1GRnrzlnyxT4j0rUBjxne728mFSu3P1b2&amp;usp=drive_fs</t>
  </si>
  <si>
    <t>https://drive.google.com/open?id=1GX_3LGz4JVdu9WqoAj0SdfnHHMTTGBaA&amp;usp=drive_fs</t>
  </si>
  <si>
    <t>https://drive.google.com/open?id=1GXcjwWod-GVamRzUqiAhgFJo8F2DZ2qV&amp;usp=drive_fs</t>
  </si>
  <si>
    <t>DYMPACK</t>
  </si>
  <si>
    <t>23" X 23" X 7" CBC</t>
  </si>
  <si>
    <t>DIF</t>
  </si>
  <si>
    <t>DIF COAHUILA</t>
  </si>
  <si>
    <t>ESP-MAR-019</t>
  </si>
  <si>
    <t>https://drive.google.com/open?id=1HBSGHj4BTDED5aM0V_CGdYu0cqc1Z_qT&amp;usp=drive_fs</t>
  </si>
  <si>
    <t>https://drive.google.com/open?id=10xTvSi89ANnSKxlPCNJIkz-kPFmKQot5&amp;usp=drive_fs</t>
  </si>
  <si>
    <t>https://drive.google.com/open?id=1HVzM2_acimNG2ilaoXUWQ9yoHzUbe8oN&amp;usp=drive_fs</t>
  </si>
  <si>
    <t>23" X 23" X 7" Con HandHole</t>
  </si>
  <si>
    <t>23"x23"x7"</t>
  </si>
  <si>
    <t>23"X23"X7 CBC</t>
  </si>
  <si>
    <t>ESP-NCS-036</t>
  </si>
  <si>
    <t>ESP-NCS-037</t>
  </si>
  <si>
    <t>ESP-NCS-038</t>
  </si>
  <si>
    <t>ESP-NCS-039</t>
  </si>
  <si>
    <t>28"X28"X11"</t>
  </si>
  <si>
    <t>28"X28"X11" Con HandHole</t>
  </si>
  <si>
    <t>https://drive.google.com/open?id=1HaKZtVYabKngssdY9SO3EcB_8djo9_XF&amp;usp=drive_fs</t>
  </si>
  <si>
    <t>ESP-NCS-040</t>
  </si>
  <si>
    <t>23"x23"x7" Caja con fondo</t>
  </si>
  <si>
    <t>28"X28"X11" Caja con fondo</t>
  </si>
  <si>
    <t>23" X 23" X 7" CBC (HandHole)</t>
  </si>
  <si>
    <t>CAJA REFORZADA (HandHole)</t>
  </si>
  <si>
    <t>59X34X7</t>
  </si>
  <si>
    <t>M6009655</t>
  </si>
  <si>
    <t>DOOR LEVELER (KIT BRACKET)</t>
  </si>
  <si>
    <t>ESP-HFIR-328</t>
  </si>
  <si>
    <t>ESP-HFIR-329</t>
  </si>
  <si>
    <t>ESP-HFIR-330</t>
  </si>
  <si>
    <t>ESP-HFIR-331</t>
  </si>
  <si>
    <t>ESP-HFIR-332</t>
  </si>
  <si>
    <t>ECT - 32m</t>
  </si>
  <si>
    <t>SEPARADOR PLASTIFICADO</t>
  </si>
  <si>
    <t>KNEEBOLSTER (PL-629)</t>
  </si>
  <si>
    <t>PL-718</t>
  </si>
  <si>
    <t>300GR</t>
  </si>
  <si>
    <t>GAP HILDER (PL-432/PL-622)</t>
  </si>
  <si>
    <t>ESP-HFIM-289</t>
  </si>
  <si>
    <t>ESP-HFIM-290</t>
  </si>
  <si>
    <t>ESP-HFIM-291</t>
  </si>
  <si>
    <t>ESP-HFIM-292</t>
  </si>
  <si>
    <t>ESP-HFIM-293</t>
  </si>
  <si>
    <t>ESP-HFIM-294</t>
  </si>
  <si>
    <t>ESP-HFIM-295</t>
  </si>
  <si>
    <t>ESP-HFIM-296</t>
  </si>
  <si>
    <t>ESP-HFIM-297</t>
  </si>
  <si>
    <t>ESP-HFIM-298</t>
  </si>
  <si>
    <t>ESP-HFIM-299</t>
  </si>
  <si>
    <t>ESP-HFIM-300</t>
  </si>
  <si>
    <t>ESP-HFIM-301</t>
  </si>
  <si>
    <t>ESP-HFIM-302</t>
  </si>
  <si>
    <t>ESP-HFIM-303</t>
  </si>
  <si>
    <t>ESP-HFIM-304</t>
  </si>
  <si>
    <t>T1UL COL CLO (PL-436)</t>
  </si>
  <si>
    <t>ESP-HFIM-305</t>
  </si>
  <si>
    <t>ESP-HFIM-306</t>
  </si>
  <si>
    <t>ESP-HFIM-307</t>
  </si>
  <si>
    <t>ESP-HFIM-308</t>
  </si>
  <si>
    <t>https://drive.google.com/open?id=1HiHq6nld390VFd_YMz3k9iGVkDPuZqxh&amp;usp=drive_fs</t>
  </si>
  <si>
    <t>https://drive.google.com/open?id=1HifegQdnCPCNic-Y0ZA3SXToz4P42Gl8&amp;usp=drive_fs</t>
  </si>
  <si>
    <t>https://drive.google.com/open?id=1Hm2815EARWACcqy-kLdOkBa_VVGUPZ3W&amp;usp=drive_fs</t>
  </si>
  <si>
    <t>https://drive.google.com/open?id=1Hw-zrH4L1DmmDJYwx-q1YhuzJpcT42F6&amp;usp=drive_fs</t>
  </si>
  <si>
    <t>https://drive.google.com/open?id=1Hz9VPM_F8vr5iydRgSxdzLtDu-iEhngk&amp;usp=drive_fs</t>
  </si>
  <si>
    <t>https://drive.google.com/open?id=1Hzlvl-0xRaF-paeQWoDCtTu0e_m3aPyS&amp;usp=drive_fs</t>
  </si>
  <si>
    <t>TROJAN</t>
  </si>
  <si>
    <t>MACROFAB/RUSSTECH</t>
  </si>
  <si>
    <t>SENSIRION</t>
  </si>
  <si>
    <t>1600061XB</t>
  </si>
  <si>
    <t>T1XX AR</t>
  </si>
  <si>
    <t>ESP-LMT-145</t>
  </si>
  <si>
    <t>ESP-LMT-146</t>
  </si>
  <si>
    <t>ESP-LMT-147</t>
  </si>
  <si>
    <t>ESP-LMT-148</t>
  </si>
  <si>
    <t>ESP-LMT-149</t>
  </si>
  <si>
    <t>ESP-LMT-150</t>
  </si>
  <si>
    <t>ESP-LMT-151</t>
  </si>
  <si>
    <t>ESP-LMT-152</t>
  </si>
  <si>
    <t>1600062XB</t>
  </si>
  <si>
    <t>1600063XB</t>
  </si>
  <si>
    <t>1600064XB</t>
  </si>
  <si>
    <t>https://drive.google.com/open?id=1INoobR1KlATSP3hc6oUtHv4ipoE81Xb1&amp;usp=drive_fs</t>
  </si>
  <si>
    <t>https://drive.google.com/open?id=1IP2hRtmwyUg7wozozWxGXelnqabHyJHy&amp;usp=drive_fs</t>
  </si>
  <si>
    <t>https://drive.google.com/open?id=1IX5y5NBY1i42Tok90ggYHGRqM-4uQM33&amp;usp=drive_fs</t>
  </si>
  <si>
    <t>https://drive.google.com/open?id=1IdAVQYPeJ3kidzg7jUiY5JikJqDFH0MK&amp;usp=drive_fs</t>
  </si>
  <si>
    <t>https://drive.google.com/open?id=1IjoMSr03nhP1sCFDp38r9bpfQDmxVVZG&amp;usp=drive_fs</t>
  </si>
  <si>
    <t>https://drive.google.com/open?id=1ImN5DNBYDnCDBZOFL_ueGnN6Des7BESt&amp;usp=drive_fs</t>
  </si>
  <si>
    <t>https://drive.google.com/open?id=1ImrzlcJDJW3FJa5dpaKoH7JmnBRcqj8b&amp;usp=drive_fs</t>
  </si>
  <si>
    <t>https://drive.google.com/open?id=1Io0iz9Y62TYM6raw-aiYBmQrn56ZIjJp&amp;usp=drive_fs</t>
  </si>
  <si>
    <t>RENDER</t>
  </si>
  <si>
    <t>https://drive.google.com/open?id=185xB_h6wD5eXJav-IIDF300M3EJkl-W6&amp;usp=drive_fs</t>
  </si>
  <si>
    <t>https://drive.google.com/open?id=1apfWpIuBj26GXBK2MXofZbhmTscgBt_R&amp;usp=drive_fs</t>
  </si>
  <si>
    <t>https://drive.google.com/open?id=1qpByPEBASKRPF_kH9LjCdUKJWRnaOh32&amp;usp=drive_fs</t>
  </si>
  <si>
    <t>15"X12"X9"</t>
  </si>
  <si>
    <t>ECT-42</t>
  </si>
  <si>
    <t>https://drive.google.com/open?id=1IyxRyYf_yZmgpuI9V5lvLNIEBlZvVfuB&amp;usp=drive_fs</t>
  </si>
  <si>
    <t>23"X14"X7"</t>
  </si>
  <si>
    <t>https://drive.google.com/open?id=1J72DGc_NHgKtvUKoQMoSLiAGMQdrgfUf&amp;usp=drive_fs</t>
  </si>
  <si>
    <t>CHAROLA AUTOARMABLE</t>
  </si>
  <si>
    <t>ESP-CYCS-001</t>
  </si>
  <si>
    <t>https://drive.google.com/open?id=1JF65C_McAowiabdnZZoKScrcRXWiOrCD&amp;usp=drive_fs</t>
  </si>
  <si>
    <t xml:space="preserve">T1XX AR </t>
  </si>
  <si>
    <t>ESP-LMT-153</t>
  </si>
  <si>
    <t>https://drive.google.com/file/d/13I2ZhhTuIqfoIKouuKfLgvOdM8RHlMUT/view?usp=sharing</t>
  </si>
  <si>
    <t>ECT - 82</t>
  </si>
  <si>
    <t>BRASIL/ARGENTINA</t>
  </si>
  <si>
    <t>https://drive.google.com/open?id=1HX7-Z0h0xVOOMpg5JcqFMZGKS3nQvaVo&amp;usp=drive_fs</t>
  </si>
  <si>
    <t>https://drive.google.com/open?id=1HZ8fk2vIky_E0Y0cCYczy8SZZ_wnhSGI&amp;usp=drive_fs</t>
  </si>
  <si>
    <t>https://drive.google.com/open?id=1HbQntFVmQ2-c4NClxyYsZxvj5-ixrGEL&amp;usp=drive_fs</t>
  </si>
  <si>
    <t>https://drive.google.com/open?id=1Hc-wZaL8ZQ7vdvjMDFpXAjo8EMIeEK3G&amp;usp=drive_fs</t>
  </si>
  <si>
    <t>https://drive.google.com/open?id=1KH5tTiG_V-QIBmt_uMCAvQFRYyITYau6&amp;usp=drive_fs</t>
  </si>
  <si>
    <t>Tacon CRV</t>
  </si>
  <si>
    <t>PKG0005 (6 VISERAS)</t>
  </si>
  <si>
    <t>PKG0007 (6 VISERAS)</t>
  </si>
  <si>
    <t>(3268168) IMC 060</t>
  </si>
  <si>
    <t>CRV</t>
  </si>
  <si>
    <t>OPTIMA</t>
  </si>
  <si>
    <t>PKG0083 (KBB43-24)</t>
  </si>
  <si>
    <t>PKG0085 (KBB43-24)</t>
  </si>
  <si>
    <t>C1YC</t>
  </si>
  <si>
    <t>PKG0091 (KBB43 SOR)</t>
  </si>
  <si>
    <t>PKG0072 (TLX)</t>
  </si>
  <si>
    <t>PKG0073 (TLX)</t>
  </si>
  <si>
    <t>PKG0074 (MDX)</t>
  </si>
  <si>
    <t>PKG0075 (MDX)</t>
  </si>
  <si>
    <t>PKG0150 (T1XX-C)</t>
  </si>
  <si>
    <t>TESLA MS</t>
  </si>
  <si>
    <t>M6014780 (PKG0153)</t>
  </si>
  <si>
    <t>PKG0152 TAPA P702 / T1XX PKG0273-1</t>
  </si>
  <si>
    <t>TAPA MASTER 702 (PKG0152)</t>
  </si>
  <si>
    <t>PKG0361 (54 x 42 cm)</t>
  </si>
  <si>
    <t>PKG0092 (BRACKET 42)</t>
  </si>
  <si>
    <t>MDX2228947</t>
  </si>
  <si>
    <t>MDX/PILOT</t>
  </si>
  <si>
    <t>CAJA VW 270</t>
  </si>
  <si>
    <t>VW 270</t>
  </si>
  <si>
    <t>ALTERNA MOLDEO</t>
  </si>
  <si>
    <t>(PKG0125) CUP HOLDER</t>
  </si>
  <si>
    <t>(PKG0124) CUP HOLDER</t>
  </si>
  <si>
    <t xml:space="preserve">780B-TUNDRA (5 CAV) </t>
  </si>
  <si>
    <t>780B-TUNDRA (PKG0129)</t>
  </si>
  <si>
    <t>CRV RANURADA</t>
  </si>
  <si>
    <t>M6007162 (PKG0131)</t>
  </si>
  <si>
    <t>M6002421 (PKG0133)</t>
  </si>
  <si>
    <t>M6002393 (PKG0134)</t>
  </si>
  <si>
    <t>M6006845 (PKG0132)</t>
  </si>
  <si>
    <t>T1XX/TT (TAPA TESLA MY)</t>
  </si>
  <si>
    <t>T1XX/TT (PKG0150-1/PKG0270 )</t>
  </si>
  <si>
    <t>MODELO-Y (PKG0269)</t>
  </si>
  <si>
    <t>DTII/P702 (PKG0273)</t>
  </si>
  <si>
    <t>T1XX (PKG0151)</t>
  </si>
  <si>
    <t>VB9728</t>
  </si>
  <si>
    <t>2238139-N</t>
  </si>
  <si>
    <t>120 CAV</t>
  </si>
  <si>
    <t>PKG0006</t>
  </si>
  <si>
    <t>PKG0003</t>
  </si>
  <si>
    <t>LENTE TOYOTA (PKG0069)</t>
  </si>
  <si>
    <t>KBB43 (SEPARADOR CON ALETON)</t>
  </si>
  <si>
    <t>MY</t>
  </si>
  <si>
    <t>G005 (PKG0076)</t>
  </si>
  <si>
    <t>G005 (PKG0077)</t>
  </si>
  <si>
    <t>TAPA CRV</t>
  </si>
  <si>
    <t>3217928 (2317928)</t>
  </si>
  <si>
    <t>KBB43-24 (PKG0084)</t>
  </si>
  <si>
    <t xml:space="preserve">1500489M </t>
  </si>
  <si>
    <t>PKG0363</t>
  </si>
  <si>
    <t>PILOT</t>
  </si>
  <si>
    <t>300gr</t>
  </si>
  <si>
    <t>ESP-DAI-234</t>
  </si>
  <si>
    <t>ESP-DAI-233</t>
  </si>
  <si>
    <t>150-0488MA</t>
  </si>
  <si>
    <t>8 CELDAS</t>
  </si>
  <si>
    <t>ESP-32m</t>
  </si>
  <si>
    <t>https://drive.google.com/open?id=1oy5P9iE0qgKx3jgtl4OZRbSa786PJsz0&amp;usp=drive_fs</t>
  </si>
  <si>
    <t>62X30X34</t>
  </si>
  <si>
    <t>Huevito de granja</t>
  </si>
  <si>
    <t>ESP-HG-001</t>
  </si>
  <si>
    <t>https://drive.google.com/open?id=1pN-zqLECEvwJj8nKzH1P1ZkCsdpIF5GG&amp;usp=drive_fs</t>
  </si>
  <si>
    <t>HUEVITO DE GRANJA (granjas el pollon)</t>
  </si>
  <si>
    <t>19X9X6</t>
  </si>
  <si>
    <t>ESP-NCS-041</t>
  </si>
  <si>
    <t>(#7) 1500865M</t>
  </si>
  <si>
    <t>PKG0360</t>
  </si>
  <si>
    <t>ESP-DAI-235</t>
  </si>
  <si>
    <t>ESP-DAI-236</t>
  </si>
  <si>
    <t>FOAM/SEPARADOR</t>
  </si>
  <si>
    <t>1432018 (PL-432)</t>
  </si>
  <si>
    <t>1/4" | 2.5"</t>
  </si>
  <si>
    <t>1433028 (PL-433)</t>
  </si>
  <si>
    <t>T1UL GLOVE BOX (PL-433)</t>
  </si>
  <si>
    <t>Plastificado Sencillo</t>
  </si>
  <si>
    <t>1436019 (PL-436)</t>
  </si>
  <si>
    <t>https://drive.google.com/open?id=1qaHO8ISP1RWvWeeAW-1ri-WwHA31TZkq&amp;usp=drive_fs</t>
  </si>
  <si>
    <t>https://drive.google.com/open?id=1qeAnKZTU7PIMqlQC_SbxavgfXVcr8gFk&amp;usp=drive_fs</t>
  </si>
  <si>
    <t xml:space="preserve">CHAROLA </t>
  </si>
  <si>
    <t>63.2/48.8</t>
  </si>
  <si>
    <t>T1UG UPPER LH (PL-562)</t>
  </si>
  <si>
    <t>ESP-HFIM-309</t>
  </si>
  <si>
    <t>ESP-HFIM-310</t>
  </si>
  <si>
    <t>ESP-HFIM-311</t>
  </si>
  <si>
    <t>ESP-HFIM-312</t>
  </si>
  <si>
    <t>500gr</t>
  </si>
  <si>
    <t>1562038 (PL-562)</t>
  </si>
  <si>
    <t>1563028 (PL-563)</t>
  </si>
  <si>
    <t>T1UG MID PANEL (PL-563)</t>
  </si>
  <si>
    <t>ESP-HFIM-313</t>
  </si>
  <si>
    <t>ESP-HFIM-314</t>
  </si>
  <si>
    <t>ESP-HFIM-315</t>
  </si>
  <si>
    <t>ESP-HFIM-316</t>
  </si>
  <si>
    <t>ESP-HFIM-317</t>
  </si>
  <si>
    <t>ESP-HFIM-318</t>
  </si>
  <si>
    <t>ESP-HFIM-319</t>
  </si>
  <si>
    <t>ESP-HFIM-320</t>
  </si>
  <si>
    <t>ESP-HFIM-321</t>
  </si>
  <si>
    <t>ESP-HFIM-322</t>
  </si>
  <si>
    <t>ESP-HFIM-323</t>
  </si>
  <si>
    <t>ESP-HFIM-324</t>
  </si>
  <si>
    <t>1564017 (PL-564)</t>
  </si>
  <si>
    <t>T1UG SSW PANEL (PL-564)</t>
  </si>
  <si>
    <t>ESP-HFIM-325</t>
  </si>
  <si>
    <t>ESP-HFIM-326</t>
  </si>
  <si>
    <t>ESP-HFIM-327</t>
  </si>
  <si>
    <t>ESP-HFIM-328</t>
  </si>
  <si>
    <t>ESP-HFIM-329</t>
  </si>
  <si>
    <t>ESP-HFIM-330</t>
  </si>
  <si>
    <t>ESP-HFIM-331</t>
  </si>
  <si>
    <t>ESP-HFIM-332</t>
  </si>
  <si>
    <t>1566022 (PL-566)</t>
  </si>
  <si>
    <t>T1UG UP CENTER (PL-566)</t>
  </si>
  <si>
    <t>1567013/1568009 (PL-567/568)</t>
  </si>
  <si>
    <t>T1UG RADIOT RH/LH (PL-567/568)</t>
  </si>
  <si>
    <t>https://drive.google.com/open?id=1qgh_0H-PER0i7pGEIYLZZvzRSLuI_3fA&amp;usp=drive_fs</t>
  </si>
  <si>
    <t>https://drive.google.com/open?id=1ql5YdWCtXCwJSW-m84QBYNkG9NDRoJ4o&amp;usp=drive_fs</t>
  </si>
  <si>
    <t>https://drive.google.com/open?id=1qlS49Nw-6WFFSYbSkLSpaGaJkJbMrYmH&amp;usp=drive_fs</t>
  </si>
  <si>
    <t>https://drive.google.com/open?id=1qoGMojfwjHJJqtRg7egD9SEEbQnv5c0J&amp;usp=drive_fs</t>
  </si>
  <si>
    <t>https://drive.google.com/open?id=1r0oYmUckHXY5YRd8NksNNgBHT_L2OoDN&amp;usp=drive_fs</t>
  </si>
  <si>
    <t>https://drive.google.com/open?id=1r5zQJRdSBpxzQA624DZr6WouNj9LqcCN&amp;usp=drive_fs</t>
  </si>
  <si>
    <t>https://drive.google.com/open?id=1r869h-IxmbWAJM94qK_THzIXTacYnB8S&amp;usp=drive_fs</t>
  </si>
  <si>
    <t>https://drive.google.com/open?id=1rABV6g81MHOUY7uWk1u9lG8bDlStDc92&amp;usp=drive_fs</t>
  </si>
  <si>
    <t>https://drive.google.com/open?id=1rBbmBzNtmVEdweRZwYzFbp2DOBP33aVq&amp;usp=drive_fs</t>
  </si>
  <si>
    <t>https://drive.google.com/open?id=1rI3Mxp3FfGk4Z2Qjua83Ohp1vSmxQlNR&amp;usp=drive_fs</t>
  </si>
  <si>
    <t>https://drive.google.com/open?id=1rQ-f3qeTcQ3pC4u6qr-KBDN-2YOUdLgm&amp;usp=drive_fs</t>
  </si>
  <si>
    <t>https://drive.google.com/open?id=1rQUMiy7guG1oDPVVE_oUrlcCKh8lOg4-&amp;usp=drive_fs</t>
  </si>
  <si>
    <t>https://drive.google.com/open?id=1rUvxBSTzaSmsXE2QDWD9A7vAFCphvDHs&amp;usp=drive_fs</t>
  </si>
  <si>
    <t>https://drive.google.com/open?id=1rUxzWHOFWoZtJbpEGvFle6fu0rJCL7EA&amp;usp=drive_fs</t>
  </si>
  <si>
    <t>https://drive.google.com/open?id=1r__51UqiDhG5QUD1f5wjBjCEMhWgOeYm&amp;usp=drive_fs</t>
  </si>
  <si>
    <t>https://drive.google.com/open?id=1rgRSpBs7iJcXUXwxIgr7AXiXPm5H3ALk&amp;usp=drive_fs</t>
  </si>
  <si>
    <t>https://drive.google.com/open?id=1rno_lxg1D2Ga0z3y7q_BcSrYlLeU1UH3&amp;usp=drive_fs</t>
  </si>
  <si>
    <t>https://drive.google.com/open?id=1rtUq7YZMeAijA3bIUkiTSsXrZWV4amrZ&amp;usp=drive_fs</t>
  </si>
  <si>
    <t>https://drive.google.com/open?id=1s1N6Jm5nKlpTCDhsJfh29e-ZeyoO1qWe&amp;usp=drive_fs</t>
  </si>
  <si>
    <t>https://drive.google.com/open?id=1s3ccY_7IcOqbFDZbC2TMm18sAJL4WxLK&amp;usp=drive_fs</t>
  </si>
  <si>
    <t>https://drive.google.com/open?id=1s8cNCrfJp1o04BEfdtd6VOd5RjqkwAis&amp;usp=drive_fs</t>
  </si>
  <si>
    <t>https://drive.google.com/open?id=1s9i0EecG3LEqUYejtzwHK4vcvxC4maKc&amp;usp=drive_fs</t>
  </si>
  <si>
    <t>https://drive.google.com/open?id=1s9mOsFixkwxKk9NW18CT8D7Ck_zo0jwC&amp;usp=drive_fs</t>
  </si>
  <si>
    <t>https://drive.google.com/open?id=1sAIcJC0Dc59pFFHPgtbJG6vKgEJ6HzPp&amp;usp=drive_fs</t>
  </si>
  <si>
    <t>https://drive.google.com/open?id=1sF6Ls1AD0S7Q-BATsxs-koexuQvO908V&amp;usp=drive_fs</t>
  </si>
  <si>
    <t>https://drive.google.com/open?id=1sGbguCPVYrt2ofQiQ_4sH8qrSOs-69Lc&amp;usp=drive_fs</t>
  </si>
  <si>
    <t>https://drive.google.com/open?id=1sOxAuVC4sGOlVWgg-2a2HxxOMg_CcprX&amp;usp=drive_fs</t>
  </si>
  <si>
    <t>https://drive.google.com/open?id=1sP1Fgv1yfdibfH0FNvkadCoSlnf-n8bL&amp;usp=drive_fs</t>
  </si>
  <si>
    <t>https://drive.google.com/open?id=1sPKEPhz5WLHo-7u2g54D1czCyR1Xh2Rc&amp;usp=drive_fs</t>
  </si>
  <si>
    <t>https://drive.google.com/open?id=1sQmFoFFZzUZj58_hl-NbK9dM5iCHS6L4&amp;usp=drive_fs</t>
  </si>
  <si>
    <t>https://drive.google.com/open?id=1sUGcgB8RKhlnFoq9R83aUZ8TU9QuF29S&amp;usp=drive_fs</t>
  </si>
  <si>
    <t>https://drive.google.com/open?id=1sW7IYfO6eC5jyt7FOuXwot0cHGI5o2ho&amp;usp=drive_fs</t>
  </si>
  <si>
    <t>https://drive.google.com/open?id=1sWINht7sKP71fQfa7qWqKeyAYV1NOKBH&amp;usp=drive_fs</t>
  </si>
  <si>
    <t>https://drive.google.com/open?id=1sX_9AjvLl7ZHzUg2vALGHz6it7wjXifW&amp;usp=drive_fs</t>
  </si>
  <si>
    <t>https://drive.google.com/open?id=1scthSbZ-EybM94IkQKKhJma-t-Pq4q0o&amp;usp=drive_fs</t>
  </si>
  <si>
    <t>ESP-HFIM-333</t>
  </si>
  <si>
    <t>ESP-HFIM-334</t>
  </si>
  <si>
    <t>ESP-HFIM-335</t>
  </si>
  <si>
    <t>ESP-HFIM-336</t>
  </si>
  <si>
    <t>ESP-HFIM-337</t>
  </si>
  <si>
    <t>ESP-HFIM-338</t>
  </si>
  <si>
    <t>T1UG PASS IP (PL-569)</t>
  </si>
  <si>
    <t>1569023 (PL-569)</t>
  </si>
  <si>
    <t>https://drive.google.com/open?id=1rc__-J-aebEZYYxAOowPaOyzfVxm3UCr&amp;usp=drive_fs</t>
  </si>
  <si>
    <t>BT1 GLOVE BOX (PL-623)</t>
  </si>
  <si>
    <t>https://drive.google.com/open?id=1shqLEf-CMZoOTKz0I0e2pHNQR1iqB5fp&amp;usp=drive_fs</t>
  </si>
  <si>
    <t>https://drive.google.com/open?id=1sjYnLIDZM-F07EmKfYPHSceDwsGf4bRo&amp;usp=drive_fs</t>
  </si>
  <si>
    <t>https://drive.google.com/open?id=1t24FcTTDSSPSAyNwhLJBN3rmfD1zT369&amp;usp=drive_fs</t>
  </si>
  <si>
    <t>https://drive.google.com/open?id=1t9QRNmRltAI6uF2B4JXtYJPtppvq6Ouo&amp;usp=drive_fs</t>
  </si>
  <si>
    <t>https://drive.google.com/open?id=1tFFM_7cZVKiGHWaG0ej4s56k02SNyhbt&amp;usp=drive_fs</t>
  </si>
  <si>
    <t>https://drive.google.com/open?id=1tPI_v6_Q-LHVGC9676rGv1yDlagNApv0&amp;usp=drive_fs</t>
  </si>
  <si>
    <t>https://drive.google.com/open?id=1tXYRrhtl3deND8f5kAAnyuew1ghpgcc6&amp;usp=drive_fs</t>
  </si>
  <si>
    <t>https://drive.google.com/open?id=1tZrsB9y4FuHQlv4g5lN7H0H1E-QMWR-q&amp;usp=drive_fs</t>
  </si>
  <si>
    <t>36.5/55</t>
  </si>
  <si>
    <t>500 gr</t>
  </si>
  <si>
    <t>1623005 (PL-623)</t>
  </si>
  <si>
    <t>1624008 (PL-624)</t>
  </si>
  <si>
    <t>BT1 LOWER CENTER CTR BACKUP (PL-624)</t>
  </si>
  <si>
    <t>BOTTOON</t>
  </si>
  <si>
    <t>ESP-HFIM-339</t>
  </si>
  <si>
    <t>ESP-HFIM-340</t>
  </si>
  <si>
    <t>ESP-HFIM-341</t>
  </si>
  <si>
    <t>ESP-HFIM-342</t>
  </si>
  <si>
    <t>ESP-HFIM-343</t>
  </si>
  <si>
    <t>ESP-HFIM-344</t>
  </si>
  <si>
    <t>ESP-HFIM-345</t>
  </si>
  <si>
    <t>ESP-HFIM-346</t>
  </si>
  <si>
    <t>https://drive.google.com/open?id=1t_JByOtN17Ldp_-PIF9Lu42fnvcyogYN&amp;usp=drive_fs</t>
  </si>
  <si>
    <t>https://drive.google.com/open?id=1tajak-8jOTRWfmIMrQDhmk32CrcdBEcI&amp;usp=drive_fs</t>
  </si>
  <si>
    <t>https://drive.google.com/open?id=1tfNehj9oZS_-u3z_naCCl1B_a_2Pf-O4&amp;usp=drive_fs</t>
  </si>
  <si>
    <t>https://drive.google.com/open?id=1tp9mIfzGD0A3PgWJU-wKNxZZEI7SThrn&amp;usp=drive_fs</t>
  </si>
  <si>
    <t>https://drive.google.com/open?id=1tzioi9bw-aACwwQidWa1GSU1j7SPwo13&amp;usp=drive_fs</t>
  </si>
  <si>
    <t>BT1 PASS IP (PL625 / PL626)</t>
  </si>
  <si>
    <t>1625015 (PL625 / PL626)</t>
  </si>
  <si>
    <t>64/139.5</t>
  </si>
  <si>
    <t>48.5/56.5</t>
  </si>
  <si>
    <t>https://drive.google.com/open?id=1u-32ev8tFpm7vokX66ZOOdeuI11zez6P&amp;usp=drive_fs</t>
  </si>
  <si>
    <t>https://drive.google.com/open?id=1u4IHcaDR8oiWE-t99Cyvr7qr5XKtO0B1&amp;usp=drive_fs</t>
  </si>
  <si>
    <t>https://drive.google.com/open?id=1u7oD-MNdRYDbc5dUefS2vKM60gqUuIEC&amp;usp=drive_fs</t>
  </si>
  <si>
    <t>https://drive.google.com/open?id=1uAOzyRFP6BftsEIRhXklUzwrll17_Vow&amp;usp=drive_fs</t>
  </si>
  <si>
    <t>1628012 (PL-628)</t>
  </si>
  <si>
    <t>BT1 DRIVER MID (PL-628)</t>
  </si>
  <si>
    <t>ESP-HFIM-347</t>
  </si>
  <si>
    <t>ESP-HFIM-348</t>
  </si>
  <si>
    <t>ESP-HFIM-349</t>
  </si>
  <si>
    <t>ESP-HFIM-350</t>
  </si>
  <si>
    <t>ESP-HFIM-351</t>
  </si>
  <si>
    <t>ESP-HFIM-352</t>
  </si>
  <si>
    <t>https://drive.google.com/open?id=1uFGDYN6a2YKvBs_0kL8FvQD7ZO52ZZ6i&amp;usp=drive_fs</t>
  </si>
  <si>
    <t>https://drive.google.com/open?id=1uMFLFSAtqm7pAPlY2Bw_TnCfjdTtVaPQ&amp;usp=drive_fs</t>
  </si>
  <si>
    <t>https://drive.google.com/open?id=1uP4C-JTz-dsByPlj_PZVsKW7XaNpMR6_&amp;usp=drive_fs</t>
  </si>
  <si>
    <t>https://drive.google.com/open?id=1uTNYq21wPmwzkgQunqvthOstYuc3lSim&amp;usp=drive_fs</t>
  </si>
  <si>
    <t>162013 (PL-629)</t>
  </si>
  <si>
    <t>ESP-HFIM-353</t>
  </si>
  <si>
    <t>https://drive.google.com/open?id=1uUCIrQYqgiSPXHH6g_rf1JJucUMKXZrk&amp;usp=drive_fs</t>
  </si>
  <si>
    <t>https://drive.google.com/open?id=1uXKlcNw7D_9x-kko9Z2KdueK6BEDSyRQ&amp;usp=drive_fs</t>
  </si>
  <si>
    <t>https://drive.google.com/open?id=1ucjzJoe4v4kU1iITyZxoacM9AqE7Loo3&amp;usp=drive_fs</t>
  </si>
  <si>
    <t>https://drive.google.com/open?id=1ue4aiZZAgp0KHL9SPbZ3U-p29yvWgdQb&amp;usp=drive_fs</t>
  </si>
  <si>
    <t>MWSI-7</t>
  </si>
  <si>
    <t>MWSI-8</t>
  </si>
  <si>
    <t>ESP-ALP-015</t>
  </si>
  <si>
    <t>ESP-ALP-016</t>
  </si>
  <si>
    <t>ESP-CYCS-012</t>
  </si>
  <si>
    <t>PKG0450</t>
  </si>
  <si>
    <t>https://drive.google.com/open?id=1x1RTqgk3AUaC5g1i4PvgBqoIZucmFrGs&amp;usp=drive_fs</t>
  </si>
  <si>
    <t>NUEZ PECANA</t>
  </si>
  <si>
    <t>NUEZ DE PECANA</t>
  </si>
  <si>
    <t>46-0705</t>
  </si>
  <si>
    <t>ESP-PO-049</t>
  </si>
  <si>
    <t>https://drive.google.com/open?id=1xKeYB2d-xgF69BZfZMb7Hb1mgZN2B7ba&amp;usp=drive_fs</t>
  </si>
  <si>
    <t>ESP-PO-048</t>
  </si>
  <si>
    <t>ESP-PO-030</t>
  </si>
  <si>
    <t>ESP-PO-031</t>
  </si>
  <si>
    <t>ESP-PO-032</t>
  </si>
  <si>
    <t>ESP-PO-033</t>
  </si>
  <si>
    <t>ESP-PO-034</t>
  </si>
  <si>
    <t>ESP-PO-035</t>
  </si>
  <si>
    <t>ESP-PO-036</t>
  </si>
  <si>
    <t>ESP-PO-037</t>
  </si>
  <si>
    <t>ESP-PO-038</t>
  </si>
  <si>
    <t>ESP-PO-039</t>
  </si>
  <si>
    <t>ESP-PO-040</t>
  </si>
  <si>
    <t>ESP-PO-041</t>
  </si>
  <si>
    <t>ESP-PO-042</t>
  </si>
  <si>
    <t>ESP-PO-043</t>
  </si>
  <si>
    <t>ESP-PO-044</t>
  </si>
  <si>
    <t>ESP-PO-045</t>
  </si>
  <si>
    <t>ESP-PO-046</t>
  </si>
  <si>
    <t>ESP-PO-047</t>
  </si>
  <si>
    <t>46-0666</t>
  </si>
  <si>
    <t>https://drive.google.com/open?id=1xTWLbnyJYeaeb2WA5lLxmK8THPIr9utS&amp;usp=drive_fs</t>
  </si>
  <si>
    <t>ESP-PO-050</t>
  </si>
  <si>
    <t>https://drive.google.com/open?id=1-7s3NNRPQjutz4bbObxguHWNPHhal1zu&amp;usp=drive_fs</t>
  </si>
  <si>
    <t>https://drive.google.com/open?id=1-9B9YWQthj6-GFhvFJpM7o0zHsaPB98X&amp;usp=drive_fs</t>
  </si>
  <si>
    <t>XPRESS</t>
  </si>
  <si>
    <t>https://drive.google.com/open?id=1-stgw6Xk54ak3NpAJ9yVM07-0gO9oFJv&amp;usp=drive_fs</t>
  </si>
  <si>
    <t>https://drive.google.com/open?id=1QaIF6RxQtyF_GN90LevYd2VFYmqXHDzI&amp;usp=drive_fs</t>
  </si>
  <si>
    <t xml:space="preserve">TACON </t>
  </si>
  <si>
    <t>ESP-CYCS-013</t>
  </si>
  <si>
    <t>https://drive.google.com/open?id=1wcCVlyljNRY7GBqiWpkSuuhMD5YISjwt&amp;usp=drive_fs</t>
  </si>
  <si>
    <t>46X31X23</t>
  </si>
  <si>
    <t>1483024(PL-438)</t>
  </si>
  <si>
    <t>T1UL DRIVER MID (PL-438)</t>
  </si>
  <si>
    <t>ESP-HFIM-354</t>
  </si>
  <si>
    <t>ESP-HFIM-355</t>
  </si>
  <si>
    <t>ESP-HFIM-356</t>
  </si>
  <si>
    <t>ESP-HFIM-357</t>
  </si>
  <si>
    <t>https://drive.google.com/open?id=10aDTmj8-aXBCb3npyndrYVyaOpme6c6G&amp;usp=drive_fs</t>
  </si>
  <si>
    <t>https://drive.google.com/open?id=10b1oaXRmgVMMBUStXENB3Vp-cuasMxj9&amp;usp=drive_fs</t>
  </si>
  <si>
    <t>https://drive.google.com/open?id=10c7NIMqeC8lf0XveNdyJwBGyEWlrQkZ4&amp;usp=drive_fs</t>
  </si>
  <si>
    <t>https://drive.google.com/open?id=10fNXZhK9uFb-IeEgf21xna5tBntA7oV2&amp;usp=drive_fs</t>
  </si>
  <si>
    <t>https://drive.google.com/open?id=10j_3sNN1mSRjbldaqwnT9CST0tSNk7Iz&amp;usp=drive_fs</t>
  </si>
  <si>
    <t>1437025 (PL-437)</t>
  </si>
  <si>
    <t>T1UL PASS IP (PL-437)</t>
  </si>
  <si>
    <t>9 CAVIDADES 54 PIEZAS-KIT (3001145)</t>
  </si>
  <si>
    <t>CHILLER KM</t>
  </si>
  <si>
    <t>54.4/21.5</t>
  </si>
  <si>
    <t>ESP-CYCS-014</t>
  </si>
  <si>
    <t>CHILLER LB</t>
  </si>
  <si>
    <t>CHILLER DT-WS</t>
  </si>
  <si>
    <t>37.3/54.1</t>
  </si>
  <si>
    <t>48"X45"X34"</t>
  </si>
  <si>
    <t>ESP-PMW-054</t>
  </si>
  <si>
    <t>ESP-PMW-055</t>
  </si>
  <si>
    <t>ESP-PMW-056</t>
  </si>
  <si>
    <t>ESP-PMW-057</t>
  </si>
  <si>
    <t>ESP-PMW-058</t>
  </si>
  <si>
    <t>45"X48"</t>
  </si>
  <si>
    <t>48IN</t>
  </si>
  <si>
    <t>OEXV</t>
  </si>
  <si>
    <t>ERV</t>
  </si>
  <si>
    <t>CHAROLA TROQUELADA</t>
  </si>
  <si>
    <t>GTC</t>
  </si>
  <si>
    <t>56X54X9"</t>
  </si>
  <si>
    <t>TOLDOS (56"X54"X9.5")</t>
  </si>
  <si>
    <t>ESP-ADID-032</t>
  </si>
  <si>
    <t>ESP-ADID-033</t>
  </si>
  <si>
    <t>ESP-ADID-034</t>
  </si>
  <si>
    <t>ESP-ADID-035</t>
  </si>
  <si>
    <t>ESP-ADID-036</t>
  </si>
  <si>
    <t>70X54X9"</t>
  </si>
  <si>
    <t xml:space="preserve">TOLDOS (70"X54"X9") </t>
  </si>
  <si>
    <t>https://drive.google.com/open?id=132rDgOpHMbQANHDAew7MGMn7E__9-3sh&amp;usp=drive_fs</t>
  </si>
  <si>
    <t>https://drive.google.com/open?id=13BitXuk5D_2RNtRIbwGlNTVrhPrjhVK6&amp;usp=drive_fs</t>
  </si>
  <si>
    <t>https://drive.google.com/open?id=13BpjDKqNWdOeVFhgEkSBnf9lzPYdpIoE&amp;usp=drive_fs</t>
  </si>
  <si>
    <t>https://drive.google.com/open?id=13CWjWvm-pOqCsswVvCuJzKbcm-fw3Ggc&amp;usp=drive_fs</t>
  </si>
  <si>
    <t>25M PASSAPORT DASH PANEL</t>
  </si>
  <si>
    <t>ESP-HFIR-333</t>
  </si>
  <si>
    <t>ESP-HFIR-334</t>
  </si>
  <si>
    <t>ESP-HFIR-335</t>
  </si>
  <si>
    <t>ESP-HFIR-336</t>
  </si>
  <si>
    <t>1.5MIL</t>
  </si>
  <si>
    <t>https://drive.google.com/open?id=13IOsgRL_pL30mK2itbwWDA6DnnMBe7-Y&amp;usp=drive_fs</t>
  </si>
  <si>
    <t>https://drive.google.com/open?id=13MF4HTKnjKnmbRuA-R849R2dvqUaFD3x&amp;usp=drive_fs</t>
  </si>
  <si>
    <t>https://drive.google.com/open?id=13QgmsgEXHMb2zKm6WLXYXQUOzSts_xMU&amp;usp=drive_fs</t>
  </si>
  <si>
    <t>https://drive.google.com/open?id=13QwbD-uYNlJQbDofl-x08gOkwR6H7Qjy&amp;usp=drive_fs</t>
  </si>
  <si>
    <t>ESP-SHA-016</t>
  </si>
  <si>
    <t>ESP-SHA-017</t>
  </si>
  <si>
    <t>ESP-SHA-018</t>
  </si>
  <si>
    <t>ESP-SHA-019</t>
  </si>
  <si>
    <t>ESP-SHA-020</t>
  </si>
  <si>
    <t>ESP-SHA-021</t>
  </si>
  <si>
    <t>ESP-SHA-022</t>
  </si>
  <si>
    <t>ESP-SHA-023</t>
  </si>
  <si>
    <t>ESP-SHA-024</t>
  </si>
  <si>
    <t>ESP-SHA-025</t>
  </si>
  <si>
    <t>54.1/19.2</t>
  </si>
  <si>
    <t>22/11 cm</t>
  </si>
  <si>
    <t>ERV - EXV</t>
  </si>
  <si>
    <t>14/7 cm</t>
  </si>
  <si>
    <t>ESP-SHA-026</t>
  </si>
  <si>
    <t>ESP-SHA-027</t>
  </si>
  <si>
    <t>ESP-SHA-028</t>
  </si>
  <si>
    <t>Papel Plastificado</t>
  </si>
  <si>
    <t>https://drive.google.com/open?id=13kMeYIwWYO2A56bv-hxnhAPELuurN8ce&amp;usp=drive_fs</t>
  </si>
  <si>
    <t>https://drive.google.com/open?id=14xdNG-69h4hPeWmTYX54tjhwMFEUFyjq&amp;usp=drive_fs</t>
  </si>
  <si>
    <t>https://drive.google.com/open?id=14wz0J78h30Cn97QMWLomoA2WtC3cBoNM&amp;usp=drive_fs</t>
  </si>
  <si>
    <t>https://drive.google.com/open?id=14vzkWcV2dd-IkCeuNkPHOuOqB2gKpR_D&amp;usp=drive_fs</t>
  </si>
  <si>
    <t>https://drive.google.com/open?id=14vuYg0Yo4rFgbSnNDaQdxtl3YM6n15KM&amp;usp=drive_fs</t>
  </si>
  <si>
    <t>https://drive.google.com/open?id=14qYbflRD-9MHAyUhytHUQeHuRgUxvksM&amp;usp=drive_fs</t>
  </si>
  <si>
    <t>https://drive.google.com/open?id=14eu9qAU2CEpkVZxXyCJbXLuwDhpAJ7fs&amp;usp=drive_fs</t>
  </si>
  <si>
    <t>https://drive.google.com/open?id=14cRipJni4GJtU-OytqWgSYd0w7SIZ1AQ&amp;usp=drive_fs</t>
  </si>
  <si>
    <t>https://drive.google.com/open?id=14W0kEmv-sDSidZ-_lRFcupKHGYfXZDgv&amp;usp=drive_fs</t>
  </si>
  <si>
    <t>https://drive.google.com/open?id=14FauSKR9DhSgch808wo2egcbi47nGk7i&amp;usp=drive_fs</t>
  </si>
  <si>
    <t>https://drive.google.com/open?id=14xg0CdibEb-CHNo8QNc80n5fKMaLuqrm&amp;usp=drive_fs</t>
  </si>
  <si>
    <t>https://drive.google.com/open?id=143GI3e_w4DIxyLSal_bkEgVg7LcO_B04&amp;usp=drive_fs</t>
  </si>
  <si>
    <t>https://drive.google.com/open?id=151bH-3WSdmdeS4NVlIFz6UlgMr9naqlA&amp;usp=drive_fs</t>
  </si>
  <si>
    <t>ESP-SHA-029</t>
  </si>
  <si>
    <t>https://drive.google.com/open?id=13v976r66bZ0rUHxEUjG1igMoBy6kM90T&amp;usp=drive_fs</t>
  </si>
  <si>
    <t>1500717X</t>
  </si>
  <si>
    <t>P708 PLATINUM PL</t>
  </si>
  <si>
    <t>ESP-LMT-154</t>
  </si>
  <si>
    <t>ESP-LMT-155</t>
  </si>
  <si>
    <t>1500718X</t>
  </si>
  <si>
    <t>https://drive.google.com/open?id=155lKbyaiQLezrksOCBZk1skmqQEBbdw3&amp;usp=drive_fs</t>
  </si>
  <si>
    <t>https://drive.google.com/open?id=15Ej2gyOQ-yJLdj72gRwNuqw9_Ruv1Iqd&amp;usp=drive_fs</t>
  </si>
  <si>
    <t>ARCHIVO ARTE</t>
  </si>
  <si>
    <t>ESP-CYCS-015</t>
  </si>
  <si>
    <t>https://drive.google.com/open?id=1qLNwsH9OJh4eBeK0733aYWR0LfWa8YIK&amp;usp=drive_fs</t>
  </si>
  <si>
    <t>SAL CON MANTEQUILLA</t>
  </si>
  <si>
    <t>ESP-MAR-020</t>
  </si>
  <si>
    <t>CSE CENTRAL</t>
  </si>
  <si>
    <t>Accumulatro Bundle</t>
  </si>
  <si>
    <t>RS-0028</t>
  </si>
  <si>
    <t>DN-0110</t>
  </si>
  <si>
    <t>DUNNAGE</t>
  </si>
  <si>
    <t>ESP-SHA-030</t>
  </si>
  <si>
    <t>ESP-SHA-031</t>
  </si>
  <si>
    <t>ESP-SHA-032</t>
  </si>
  <si>
    <t>ESP-SHA-033</t>
  </si>
  <si>
    <t>ESP-SHA-034</t>
  </si>
  <si>
    <t>ESP-SHA-037</t>
  </si>
  <si>
    <t xml:space="preserve">Control Manifold </t>
  </si>
  <si>
    <t>EWP 80-002</t>
  </si>
  <si>
    <t>ESP-SHA-038</t>
  </si>
  <si>
    <t>TMC-100</t>
  </si>
  <si>
    <t>ESP-TT-104</t>
  </si>
  <si>
    <t>ESP-TT-105</t>
  </si>
  <si>
    <t>59/60</t>
  </si>
  <si>
    <t>ESP-TT-106</t>
  </si>
  <si>
    <t>ESP-TT-107</t>
  </si>
  <si>
    <t>THANOS 100/ TESLA 100 / CABECERA / 6 CAV</t>
  </si>
  <si>
    <t>https://drive.google.com/open?id=11cBo5ZPJ9Xh5yZdVd65CzyBly48z-r5f&amp;usp=drive_fs</t>
  </si>
  <si>
    <t>https://drive.google.com/open?id=11g_DKpAs5ovkeJXpCd0J5dRc-aHEaXNl&amp;usp=drive_fs</t>
  </si>
  <si>
    <t>https://drive.google.com/open?id=11hZjicQkoWZEb5sLTljYJ6cSDc61rxRA&amp;usp=drive_fs</t>
  </si>
  <si>
    <t>https://drive.google.com/open?id=11oclUAEDy7xBA_-pEgyPDoxqe_NNhMTp&amp;usp=drive_fs</t>
  </si>
  <si>
    <t>SL-0013</t>
  </si>
  <si>
    <t>DIV</t>
  </si>
  <si>
    <t>DIE CUT</t>
  </si>
  <si>
    <t>DV-0011</t>
  </si>
  <si>
    <t>WOODEN POST</t>
  </si>
  <si>
    <t>LID-0016</t>
  </si>
  <si>
    <t>SMF PD20</t>
  </si>
  <si>
    <t>ESP-SHA-039</t>
  </si>
  <si>
    <t>ESP-SHA-040</t>
  </si>
  <si>
    <t>ESP-SHA-041</t>
  </si>
  <si>
    <t>ESP-SHA-042</t>
  </si>
  <si>
    <t>ESP-SHA-043</t>
  </si>
  <si>
    <t>ESP-SHA-044</t>
  </si>
  <si>
    <t>ECT-80/51</t>
  </si>
  <si>
    <t>ESP-SDC-014</t>
  </si>
  <si>
    <t>ESP-SDC-015</t>
  </si>
  <si>
    <t>ESP-SDC-016</t>
  </si>
  <si>
    <t>460955-M</t>
  </si>
  <si>
    <t>460955-S</t>
  </si>
  <si>
    <t>460955-T</t>
  </si>
  <si>
    <t>460955-E</t>
  </si>
  <si>
    <t>https://drive.google.com/open?id=14u3ib2i_Lql_dLHiKTzM4EoQRv48dLWZ&amp;usp=drive_fs</t>
  </si>
  <si>
    <t>https://drive.google.com/open?id=14z-XnsBPCz5p-wqOWVAxF_sVExX36Qdf&amp;usp=drive_fs</t>
  </si>
  <si>
    <t>https://drive.google.com/open?id=152bgQV9g-2jqizvH8R9DaqqqSGfOpX1I&amp;usp=drive_fs</t>
  </si>
  <si>
    <t>https://drive.google.com/open?id=155vltSi4U-f8HvCnYkuv9vvLNysBlm7b&amp;usp=drive_fs</t>
  </si>
  <si>
    <t>https://drive.google.com/open?id=15D9Mi_5IF6kE-2P_stzaHzIt7bC2KmW5&amp;usp=drive_fs</t>
  </si>
  <si>
    <t>ESP-SDC-017</t>
  </si>
  <si>
    <t>01590811-C</t>
  </si>
  <si>
    <t>BCM - (TMM-FCM-VCM)</t>
  </si>
  <si>
    <t>ESP-DUO-020</t>
  </si>
  <si>
    <t>ESP-DUO-021</t>
  </si>
  <si>
    <t>ESP-DUO-022</t>
  </si>
  <si>
    <t>ESP-DUO-023</t>
  </si>
  <si>
    <t>ESP-DUO-024</t>
  </si>
  <si>
    <t>ESP-DUO-025</t>
  </si>
  <si>
    <t>ESP-DUO-026</t>
  </si>
  <si>
    <t>ESP-DUO-027</t>
  </si>
  <si>
    <t>ESP-DUO-028</t>
  </si>
  <si>
    <t>01590811-R</t>
  </si>
  <si>
    <t>01590811-S</t>
  </si>
  <si>
    <t>01590812-C</t>
  </si>
  <si>
    <t>01590812-E</t>
  </si>
  <si>
    <t>01590812-S</t>
  </si>
  <si>
    <t>CGW</t>
  </si>
  <si>
    <t>1590269-C</t>
  </si>
  <si>
    <t>1590269-R</t>
  </si>
  <si>
    <t>1590269-S</t>
  </si>
  <si>
    <t>VHC</t>
  </si>
  <si>
    <t>https://drive.google.com/open?id=1_h1URWa0MbLetY52NAQV5NV0nh7Rmsve&amp;usp=drive_fs</t>
  </si>
  <si>
    <t>GB Surround</t>
  </si>
  <si>
    <t>ESP-LMT-156</t>
  </si>
  <si>
    <t>ESP-LMT-157</t>
  </si>
  <si>
    <t>ESP-LMT-158</t>
  </si>
  <si>
    <t>ESP-LMT-159</t>
  </si>
  <si>
    <t>ESP-LMT-160</t>
  </si>
  <si>
    <t>ESP-LMT-161</t>
  </si>
  <si>
    <t>ESP-LMT-162</t>
  </si>
  <si>
    <t>ESP-LMT-163</t>
  </si>
  <si>
    <t>ESP-LMT-164</t>
  </si>
  <si>
    <t>ESP-LMT-165</t>
  </si>
  <si>
    <t>ESP-LMT-166</t>
  </si>
  <si>
    <t>ESP-LMT-167</t>
  </si>
  <si>
    <t>BOLSTER-CAJA</t>
  </si>
  <si>
    <t>BOLSTER-REJILLAS</t>
  </si>
  <si>
    <t>BOLSTER IP PASS MID</t>
  </si>
  <si>
    <t>IB</t>
  </si>
  <si>
    <t>GB DOOR</t>
  </si>
  <si>
    <t>PASSANGER</t>
  </si>
  <si>
    <t>RS-0030</t>
  </si>
  <si>
    <t>16 EWP</t>
  </si>
  <si>
    <t>ESP-SHA-045</t>
  </si>
  <si>
    <t>ESP-SHA-046</t>
  </si>
  <si>
    <t>ESP-SHA-047</t>
  </si>
  <si>
    <t>https://drive.google.com/open?id=18z0aatDqWXugAy4jNxu8JhXtJE3jwjcD&amp;usp=drive_fs</t>
  </si>
  <si>
    <t>CYCS/XPRESS</t>
  </si>
  <si>
    <t>CYCS/ArcoArte</t>
  </si>
  <si>
    <t>CYCS/MARIO DAVILA</t>
  </si>
  <si>
    <t>40X60 SENCILLO</t>
  </si>
  <si>
    <t>40X60 DOBLE</t>
  </si>
  <si>
    <t>ESP-CYCS-018</t>
  </si>
  <si>
    <t>ESP-CYCS-016</t>
  </si>
  <si>
    <t>ESP-CYCS-017</t>
  </si>
  <si>
    <t>ESP-CYCS-019</t>
  </si>
  <si>
    <t>RPC036</t>
  </si>
  <si>
    <t>ESP-NCS-042</t>
  </si>
  <si>
    <t>70X40X50</t>
  </si>
  <si>
    <t>TAPA</t>
  </si>
  <si>
    <t>22X16X9</t>
  </si>
  <si>
    <t>54X38X10</t>
  </si>
  <si>
    <t>54X38</t>
  </si>
  <si>
    <t>54X38 FOAM</t>
  </si>
  <si>
    <t>708B  22M RR AR CONSOLE LH-RH</t>
  </si>
  <si>
    <t>ESP-HFIM-358</t>
  </si>
  <si>
    <t>ESP-HFIM-359</t>
  </si>
  <si>
    <t>ESP-HFIM-360</t>
  </si>
  <si>
    <t>ESP-HFIM-361</t>
  </si>
  <si>
    <t>ESP-LMT-168</t>
  </si>
  <si>
    <t>ESP-LMT-169</t>
  </si>
  <si>
    <t>ESP-LMT-170</t>
  </si>
  <si>
    <t>ESP-LMT-171</t>
  </si>
  <si>
    <t>ESP-LMT-172</t>
  </si>
  <si>
    <t>ESP-LMT-173</t>
  </si>
  <si>
    <t>ESP-LMT-174</t>
  </si>
  <si>
    <t>ESP-LMT-175</t>
  </si>
  <si>
    <t>ESP-LMT-176</t>
  </si>
  <si>
    <t>ESP-LMT-177</t>
  </si>
  <si>
    <t>ESP-LMT-178</t>
  </si>
  <si>
    <t>ESP-LMT-179</t>
  </si>
  <si>
    <t>ESP-LMT-180</t>
  </si>
  <si>
    <t>ESP-LMT-181</t>
  </si>
  <si>
    <t>ESP-LMT-182</t>
  </si>
  <si>
    <t>ESP-LMT-183</t>
  </si>
  <si>
    <t>60X37</t>
  </si>
  <si>
    <t>70X34</t>
  </si>
  <si>
    <t>59X54</t>
  </si>
  <si>
    <t>KNEE BLOCKER</t>
  </si>
  <si>
    <t>ESP-LMT-1577</t>
  </si>
  <si>
    <t>OB FG PACKAGING</t>
  </si>
  <si>
    <t>ESP-LMT-184</t>
  </si>
  <si>
    <t>ESP-LMT-185</t>
  </si>
  <si>
    <t>HIGHLAND</t>
  </si>
  <si>
    <t>2103064-00-A (CENTER)</t>
  </si>
  <si>
    <t>ESP-SDC-019</t>
  </si>
  <si>
    <t>ESP-SDC-020</t>
  </si>
  <si>
    <t>https://drive.google.com/open?id=1HSL8zBLimA44sM7i-XFFdEo31QFlHqbS&amp;usp=drive_fs</t>
  </si>
  <si>
    <t>https://drive.google.com/open?id=1HVx76Qe6rV0UxlWhNkfzhSPEFNMjh7ja&amp;usp=drive_fs</t>
  </si>
  <si>
    <t>https://drive.google.com/open?id=1H_hYtPhmMQyUXvIz9ulO6vLHe6mZRe_r&amp;usp=drive_fs</t>
  </si>
  <si>
    <t>https://drive.google.com/open?id=1Hd1IJParm7p4jyKunbbhtkzrErxtnK_B&amp;usp=drive_fs</t>
  </si>
  <si>
    <t>https://drive.google.com/open?id=1HhymgOLJ4GWIr2qOJ0oJ8EJc1hdG3Dmv&amp;usp=drive_fs</t>
  </si>
  <si>
    <t>https://drive.google.com/open?id=1HmK51ErRJVuidNQ2xVzq2HWDQWXux071&amp;usp=drive_fs</t>
  </si>
  <si>
    <t>https://drive.google.com/open?id=1HnFehh3YUWDH4vn3FeUU_IaurJQVYfIh&amp;usp=drive_fs</t>
  </si>
  <si>
    <t>https://drive.google.com/open?id=1Hp8JYHQZi3lN1jEjh0lQULYI6CKjal4Z&amp;usp=drive_fs</t>
  </si>
  <si>
    <t>https://drive.google.com/open?id=1I3wyAlsslqLoiweh4Uul6_nSbXoxPWuA&amp;usp=drive_fs</t>
  </si>
  <si>
    <t>https://drive.google.com/open?id=1HrgRYG1uVksnziXpxAgSORlgmF6wnfSF&amp;usp=drive_fs</t>
  </si>
  <si>
    <t>https://drive.google.com/open?id=1I727PL92eAlV3v5fii-CCJr0zu8Ac8Ag&amp;usp=drive_fs</t>
  </si>
  <si>
    <t>https://drive.google.com/open?id=1I7oyT3ArAb17Os9HsSt6k36gxCvZ46DM&amp;usp=drive_fs</t>
  </si>
  <si>
    <t>https://drive.google.com/open?id=1I7XEaaDoCe5V-7b3SJhF-lqr9IQPyhxd&amp;usp=drive_fs</t>
  </si>
  <si>
    <t>1500702X</t>
  </si>
  <si>
    <t>1500703X</t>
  </si>
  <si>
    <t>ESP-LMT-186</t>
  </si>
  <si>
    <t>ESP-LMT-187</t>
  </si>
  <si>
    <t>1500706X</t>
  </si>
  <si>
    <t>1500707X</t>
  </si>
  <si>
    <t>EMP-0042</t>
  </si>
  <si>
    <t>51X53</t>
  </si>
  <si>
    <t>EMP-0012</t>
  </si>
  <si>
    <t>EMP-0014</t>
  </si>
  <si>
    <t>EMP-0059</t>
  </si>
  <si>
    <t>EMP-0011</t>
  </si>
  <si>
    <t>EMP-0017</t>
  </si>
  <si>
    <t>EMP-0081</t>
  </si>
  <si>
    <t>EMP-0070</t>
  </si>
  <si>
    <t>EMP-0078</t>
  </si>
  <si>
    <t>EMP-0008</t>
  </si>
  <si>
    <t>EMP-0043</t>
  </si>
  <si>
    <t>EMP-0007</t>
  </si>
  <si>
    <t>ESP-PMW-059</t>
  </si>
  <si>
    <t>ESP-PMW-060</t>
  </si>
  <si>
    <t>ESP-PMW-061</t>
  </si>
  <si>
    <t>ESP-PMW-062</t>
  </si>
  <si>
    <t>ESP-PMW-063</t>
  </si>
  <si>
    <t>ESP-PMW-064</t>
  </si>
  <si>
    <t>ESP-PP-028</t>
  </si>
  <si>
    <t>12X24"</t>
  </si>
  <si>
    <t>https://drive.google.com/open?id=1Lr6DbsRTWwB-KoBZJ7X3oX-ClV7OaqCa&amp;usp=drive_fs</t>
  </si>
  <si>
    <t>46-0914</t>
  </si>
  <si>
    <t>https://drive.google.com/open?id=1LzdxVcl_CkKIkTBIFUONUpg0Olc-khTU&amp;usp=drive_fs</t>
  </si>
  <si>
    <t>ESP-PO-051</t>
  </si>
  <si>
    <t>111X22X42</t>
  </si>
  <si>
    <t>BR463 CHICA</t>
  </si>
  <si>
    <t>112X23X8</t>
  </si>
  <si>
    <t>118X113X85</t>
  </si>
  <si>
    <t>119X114X8</t>
  </si>
  <si>
    <t>109X10.3X4</t>
  </si>
  <si>
    <t>ECT - 32 + 42</t>
  </si>
  <si>
    <t>116X26X37</t>
  </si>
  <si>
    <t>BR463 GRANDE</t>
  </si>
  <si>
    <t>ESP-PMW-065</t>
  </si>
  <si>
    <t>ESP-PMW-066</t>
  </si>
  <si>
    <t>ESP-PMW-067</t>
  </si>
  <si>
    <t>117X26X8</t>
  </si>
  <si>
    <t>118X113X115</t>
  </si>
  <si>
    <t>D/S</t>
  </si>
  <si>
    <t>114X10X4</t>
  </si>
  <si>
    <t>DN-463G</t>
  </si>
  <si>
    <t>ESP-PMW-068</t>
  </si>
  <si>
    <t>DN-463C</t>
  </si>
  <si>
    <t>DV-0040</t>
  </si>
  <si>
    <t>1500704X</t>
  </si>
  <si>
    <t>1500705X</t>
  </si>
  <si>
    <t>ESP-LMT-190</t>
  </si>
  <si>
    <t>ESP-LMT-191</t>
  </si>
  <si>
    <t>TBA 241B FG GRIP</t>
  </si>
  <si>
    <t>ESP-LMT-192</t>
  </si>
  <si>
    <t>ESP-LMT-193</t>
  </si>
  <si>
    <t>ESP-LMT-194</t>
  </si>
  <si>
    <t>ESP-LMT-195</t>
  </si>
  <si>
    <t>EMP -706</t>
  </si>
  <si>
    <t>EMP-475</t>
  </si>
  <si>
    <t>EMP-315</t>
  </si>
  <si>
    <t>EMP-361</t>
  </si>
  <si>
    <t>125X125</t>
  </si>
  <si>
    <t>ESP-NCS-043</t>
  </si>
  <si>
    <t>ESP-NCS-044</t>
  </si>
  <si>
    <t>ESP-NCS-045</t>
  </si>
  <si>
    <t>ESP-NCS-046</t>
  </si>
  <si>
    <t>ESP-NCS-047</t>
  </si>
  <si>
    <t>ESP-NCS-048</t>
  </si>
  <si>
    <t>ESP-NCS-049</t>
  </si>
  <si>
    <t>ESP-NCS-050</t>
  </si>
  <si>
    <t>EMP-708</t>
  </si>
  <si>
    <t>1502126MA</t>
  </si>
  <si>
    <t>1502128M</t>
  </si>
  <si>
    <t>1502127MA</t>
  </si>
  <si>
    <t>1502129M</t>
  </si>
  <si>
    <t>TBA 241B FG ARMREST</t>
  </si>
  <si>
    <t>https://drive.google.com/open?id=1QUBhyoW8Y8bRvA6dK8I3Bjp9_xfB5rBA&amp;usp=drive_fs</t>
  </si>
  <si>
    <t>https://drive.google.com/open?id=1QSdCmYyBPTEem5ZtGjhCVnaMSXfeA0M8&amp;usp=drive_fs</t>
  </si>
  <si>
    <t>https://drive.google.com/open?id=1Q_boHhyPmNIC2hihtesL08csdSaMP92r&amp;usp=drive_fs</t>
  </si>
  <si>
    <t>https://drive.google.com/open?id=1QSvUapqeb33SqWTcBo-ElTYl8hqpcnT4&amp;usp=drive_fs</t>
  </si>
  <si>
    <t>50CAV</t>
  </si>
  <si>
    <t>IMC 200 50CAV</t>
  </si>
  <si>
    <t xml:space="preserve">1500800X </t>
  </si>
  <si>
    <t>1500800X R</t>
  </si>
  <si>
    <t>TOYOTA BOTA</t>
  </si>
  <si>
    <t>ESP-GH-015</t>
  </si>
  <si>
    <t>ESP-GH-016</t>
  </si>
  <si>
    <t>ESP-GH-017</t>
  </si>
  <si>
    <t>ESP-GH-018</t>
  </si>
  <si>
    <t>ESP-GH-019</t>
  </si>
  <si>
    <t>ESP-GH-020</t>
  </si>
  <si>
    <t>ESP-GH-021</t>
  </si>
  <si>
    <t>ESP-GH-022</t>
  </si>
  <si>
    <t>INDICADOR</t>
  </si>
  <si>
    <t>C10K1</t>
  </si>
  <si>
    <t>C7K2</t>
  </si>
  <si>
    <t>ESP-PGA-015</t>
  </si>
  <si>
    <t>ESP-PGA-016</t>
  </si>
  <si>
    <t>ESP-PGA-017</t>
  </si>
  <si>
    <t>46-0705 (PASSINGER)</t>
  </si>
  <si>
    <t>MX-PCK-0128 (REJILLA R)</t>
  </si>
  <si>
    <t>ESP-PP-029</t>
  </si>
  <si>
    <t>https://drive.google.com/open?id=1Zi6blJ77lCWNsS4RQ42e4AXBDMNWSJE3&amp;usp=drive_fs</t>
  </si>
  <si>
    <t>46-0695</t>
  </si>
  <si>
    <t>SPIRIT / ATV / SNOW</t>
  </si>
  <si>
    <t>ESP-PO-021</t>
  </si>
  <si>
    <t>https://drive.google.com/open?id=1_ZriN_-yhftQLqJOIp7Huwjessyh_jaV&amp;usp=drive_fs</t>
  </si>
  <si>
    <t>ESP-RPS-001</t>
  </si>
  <si>
    <t>ESP-RPS-003</t>
  </si>
  <si>
    <t>ESP-RPS-004</t>
  </si>
  <si>
    <t>ESP-RPS-005</t>
  </si>
  <si>
    <t>ESP-RPS-006</t>
  </si>
  <si>
    <t>ESP-RPS-007</t>
  </si>
  <si>
    <t>ESP-RPS-008</t>
  </si>
  <si>
    <t>ESP-RPS-009</t>
  </si>
  <si>
    <t>ESP-RPS-010</t>
  </si>
  <si>
    <t>ESP-RPS-011</t>
  </si>
  <si>
    <t>ESP-RPS-012</t>
  </si>
  <si>
    <t>ESP-RPS-013</t>
  </si>
  <si>
    <t>ESP-RPS-002</t>
  </si>
  <si>
    <t>ESP-RPS-014</t>
  </si>
  <si>
    <t>ESP-RPS-015</t>
  </si>
  <si>
    <t>ESP-RPS-016</t>
  </si>
  <si>
    <t>EWP-0061</t>
  </si>
  <si>
    <t>EWP-0047</t>
  </si>
  <si>
    <t>EWP-0082</t>
  </si>
  <si>
    <t>EMP-0085</t>
  </si>
  <si>
    <t>ESP-RPS-017</t>
  </si>
  <si>
    <t>EMP-0086</t>
  </si>
  <si>
    <t>EMP-0084</t>
  </si>
  <si>
    <t>ESP-RPS-019</t>
  </si>
  <si>
    <t>88X72X34</t>
  </si>
  <si>
    <t>ESP-TT-108</t>
  </si>
  <si>
    <t>ESP-TT-109</t>
  </si>
  <si>
    <t>ESP-TT-110</t>
  </si>
  <si>
    <t>87X81X14</t>
  </si>
  <si>
    <t>87X71</t>
  </si>
  <si>
    <t>ESP-RPS-021</t>
  </si>
  <si>
    <t>ESP-RPS-022</t>
  </si>
  <si>
    <t>ESP-RPS-023</t>
  </si>
  <si>
    <t>EMP-0069</t>
  </si>
  <si>
    <t>EMP-0022</t>
  </si>
  <si>
    <t>ESP-CYCS-020</t>
  </si>
  <si>
    <t>https://drive.google.com/open?id=1bFYBo3VD3FwWmFq1yHdohgJ-v9s-ozgu&amp;usp=drive_fs</t>
  </si>
  <si>
    <t>https://drive.google.com/open?id=1bDYSdePePJAe80nNYrmzMqgaTgbjcFLS&amp;usp=drive_fs</t>
  </si>
  <si>
    <t>https://drive.google.com/open?id=1b8xZmqeg_X2jVfqp3rLlsVtKDiEij1gA&amp;usp=drive_fs</t>
  </si>
  <si>
    <t>https://drive.google.com/open?id=1b0RGeSMnAOvcdNIovcTVeN3emKa02MeG&amp;usp=drive_fs</t>
  </si>
  <si>
    <t>https://drive.google.com/open?id=1c29Y62U3MwaqgmoVVu8e0xRYyrOw2Vg8&amp;usp=drive_fs</t>
  </si>
  <si>
    <t>https://drive.google.com/open?id=1bzLEBROVk2J4y9gAbC0e-wRUyzXQ52AQ&amp;usp=drive_fs</t>
  </si>
  <si>
    <t>https://drive.google.com/open?id=1bwBPC8gXmEBm6jlhpvJuWIA9MpEIFGs-&amp;usp=drive_fs</t>
  </si>
  <si>
    <t>https://drive.google.com/open?id=1bhXx0ZgYc2P_snVnrxUeFaHSO-HVFpkW&amp;usp=drive_fs</t>
  </si>
  <si>
    <t>https://drive.google.com/open?id=1bZvkSFWsecfDwK1OpWDPM7A9pqx1RS1Z&amp;usp=drive_fs</t>
  </si>
  <si>
    <t>https://drive.google.com/open?id=1bQut8J49T4-HqK_9IerFCECZEhAWbWOJ&amp;usp=drive_fs</t>
  </si>
  <si>
    <t>https://drive.google.com/open?id=1bL0rlqFk1bUn3cNNeUD45qYX8UeZ25yC&amp;usp=drive_fs</t>
  </si>
  <si>
    <t>https://drive.google.com/open?id=1d-xVoYt7zmI78nvGfMCJ9wT5UuVePHbw&amp;usp=drive_fs</t>
  </si>
  <si>
    <t>https://drive.google.com/open?id=1czg2qUaF-0GgqjyPHSx9Qi62lcV5wjOn&amp;usp=drive_fs</t>
  </si>
  <si>
    <t>EMP-0021</t>
  </si>
  <si>
    <t>ESP-RPS-024</t>
  </si>
  <si>
    <t>ESP-RPS-025</t>
  </si>
  <si>
    <t>ESP-RPS-026</t>
  </si>
  <si>
    <t>ESP-RPS-027</t>
  </si>
  <si>
    <t>ESP-RPS-028</t>
  </si>
  <si>
    <t>ESP-RPS-029</t>
  </si>
  <si>
    <t>ESP-RPS-030</t>
  </si>
  <si>
    <t>EMP-0079</t>
  </si>
  <si>
    <t>EMP-0048</t>
  </si>
  <si>
    <t>EMP-0060</t>
  </si>
  <si>
    <t>EMP-0083</t>
  </si>
  <si>
    <t>EMP-0044</t>
  </si>
  <si>
    <t>EMP-TBD</t>
  </si>
  <si>
    <t>35/23</t>
  </si>
  <si>
    <t>https://drive.google.com/open?id=1fNLH7GcydS71PW6UgRwtlQevoyMuRIRf&amp;usp=drive_fs</t>
  </si>
  <si>
    <t>https://drive.google.com/open?id=1fLzJi0MnDEayhdY_z8znTiL-MwL_Keu8&amp;usp=drive_fs</t>
  </si>
  <si>
    <t>https://drive.google.com/open?id=1f5U-3p393FcoJ1miL6f0X4UwMERwq8NL&amp;usp=drive_fs</t>
  </si>
  <si>
    <t>https://drive.google.com/open?id=1f3-MjsXEjmHMZrofWsAycNVKxScmbm7n&amp;usp=drive_fs</t>
  </si>
  <si>
    <t>https://drive.google.com/open?id=1ex1V5q2yE5th46NVdvuEFxKBlNs5U_kX&amp;usp=drive_fs</t>
  </si>
  <si>
    <t>https://drive.google.com/open?id=1fO-K9jecbqlYqbCpsIDAaDk9liOdfbDk&amp;usp=drive_fs</t>
  </si>
  <si>
    <t>47-0794 (PROARMOR)</t>
  </si>
  <si>
    <t>PROARMOR</t>
  </si>
  <si>
    <t>ESP-PMW-005</t>
  </si>
  <si>
    <t>https://drive.google.com/open?id=1h2PmpEg919ogREIi7fn5HUxJQSVY8gzD&amp;usp=drive_fs</t>
  </si>
  <si>
    <t>46-0680</t>
  </si>
  <si>
    <t>CHICA P/EXPORTACION</t>
  </si>
  <si>
    <t>https://drive.google.com/open?id=1jeUe5wWZmaUlTxy2IDLLJnLQOR0ciRB0&amp;usp=drive_fs</t>
  </si>
  <si>
    <t>https://drive.google.com/open?id=1jgTQr97nZHpzhyRN_bheNVTg2hCV0jR0&amp;usp=drive_fs</t>
  </si>
  <si>
    <t>https://drive.google.com/open?id=1jpxJ1NsOpi-YpqLElYs2CVS5VKelaCFr&amp;usp=drive_fs</t>
  </si>
  <si>
    <t>46-0696</t>
  </si>
  <si>
    <t>RAZOR RESPALDO</t>
  </si>
  <si>
    <t>ESP-PO-019</t>
  </si>
  <si>
    <t>ESP-PO-029</t>
  </si>
  <si>
    <t>https://drive.google.com/open?id=1jwu1UY9JI1E6_LB1fxtVfwIYh9CHd6_U&amp;usp=drive_fs</t>
  </si>
  <si>
    <t>46-0697</t>
  </si>
  <si>
    <t>RANGER COVER / PT</t>
  </si>
  <si>
    <t>ESP-PO-022</t>
  </si>
  <si>
    <t>https://drive.google.com/open?id=1k75gjeg8oWeB69eS8PEnxb6bJHaYnGpa&amp;usp=drive_fs</t>
  </si>
  <si>
    <t>CAJA BMW</t>
  </si>
  <si>
    <t>BMW SERVICE CAP</t>
  </si>
  <si>
    <t>ESP-LMT-196</t>
  </si>
  <si>
    <t>ESP-LMT-197</t>
  </si>
  <si>
    <t>ESP-LMT-198</t>
  </si>
  <si>
    <t>ESP-LMT-199</t>
  </si>
  <si>
    <t>ESP-LMT-200</t>
  </si>
  <si>
    <t>ESP-LMT-201</t>
  </si>
  <si>
    <t>ESP-LMT-202</t>
  </si>
  <si>
    <t>REJILLA  BMW</t>
  </si>
  <si>
    <t>TAPA  TELESCOPICA</t>
  </si>
  <si>
    <t>1500811X</t>
  </si>
  <si>
    <t>CPK STELLANTIS</t>
  </si>
  <si>
    <t>1500473XA</t>
  </si>
  <si>
    <t>47-0787</t>
  </si>
  <si>
    <t>ESP-PO-018</t>
  </si>
  <si>
    <t>47-0792</t>
  </si>
  <si>
    <t>ESP-PO-017</t>
  </si>
  <si>
    <t>https://drive.google.com/open?id=1lIL6OG3pujq1dgHEyPgkRqzXcTgPBU6I&amp;usp=drive_fs</t>
  </si>
  <si>
    <t>https://drive.google.com/open?id=1lk2Ade7lJM_iG_eb8WBJWTfO3cuJh2pp&amp;usp=drive_fs</t>
  </si>
  <si>
    <t>8"X22"X35"</t>
  </si>
  <si>
    <t>ESP-PO-016</t>
  </si>
  <si>
    <t>https://drive.google.com/open?id=1lp-MHn_NFkV02fxEhaEIL4hiQok6IJ-V&amp;usp=drive_fs</t>
  </si>
  <si>
    <t>ESP-PO-015</t>
  </si>
  <si>
    <t>https://drive.google.com/open?id=1lvxOJ556AyBeP5YpSFrmx9E6ABOurjU0&amp;usp=drive_fs</t>
  </si>
  <si>
    <t>DN-0112</t>
  </si>
  <si>
    <t>https://drive.google.com/open?id=1nLyHgdBpBU44HCMWV6oAeK9psAlB7QE_&amp;usp=drive_fs</t>
  </si>
  <si>
    <t>https://drive.google.com/open?id=1nR8lU8hAdmOJ5JzrhjmkJ5iZ6C8_67nO&amp;usp=drive_fs</t>
  </si>
  <si>
    <t>129620800-01 (RAM-C)</t>
  </si>
  <si>
    <t>REJLLA</t>
  </si>
  <si>
    <t>RAM-C</t>
  </si>
  <si>
    <t>https://drive.google.com/open?id=1nex5j6tUPC-cmv-H-vEb6yskqg-4o4wk&amp;usp=drive_fs</t>
  </si>
  <si>
    <t>BPC.291245.001</t>
  </si>
  <si>
    <t>FR HEADER LWR/UPR</t>
  </si>
  <si>
    <t>ESP-SDC-007</t>
  </si>
  <si>
    <t>ESP-SDC-008</t>
  </si>
  <si>
    <t>ESP-SDC-012</t>
  </si>
  <si>
    <t>https://drive.google.com/open?id=1o5DLfkJh2qPkREx78-mAXDrLhryFrLAK&amp;usp=drive_fs</t>
  </si>
  <si>
    <t>https://drive.google.com/open?id=1o6jbkMVh_0QUS6JUXKMhcZCO8m4FjLmH&amp;usp=drive_fs</t>
  </si>
  <si>
    <t>https://drive.google.com/open?id=1oAgyhQqIKF46yXDURj0BIJJrrCBLGELy&amp;usp=drive_fs</t>
  </si>
  <si>
    <t>BPC.210063.915</t>
  </si>
  <si>
    <t>BPC.210062.913</t>
  </si>
  <si>
    <t>BPC.210006.912 (DUNNAGE)</t>
  </si>
  <si>
    <t>https://drive.google.com/open?id=1oYDzwu5KcpXMjHEj7G1RGkOUkj7wpmCH&amp;usp=drive_fs</t>
  </si>
  <si>
    <t>https://drive.google.com/open?id=1og5b8KPBMPBXrapUAnvnWlv5mItUjkW0&amp;usp=drive_fs</t>
  </si>
  <si>
    <t>https://drive.google.com/open?id=1oIzHZjoYbgU5wsk8-v-C9h7sCoXwy2s4&amp;usp=drive_fs</t>
  </si>
  <si>
    <t>https://drive.google.com/open?id=1oOz1h8efk056idK-iJwHJvT-t0pKLHt6&amp;usp=drive_fs</t>
  </si>
  <si>
    <t>https://drive.google.com/open?id=1oW8ElSlT00FcUr4BYW38QH10vu1uBUxu&amp;usp=drive_fs</t>
  </si>
  <si>
    <t>https://drive.google.com/open?id=1oXjZ7TmyHy6PFQGNuBpwWctkx8BzyLBn&amp;usp=drive_fs</t>
  </si>
  <si>
    <t>BPC.210062.912</t>
  </si>
  <si>
    <t>https://drive.google.com/open?id=1nx6I777tXQdVTieHCLIVnYjKj1oz1NxW&amp;usp=drive_fs</t>
  </si>
  <si>
    <t>https://drive.google.com/open?id=1nzGYbMOt-EL4KIOwn0ls5fBs4L1i_k2p&amp;usp=drive_fs</t>
  </si>
  <si>
    <t>SP1</t>
  </si>
  <si>
    <t>SP2</t>
  </si>
  <si>
    <t>SP3</t>
  </si>
  <si>
    <t>SP4</t>
  </si>
  <si>
    <t>ESP-TT-071</t>
  </si>
  <si>
    <t>ESP-TT-072</t>
  </si>
  <si>
    <t>ESP-TT-073</t>
  </si>
  <si>
    <t>ESP-TT-074</t>
  </si>
  <si>
    <t>https://drive.google.com/open?id=1oi1x-mbDGlVY64gTKLPIadFOdPkkisXD&amp;usp=drive_fs</t>
  </si>
  <si>
    <t>https://drive.google.com/open?id=1p-oFlX4VG35Q3KPjdb5j7SN2IH-fBuFk&amp;usp=drive_fs</t>
  </si>
  <si>
    <t>15W</t>
  </si>
  <si>
    <t>https://drive.google.com/open?id=1p3ORX6CjAGTncdUFqABFzIu7IF5FW4FM&amp;usp=drive_fs</t>
  </si>
  <si>
    <t>47-0739</t>
  </si>
  <si>
    <t>47-0813</t>
  </si>
  <si>
    <t>HUNTSVILLE</t>
  </si>
  <si>
    <t>ESP-PO-014</t>
  </si>
  <si>
    <t>https://drive.google.com/open?id=1n8CoMK0DccBmvTCa4phSHX6UwEi65kTB&amp;usp=drive_fs</t>
  </si>
  <si>
    <t>CROWN</t>
  </si>
  <si>
    <t>ESP-PO-056</t>
  </si>
  <si>
    <t>https://drive.google.com/open?id=1pXbkeHIqPcOAIW4yX-o7Afj7gwW00S9j&amp;usp=drive_fs</t>
  </si>
  <si>
    <t>46-0748</t>
  </si>
  <si>
    <t>ESP-PO-013</t>
  </si>
  <si>
    <t>https://drive.google.com/open?id=1pdABjw8uaT6ZA6PglT9URukCpJeOzjhO&amp;usp=drive_fs</t>
  </si>
  <si>
    <t>46-0757</t>
  </si>
  <si>
    <t>ESP-PO-012</t>
  </si>
  <si>
    <t>https://drive.google.com/open?id=1pfjehDXyfd2QYyp9rC5dCDeuDRR-F-R2&amp;usp=drive_fs</t>
  </si>
  <si>
    <t>46-0916</t>
  </si>
  <si>
    <t>3 FILAS</t>
  </si>
  <si>
    <t>ESP-PO-011</t>
  </si>
  <si>
    <t>https://drive.google.com/open?id=1q2ZzFluWTnC8BHR57KNagjudhsXRAdCs&amp;usp=drive_fs</t>
  </si>
  <si>
    <t>INSERT (35 X 30 X 25)</t>
  </si>
  <si>
    <t>ESP-PO-010</t>
  </si>
  <si>
    <t>https://drive.google.com/open?id=1q7VYAkFtPbC8Khi0S3dWWxv4Ne33aVit&amp;usp=drive_fs</t>
  </si>
  <si>
    <t>INSERT (54 X 42)</t>
  </si>
  <si>
    <t>ESP-PO-009</t>
  </si>
  <si>
    <t>https://drive.google.com/open?id=1qEg7HeiWW-x3ghxu8XvHjlE2gGweGtCX&amp;usp=drive_fs</t>
  </si>
  <si>
    <t>40X40X25</t>
  </si>
  <si>
    <t>ESP-PO-008</t>
  </si>
  <si>
    <t>ESP-PO-007</t>
  </si>
  <si>
    <t>https://drive.google.com/open?id=1qfCnQdMpfZmtYNuEHqmdX3v8Wdb21XXR&amp;usp=drive_fs</t>
  </si>
  <si>
    <t>https://drive.google.com/open?id=1qk-F6WV3RJPaHcmMYVP45c54Ekqs64aY&amp;usp=drive_fs</t>
  </si>
  <si>
    <t>90X42</t>
  </si>
  <si>
    <t>ESP-ADIM-060</t>
  </si>
  <si>
    <t>ESP-ADIM-061</t>
  </si>
  <si>
    <t>ESP-ADIM-062</t>
  </si>
  <si>
    <t>ESP-ADIM-063</t>
  </si>
  <si>
    <t>ESP-ADIM-064</t>
  </si>
  <si>
    <t>BACK &amp; CUSHION</t>
  </si>
  <si>
    <t>CUSHION</t>
  </si>
  <si>
    <t>SEPARADOR BACK</t>
  </si>
  <si>
    <t>BACK</t>
  </si>
  <si>
    <t>FONDO BA&amp;CU</t>
  </si>
  <si>
    <t>TARIMA BACK &amp; CUSHION</t>
  </si>
  <si>
    <t>https://drive.google.com/open?id=1rL2yjylPGN9P4MdfwlK-Ng_2t8OFnTij&amp;usp=drive_fs</t>
  </si>
  <si>
    <t>https://drive.google.com/open?id=1rOz3G-MDdnI5yjGF5OfunvFWvKph1kFT&amp;usp=drive_fs</t>
  </si>
  <si>
    <t>https://drive.google.com/open?id=1rYwOqudJuBJk3sZI9FLqbdFLxOjgfnvB&amp;usp=drive_fs</t>
  </si>
  <si>
    <t>https://drive.google.com/open?id=1ra908Iogr5BCXf9kn8_GvU42slnbtxJX&amp;usp=drive_fs</t>
  </si>
  <si>
    <t>ESP-ADIM-0644</t>
  </si>
  <si>
    <t>https://drive.google.com/open?id=1rbSvsLSXu_qyhEyi_YvBTLBpgZe5aZLB&amp;usp=drive_fs</t>
  </si>
  <si>
    <t>46-0685</t>
  </si>
  <si>
    <t>CAJA SLEEPER</t>
  </si>
  <si>
    <t>ESP-PO-006</t>
  </si>
  <si>
    <t>https://drive.google.com/open?id=1rhqaDVKev4hSbEI0ULP9dnwR7JZtF_Tc&amp;usp=drive_fs</t>
  </si>
  <si>
    <t>46-0687</t>
  </si>
  <si>
    <t>C.S.</t>
  </si>
  <si>
    <t>ESP-PO-005</t>
  </si>
  <si>
    <t>https://drive.google.com/open?id=1rt1dBDhO6Z2eNRMiSbD02rE_SHpwMuYM&amp;usp=drive_fs</t>
  </si>
  <si>
    <t>47-0793</t>
  </si>
  <si>
    <t>CENTRO DE CARTON</t>
  </si>
  <si>
    <t>https://drive.google.com/open?id=1rugxXaLD4TV62wmFs4h4hvux1gtcypO9&amp;usp=drive_fs</t>
  </si>
  <si>
    <t>48X48</t>
  </si>
  <si>
    <t>TARIMA DE CARTÓN</t>
  </si>
  <si>
    <t>49X49</t>
  </si>
  <si>
    <t>42X57</t>
  </si>
  <si>
    <t>37X57</t>
  </si>
  <si>
    <t>ESP-NTC-008</t>
  </si>
  <si>
    <t>ESP-NTC-009</t>
  </si>
  <si>
    <t>ESP-NTC-010</t>
  </si>
  <si>
    <t>ESP-NTC-011</t>
  </si>
  <si>
    <t>https://drive.google.com/open?id=1sCxs-aPgCQtjVMCxB5ZO-DGeGuwLvyps&amp;usp=drive_fs</t>
  </si>
  <si>
    <t>https://drive.google.com/open?id=1sFUnovZfuihkf5uzb9UXiwf8APa2zx2F&amp;usp=drive_fs</t>
  </si>
  <si>
    <t>https://drive.google.com/open?id=1sLO1CCcZyjQ92XQC9nFkCwr1P5fFEYsg&amp;usp=drive_fs</t>
  </si>
  <si>
    <t>https://drive.google.com/open?id=1sRs1Hu-P2fGLUVijkK1xoenNGAGIeCcZ&amp;usp=drive_fs</t>
  </si>
  <si>
    <t>ESP-DAI-237</t>
  </si>
  <si>
    <t>1500826M (MDX)</t>
  </si>
  <si>
    <t>1500828M (MDX)</t>
  </si>
  <si>
    <t>1500827M (MDX)</t>
  </si>
  <si>
    <t>15008228M (MDX)</t>
  </si>
  <si>
    <t>https://drive.google.com/open?id=1twLbm_hSO38Sy6bb9HozSsdh8QUcILYR&amp;usp=drive_fs</t>
  </si>
  <si>
    <t>https://drive.google.com/open?id=1u-gkwSJYqCzEKtEKJQvkRUQgAbqVtRet&amp;usp=drive_fs</t>
  </si>
  <si>
    <t>https://drive.google.com/open?id=1u02-dzfwA5pZ8R667Mu9jJIN7qYLxAlD&amp;usp=drive_fs</t>
  </si>
  <si>
    <t>https://drive.google.com/open?id=1uAC5Oq_SAYuJJU7Bp8cJIVBK-sF7GQ_8&amp;usp=drive_fs</t>
  </si>
  <si>
    <t>https://drive.google.com/open?id=1uAlW-z_w2UOgI4IlIISdWHn6_rOcKBO5&amp;usp=drive_fs</t>
  </si>
  <si>
    <t>https://drive.google.com/open?id=1uDHf2nrM1LtRhOh6M1qk2PGu_gRKQduh&amp;usp=drive_fs</t>
  </si>
  <si>
    <t>https://drive.google.com/open?id=1uGcUTw-ZUOEn0J5fuuYDJitsaK8_5qcb&amp;usp=drive_fs</t>
  </si>
  <si>
    <t>https://drive.google.com/open?id=1uHiSzRTdjgRXywx0JZ9r9McATphMnjdG&amp;usp=drive_fs</t>
  </si>
  <si>
    <t>https://drive.google.com/open?id=1uLOkcJnkbny13m946rfZxIxtHXqrtdcO&amp;usp=drive_fs</t>
  </si>
  <si>
    <t>https://drive.google.com/open?id=1uO5n73o4MDCfbVqkzEl2LgpFqoa5bg50&amp;usp=drive_fs</t>
  </si>
  <si>
    <t>CAJA  NORMAL</t>
  </si>
  <si>
    <t>ESP-MAR-021</t>
  </si>
  <si>
    <t>60X31X34</t>
  </si>
  <si>
    <t>KUGAMI</t>
  </si>
  <si>
    <t>BO-7001</t>
  </si>
  <si>
    <t>AO-7003</t>
  </si>
  <si>
    <t>AO-7004</t>
  </si>
  <si>
    <t>ESP-KGM-001</t>
  </si>
  <si>
    <t>ESP-KGM-002</t>
  </si>
  <si>
    <t>ESP-KGM-003</t>
  </si>
  <si>
    <t>ESP-KGM-004</t>
  </si>
  <si>
    <t>ESP-KGM-005</t>
  </si>
  <si>
    <t>IAC NA</t>
  </si>
  <si>
    <t>AO-7015</t>
  </si>
  <si>
    <t>AO-7016</t>
  </si>
  <si>
    <t>https://drive.google.com/open?id=1-aHvpG-LZGIopJYUaDDMBMXOxZycGDX6&amp;usp=drive_fs</t>
  </si>
  <si>
    <t>https://drive.google.com/open?id=1-YsmULm0V4p13rI7W7s52WuDfW6bc3Fv&amp;usp=drive_fs</t>
  </si>
  <si>
    <t>https://drive.google.com/open?id=1-YJxr5zwqE_B4-k5xr-j0x1ZWhMW1Fgr&amp;usp=drive_fs</t>
  </si>
  <si>
    <t>https://drive.google.com/open?id=1-T4LBt9ZqcgzJtAYUviC5dGEGM2ihrs-&amp;usp=drive_fs</t>
  </si>
  <si>
    <t>https://drive.google.com/open?id=1-M8JAdeUOXUflp2MgTHb-yY19qWqT_JH&amp;usp=drive_fs</t>
  </si>
  <si>
    <t>CX430 FRT</t>
  </si>
  <si>
    <t>DAYLAB</t>
  </si>
  <si>
    <t>SEPARADOR COMUN</t>
  </si>
  <si>
    <t xml:space="preserve"> CX430 RR</t>
  </si>
  <si>
    <t>CEIDA A-482 STN.12</t>
  </si>
  <si>
    <t>CEIDA A-482 STN.60</t>
  </si>
  <si>
    <t>ELD. CONSOLA 10CAV</t>
  </si>
  <si>
    <t>ESP-IAC-001</t>
  </si>
  <si>
    <t>ESP-IAC-002</t>
  </si>
  <si>
    <t>ESP-IAC-003</t>
  </si>
  <si>
    <t>ESP-IAC-004</t>
  </si>
  <si>
    <t>ESP-IAC-005</t>
  </si>
  <si>
    <t>ESP-IAC-006</t>
  </si>
  <si>
    <t>ESP-IAC-007</t>
  </si>
  <si>
    <t>ESP-IAC-008</t>
  </si>
  <si>
    <t>ESP-IAC-009</t>
  </si>
  <si>
    <t>ESP-IAC-010</t>
  </si>
  <si>
    <t>ESP-IAC-011</t>
  </si>
  <si>
    <t>ESP-IAC-012</t>
  </si>
  <si>
    <t>CX430 RR</t>
  </si>
  <si>
    <t>C482</t>
  </si>
  <si>
    <t>C483 CEL 10</t>
  </si>
  <si>
    <t>A-482</t>
  </si>
  <si>
    <t xml:space="preserve">700-1010157-AS </t>
  </si>
  <si>
    <t xml:space="preserve">700-1010158-AS </t>
  </si>
  <si>
    <t>TITAN</t>
  </si>
  <si>
    <t>ESP-NCS-051</t>
  </si>
  <si>
    <t>ESP-NCS-052</t>
  </si>
  <si>
    <t>ESP-NCS-053</t>
  </si>
  <si>
    <t>EMP-619</t>
  </si>
  <si>
    <t>https://drive.google.com/open?id=12QqKNx3QHoRTX2pKY9U5CuhyfDEnVsNT&amp;usp=drive_fs</t>
  </si>
  <si>
    <t>https://drive.google.com/open?id=12_3ZzCDPwgiboffJ_gyRVUfpU4ItDqrM&amp;usp=drive_fs</t>
  </si>
  <si>
    <t>https://drive.google.com/open?id=12dTUVQTfowCbHR334zVrlEifjdOMQ0Xg&amp;usp=drive_fs</t>
  </si>
  <si>
    <t>ESP-DSO-086</t>
  </si>
  <si>
    <t>https://drive.google.com/open?id=12f32sExGXnubeX_5SeqOJEu6yfYWHuxj&amp;usp=drive_fs</t>
  </si>
  <si>
    <t>ESP-AUT-007</t>
  </si>
  <si>
    <t>ESP-AUT-008</t>
  </si>
  <si>
    <t>ESP-AUT-009</t>
  </si>
  <si>
    <t>ESP-AUT-010</t>
  </si>
  <si>
    <t>ESP-AUT-011</t>
  </si>
  <si>
    <t>ESP-AUT-012</t>
  </si>
  <si>
    <t>https://drive.google.com/open?id=13rcZ0wg15f6bh2en3_FI3IjY3bTbgkfF&amp;usp=drive_fs</t>
  </si>
  <si>
    <t>https://drive.google.com/open?id=13yXSmIdJ7Gp6gvuHbF2TB1vu01tlY5Qh&amp;usp=drive_fs</t>
  </si>
  <si>
    <t>https://drive.google.com/open?id=140zJ8jgaRWCPzrZ8WkaBR__x2FMoxKwy&amp;usp=drive_fs</t>
  </si>
  <si>
    <t>https://drive.google.com/open?id=148tVtwJxvxJdB8t4tt1sAleAcl-5ZzUE&amp;usp=drive_fs</t>
  </si>
  <si>
    <t>https://drive.google.com/open?id=14H-gZ12GMtXx4bMGBWAFAWzhl3U56hyG&amp;usp=drive_fs</t>
  </si>
  <si>
    <t>https://drive.google.com/open?id=14IylUexelSpRI1sNTFFVsoi_ugljqsW4&amp;usp=drive_fs</t>
  </si>
  <si>
    <t>ESP-HFIM-362</t>
  </si>
  <si>
    <t>ESP-HFIM-363</t>
  </si>
  <si>
    <t>https://drive.google.com/open?id=150cqQnEy1_Pzq0aWnSwdvvEW43xnE6Hk&amp;usp=drive_fs</t>
  </si>
  <si>
    <t>https://drive.google.com/open?id=16MIJJis_305LuThPNe6NrbggPAWPgGVw&amp;usp=drive_fs</t>
  </si>
  <si>
    <t>EMP-0045</t>
  </si>
  <si>
    <t>EMP-0046</t>
  </si>
  <si>
    <t>2"/5cm</t>
  </si>
  <si>
    <t>47"/121 cm</t>
  </si>
  <si>
    <t>ESP-RPS-031</t>
  </si>
  <si>
    <t>ESP-RPS-032</t>
  </si>
  <si>
    <t>https://drive.google.com/open?id=16gquT2A6Aj30OKdbr4OgkJxWaTUpLLXs&amp;usp=drive_fs</t>
  </si>
  <si>
    <t>2.5"/6.3</t>
  </si>
  <si>
    <t>2.5"/6.4</t>
  </si>
  <si>
    <t>39.3"/100</t>
  </si>
  <si>
    <t>https://drive.google.com/open?id=16j90iYbtVob2F5mxiJYssUxoP4hUYrwd&amp;usp=drive_fs</t>
  </si>
  <si>
    <t>ESP-DSO-092</t>
  </si>
  <si>
    <t>ESP-DSO-093</t>
  </si>
  <si>
    <t>ESP-DSO-094</t>
  </si>
  <si>
    <t>https://drive.google.com/open?id=188dcahQOGDyffAlYB1XcFNJhvlhz_5Qp&amp;usp=drive_fs</t>
  </si>
  <si>
    <t>DUNNAGE 1232</t>
  </si>
  <si>
    <t>DUNNAGE 5453</t>
  </si>
  <si>
    <t>https://drive.google.com/open?id=18GBGUavinIOw2_RufCHVriJ168-oWUxS&amp;usp=drive_fs</t>
  </si>
  <si>
    <t>DESPENSÓN</t>
  </si>
  <si>
    <t>DESPENSON</t>
  </si>
  <si>
    <t>ESP-MAR-022</t>
  </si>
  <si>
    <t>https://drive.google.com/open?id=18xL1GU-CPGKYRvvKk3S2kuEDYH34llmu&amp;usp=drive_fs</t>
  </si>
  <si>
    <t>https://drive.google.com/open?id=19AqhtV2xcdOOoSZYPTKpvX1q0rtSn8US&amp;usp=drive_fs</t>
  </si>
  <si>
    <t>P42R</t>
  </si>
  <si>
    <t>EMP-0068</t>
  </si>
  <si>
    <t>ESP-RPS-033</t>
  </si>
  <si>
    <t>ESP-RPS-035</t>
  </si>
  <si>
    <t>https://drive.google.com/open?id=19tHdZa6dYAx0YNPDQcmoZpcvs2cDvbqd&amp;usp=drive_fs</t>
  </si>
  <si>
    <t>https://drive.google.com/open?id=19zC59m0156WIVVycCYl3aJv7rZc45z4G&amp;usp=drive_fs</t>
  </si>
  <si>
    <t>111X104</t>
  </si>
  <si>
    <t>ESP-SDC-021</t>
  </si>
  <si>
    <t>https://drive.google.com/open?id=1AblBmLlgUNLZls0nTqmVVIlO6cI6HqdY&amp;usp=drive_fs</t>
  </si>
  <si>
    <t>DUNNAGE 7213/7222</t>
  </si>
  <si>
    <t>ESP-DSO-095</t>
  </si>
  <si>
    <t>https://drive.google.com/open?id=1B2yxFF0qCXzrk53213axBmZpBg2C986a&amp;usp=drive_fs</t>
  </si>
  <si>
    <t>https://drive.google.com/open?id=1B4-84xX9_Bw_4bhDbPa0NSY5xS5g_d8w&amp;usp=drive_fs</t>
  </si>
  <si>
    <t>https://drive.google.com/open?id=1BFxdX3o-iTCL2wA4inckaCqzhBFAMPWe&amp;usp=drive_fs</t>
  </si>
  <si>
    <t>https://drive.google.com/open?id=1BN6GlwJGw3SrOe0AjO-VUZTVYJ1oQ6KQ&amp;usp=drive_fs</t>
  </si>
  <si>
    <t>DUNNAGE 0341</t>
  </si>
  <si>
    <t>ESP-DSO-096</t>
  </si>
  <si>
    <t>2835762 (CRUZ)</t>
  </si>
  <si>
    <t>REJILLA CRUZ</t>
  </si>
  <si>
    <t>36X35X40</t>
  </si>
  <si>
    <t>GEON</t>
  </si>
  <si>
    <t>ESP-GEN-001</t>
  </si>
  <si>
    <t>https://drive.google.com/file/d/1D_UvUC-IhgT7ss7FuWZBLktuoh0LKOGc/view?usp=drive_link</t>
  </si>
  <si>
    <t>PARKWAY/CLAYENS</t>
  </si>
  <si>
    <t>40X48</t>
  </si>
  <si>
    <t>ESP-PP-030</t>
  </si>
  <si>
    <t>https://drive.google.com/open?id=1DqHSWMwY8ZH3r5F7-ZEALPbttrBGN0fS&amp;usp=drive_fs</t>
  </si>
  <si>
    <t>ESP-DAI-238</t>
  </si>
  <si>
    <t>https://drive.google.com/open?id=1DuTo3kYvCJUu47ErgxhrIjvGbGjMNQiQ&amp;usp=drive_fs</t>
  </si>
  <si>
    <t>ESQ ARG-BRA</t>
  </si>
  <si>
    <t>3in/7.6cm</t>
  </si>
  <si>
    <t>26.3in/67</t>
  </si>
  <si>
    <t>ESP-ADIM-066</t>
  </si>
  <si>
    <t>https://drive.google.com/open?id=1Dwfwq8iNEXyqbtCU9LBCQlLhgc3z78zk&amp;usp=drive_fs</t>
  </si>
  <si>
    <t>RICARDO WEB</t>
  </si>
  <si>
    <t>ESP-WEB-002</t>
  </si>
  <si>
    <t>60X31</t>
  </si>
  <si>
    <t>ESP-WEB-001</t>
  </si>
  <si>
    <t>ESP-WEB-003</t>
  </si>
  <si>
    <t>7X7X170</t>
  </si>
  <si>
    <t>66.9in/170cm</t>
  </si>
  <si>
    <t>https://drive.google.com/open?id=1yO-MobbLUfQ6YNwvlloaCBEFf2o0Mx47&amp;usp=drive_fs</t>
  </si>
  <si>
    <t>https://drive.google.com/open?id=1yVdKaX0OrZ4r1ZKOcGJxgUGjbmi9WB0y&amp;usp=drive_fs</t>
  </si>
  <si>
    <t>https://drive.google.com/open?id=1yZ4YHLcx7es5NJNQDTjHissbhb8eULra&amp;usp=drive_fs</t>
  </si>
  <si>
    <t>47-0781</t>
  </si>
  <si>
    <t>SEUZ</t>
  </si>
  <si>
    <t>ESP-PO-057</t>
  </si>
  <si>
    <t>ESP-PO-058</t>
  </si>
  <si>
    <t>47-0780</t>
  </si>
  <si>
    <t>https://drive.google.com/open?id=1iBClNAp8w2pqUmOUs1W2LJ09YjDbDICo&amp;usp=drive_fs</t>
  </si>
  <si>
    <t>https://drive.google.com/open?id=1fofILtoxqoiJqDsl8wkGJOZGlE_HKjMp&amp;usp=drive_fs</t>
  </si>
  <si>
    <t>TU-C01 (CAJA CHICA)</t>
  </si>
  <si>
    <t>TU-C02 (CAJA GRANDE)</t>
  </si>
  <si>
    <t>DT-8</t>
  </si>
  <si>
    <t>ESP-TT-111</t>
  </si>
  <si>
    <t>DT-20</t>
  </si>
  <si>
    <t>104/83</t>
  </si>
  <si>
    <t>ESP-TT-112</t>
  </si>
  <si>
    <t>1719238/PKG0364</t>
  </si>
  <si>
    <t>CVG Daimler Curtains</t>
  </si>
  <si>
    <t>ESP-HFIR-337</t>
  </si>
  <si>
    <t>ESP-HFIR-338</t>
  </si>
  <si>
    <t>https://drive.google.com/open?id=1gk4uFRMNPr5th0OU9wPBXiyqLSXl8iAU&amp;usp=drive_fs</t>
  </si>
  <si>
    <t>Murfreesboro</t>
  </si>
  <si>
    <t>ESP-TT-114</t>
  </si>
  <si>
    <t>ESP-GEN-002</t>
  </si>
  <si>
    <t>ESP-GEN-003</t>
  </si>
  <si>
    <t>TUBO INTERNO</t>
  </si>
  <si>
    <t>LINER</t>
  </si>
  <si>
    <t>CAJA NORMAL/CAJA CON FONDO</t>
  </si>
  <si>
    <t>ESP-LEO-097</t>
  </si>
  <si>
    <t>ESP-LEO-098</t>
  </si>
  <si>
    <t>ESP-LEO-099</t>
  </si>
  <si>
    <t>ESP-LEO-010</t>
  </si>
  <si>
    <t>ESP-LEO-011</t>
  </si>
  <si>
    <t>ESP-LEO-013</t>
  </si>
  <si>
    <t>ESP-LEO-012</t>
  </si>
  <si>
    <t>ESP-LEO-014</t>
  </si>
  <si>
    <t>ESP-LEO-015</t>
  </si>
  <si>
    <t>ESP-LEO-016</t>
  </si>
  <si>
    <t>ESP-LEO-017</t>
  </si>
  <si>
    <t>ESP-LEO-018</t>
  </si>
  <si>
    <t>ESP-LEO-019</t>
  </si>
  <si>
    <t>ESP-LEO-020</t>
  </si>
  <si>
    <t>ESP-LEO-021</t>
  </si>
  <si>
    <t>ESP-LEO-022</t>
  </si>
  <si>
    <t>ESP-LEO-023</t>
  </si>
  <si>
    <t>ESP-LEO-024</t>
  </si>
  <si>
    <t>ESP-LEO-025</t>
  </si>
  <si>
    <t>ESP-LEO-026</t>
  </si>
  <si>
    <t>ESP-LEO-047</t>
  </si>
  <si>
    <t>ESP-LEO-048</t>
  </si>
  <si>
    <t>ESP-LEO-049</t>
  </si>
  <si>
    <t>ESP-LEO-050</t>
  </si>
  <si>
    <t>ESP-LEO-051</t>
  </si>
  <si>
    <t>ESP-LEO-052</t>
  </si>
  <si>
    <t>ESP-LEO-065</t>
  </si>
  <si>
    <t>ESP-LEO-066</t>
  </si>
  <si>
    <t>ESP-LEO-068</t>
  </si>
  <si>
    <t>ESP-LEO-069</t>
  </si>
  <si>
    <t>ESP-LEO-071</t>
  </si>
  <si>
    <t>ESP-LEO-072</t>
  </si>
  <si>
    <t>ESP-LEO-074</t>
  </si>
  <si>
    <t>ESP-LEO-075</t>
  </si>
  <si>
    <t>ESP-LEO-080</t>
  </si>
  <si>
    <t>ESP-LEO-081</t>
  </si>
  <si>
    <t>ESP-LEO-083</t>
  </si>
  <si>
    <t>ESP-LEO-084</t>
  </si>
  <si>
    <t>ESP-LEO-085</t>
  </si>
  <si>
    <t>ESP-LEO-086</t>
  </si>
  <si>
    <t>ESP-LEO-089</t>
  </si>
  <si>
    <t>ESP-LEO-090</t>
  </si>
  <si>
    <t>ESP-LEO-092</t>
  </si>
  <si>
    <t>ESP-LEO-093</t>
  </si>
  <si>
    <t>ESP-LEO-094</t>
  </si>
  <si>
    <t>ESP-LEO-095</t>
  </si>
  <si>
    <t>ESP-LEO-096</t>
  </si>
  <si>
    <t>BASE CONSOLA</t>
  </si>
  <si>
    <t>XU AND BASE CONSOLA</t>
  </si>
  <si>
    <t>ESP-LEO-100</t>
  </si>
  <si>
    <t>ESP-LEO-101</t>
  </si>
  <si>
    <t>CHEVY BOLT</t>
  </si>
  <si>
    <t>ESP-LEO-102</t>
  </si>
  <si>
    <t>ESP-LMT-203</t>
  </si>
  <si>
    <t>ESP-LMT-204</t>
  </si>
  <si>
    <t>DESPENSA 15 PRODUCTOS ARTEAGA</t>
  </si>
  <si>
    <t>https://drive.google.com/open?id=1oB4WipFBCsPQraiUmmmYp3akdXDN6YTS&amp;usp=drive_fs</t>
  </si>
  <si>
    <t>https://drive.google.com/open?id=19xCYTzzh_obHYIAlJlbU31JDEKNT2ZYU&amp;usp=drive_fs</t>
  </si>
  <si>
    <t>https://drive.google.com/open?id=1W-7dNdLfqWEOjW8vjZlMbfVoOFtkoLFo&amp;usp=drive_fs</t>
  </si>
  <si>
    <t>https://drive.google.com/open?id=1b1GM4LOg7t3Ll6aiz4sBfpAf-OQeFeZT&amp;usp=drive_fs</t>
  </si>
  <si>
    <t>U PACKAGING (U718)</t>
  </si>
  <si>
    <t>OPAL/PKG0439</t>
  </si>
  <si>
    <t>126060801-00</t>
  </si>
  <si>
    <t>Manga HRV</t>
  </si>
  <si>
    <t>https://drive.google.com/open?id=1YIz42isI80G-KnA_NR8zj16tGQ7rgZZY&amp;usp=drive_fs</t>
  </si>
  <si>
    <t>Manga PSW (MANGA MARIPOSA)</t>
  </si>
  <si>
    <t>(Property of PSW)</t>
  </si>
  <si>
    <t>ROUSH</t>
  </si>
  <si>
    <t>ESP-TT-115</t>
  </si>
  <si>
    <t>CASA CHICA</t>
  </si>
  <si>
    <t xml:space="preserve">CASA GRANDE </t>
  </si>
  <si>
    <t>4mm</t>
  </si>
  <si>
    <t>ESP-TT-09_1</t>
  </si>
  <si>
    <t>https://drive.google.com/open?id=18M5dHTvV7ajMFNSxExGXO6hK43xNgF2D&amp;usp=drive_fs</t>
  </si>
  <si>
    <t>C483 Chin Surround/Bradford EC2025-071</t>
  </si>
  <si>
    <t>ESP-HFIR-339</t>
  </si>
  <si>
    <t>ESP-HFIR-340</t>
  </si>
  <si>
    <t>C483 Chin Surround/Bradford EC2025-072</t>
  </si>
  <si>
    <t>https://drive.google.com/open?id=1e5a05SCA07HgNRHOHwoEk_WBlcrLI-EN&amp;usp=drive_fs</t>
  </si>
  <si>
    <t>https://drive.google.com/open?id=1-Dd5ibHMXTtSb5K_iQzScXxOF9zNIt9g&amp;usp=drive_fs</t>
  </si>
  <si>
    <t>PKG0531</t>
  </si>
  <si>
    <t>ESP-DAI-239</t>
  </si>
  <si>
    <t>https://drive.google.com/open?id=1h2V4HVvO_81YaLHEUsNPKrM3E2tt_t4x&amp;usp=drive_fs</t>
  </si>
  <si>
    <t>25.5X40</t>
  </si>
  <si>
    <t>ESP-PP-031</t>
  </si>
  <si>
    <t>https://drive.google.com/open?id=12TLGlUYSyhcanRjU_kl3vGHB0kxK14gz&amp;usp=drive_fs</t>
  </si>
  <si>
    <t>MS BOTE GRANDE</t>
  </si>
  <si>
    <t>ESP-MAR-007</t>
  </si>
  <si>
    <t>https://drive.google.com/open?id=1XGHAcwSBP1mJshGd2Phy_VE8yBksYZFg&amp;usp=drive_fs</t>
  </si>
  <si>
    <t>https://drive.google.com/open?id=1p0AgPkSwjuto5tbLEJbmaKx-DGrxgO0c&amp;usp=drive_fs</t>
  </si>
  <si>
    <t>EWP 80-002 / 041</t>
  </si>
  <si>
    <t>ESP-SHA-035</t>
  </si>
  <si>
    <t>https://drive.google.com/open?id=1gCf6B6JsUlex0XMc9VCi9R8rmI1a7wty&amp;usp=drive_fs</t>
  </si>
  <si>
    <t>https://drive.google.com/open?id=1Hp4UyY4Jdo2wLNZ0LsCdw31QQ_yAjpcG&amp;usp=drive_fs</t>
  </si>
  <si>
    <t>ESP-SHA-036</t>
  </si>
  <si>
    <t>https://drive.google.com/open?id=1KqObR3InkoVHP-VhmuTlUsKIQvgetQPA&amp;usp=drive_fs</t>
  </si>
  <si>
    <t>https://drive.google.com/open?id=13st4KWkI9qfRhNY2ghL44vUx8asgoMjs&amp;usp=drive_fs</t>
  </si>
  <si>
    <t>https://drive.google.com/open?id=1YgOyoUOF4r22UuHihAqGbQ3_vY3o84NL&amp;usp=drive_fs</t>
  </si>
  <si>
    <t>PKG-062 (RAM-C)</t>
  </si>
  <si>
    <t>https://drive.google.com/open?id=1T9SDGOcIW3WFL0WA3RxTGyIPdSGu6pMc&amp;usp=drive_fs</t>
  </si>
  <si>
    <t>https://drive.google.com/open?id=1m4z5eCWiqs8xkttOdE5TJ5eZvBC65lM3&amp;usp=drive_fs</t>
  </si>
  <si>
    <t>SOLUTECMA</t>
  </si>
  <si>
    <t>25X25X25"</t>
  </si>
  <si>
    <t>ESP-STM-022</t>
  </si>
  <si>
    <t>2007P</t>
  </si>
  <si>
    <t>2008P</t>
  </si>
  <si>
    <t>2006P</t>
  </si>
  <si>
    <t>ESP-STM-023</t>
  </si>
  <si>
    <t>ESP-STM-024</t>
  </si>
  <si>
    <t>ESP-STM-025</t>
  </si>
  <si>
    <t>https://drive.google.com/open?id=14QUtq1RqIb9Ni2k1W5u_M5L2kEGyXIwy&amp;usp=drive_fs</t>
  </si>
  <si>
    <t>https://drive.google.com/open?id=1KUrpBj9wgDr7BgapUj5s_R7stIYIb9rL&amp;usp=drive_fs</t>
  </si>
  <si>
    <t>https://drive.google.com/open?id=13fq1pQ6xHkLUcM4Rswzx-9Kt_hZsmDGC&amp;usp=drive_fs</t>
  </si>
  <si>
    <t>1500-372</t>
  </si>
  <si>
    <t>2 VISERAS (CELAYA)</t>
  </si>
  <si>
    <t>DN-077 (A1222100)</t>
  </si>
  <si>
    <t>DN-0080 (A1222101)</t>
  </si>
  <si>
    <t>DN-0098 (A1212061)</t>
  </si>
  <si>
    <t>DN-0086 (A1222047)</t>
  </si>
  <si>
    <t>DN-0035 (A1220733
A0000)</t>
  </si>
  <si>
    <t>DN-0081 (A1222102)</t>
  </si>
  <si>
    <t>RS-0015 (A1200530
A0000)</t>
  </si>
  <si>
    <t>RS-0025 (A1202073)</t>
  </si>
  <si>
    <t>HS-0023 (A1202018)</t>
  </si>
  <si>
    <t>HS-0023 (A1202019)</t>
  </si>
  <si>
    <t>LS-0006(A1200526
A0000)</t>
  </si>
  <si>
    <t>LS-0007 (A1110075
A000)</t>
  </si>
  <si>
    <t>DN-0100 (A1212063)</t>
  </si>
  <si>
    <t>DV-0031 (A1212055)</t>
  </si>
  <si>
    <t>HS-0017 (A1202042)</t>
  </si>
  <si>
    <t>DN-0070 (A1222094)</t>
  </si>
  <si>
    <t>LD-0028 (A1202060)</t>
  </si>
  <si>
    <t>HS-0028 (A1202125)</t>
  </si>
  <si>
    <t>LD-0040 (A1112027)</t>
  </si>
  <si>
    <t>DN-0109 (A1222221)</t>
  </si>
  <si>
    <t>EWP 80-002 (Rejilla abatible)</t>
  </si>
  <si>
    <t>DV-0013 (A1202016
A0000)</t>
  </si>
  <si>
    <t>DV-0028 (A1212017)</t>
  </si>
  <si>
    <t>https://drive.google.com/open?id=1IqqQpo098Ut46v35NmgTX5AKnDiwOFRO&amp;usp=drive_fs</t>
  </si>
  <si>
    <t>Caja mediana</t>
  </si>
  <si>
    <t>PARTES DE SERVICIO</t>
  </si>
  <si>
    <t>https://drive.google.com/open?id=1ceLWxEfIDQcu4ODayLslouMuWD38ptba&amp;usp=drive_fs</t>
  </si>
  <si>
    <t>1501210X</t>
  </si>
  <si>
    <t>PKG-061 (RAM-C)</t>
  </si>
  <si>
    <t>SEPARADOR ROUSH</t>
  </si>
  <si>
    <t>ESQUINERO ROUSH</t>
  </si>
  <si>
    <t>ESP-TT-116</t>
  </si>
  <si>
    <t>ESP-TT-117</t>
  </si>
  <si>
    <t>https://drive.google.com/open?id=1w8D0cRMMlIU-RNZVKHOhV9qxsg_3jYyv&amp;usp=drive_fs</t>
  </si>
  <si>
    <t>https://drive.google.com/open?id=1xfcRL_fkxZ3ln_pSVNqX6iWQVWi_0Mhk&amp;usp=drive_fs</t>
  </si>
  <si>
    <t>https://drive.google.com/open?id=1BWtEN9nVy-uGYrOBX0I0CD3aCgBbLnr7&amp;usp=drive_fs</t>
  </si>
  <si>
    <t>36in/91.5cm</t>
  </si>
  <si>
    <t>cal.160</t>
  </si>
  <si>
    <t>Esquinero</t>
  </si>
  <si>
    <t>KIT C1UG</t>
  </si>
  <si>
    <t>61.3X37.8X23.2</t>
  </si>
  <si>
    <t>https://drive.google.com/open?id=1fxgpPQro8EE8_eaXtVU19AHmFLFgvuP7&amp;usp=drive_fs</t>
  </si>
  <si>
    <t>60X36X22.9</t>
  </si>
  <si>
    <t>62X38.5X8</t>
  </si>
  <si>
    <t>https://drive.google.com/open?id=1heKwWY3qIrhiNoBPEyRYqTYDqJ606y6N&amp;usp=drive_fs</t>
  </si>
  <si>
    <t>https://drive.google.com/open?id=1nBFQ600QkHQe2lZhztQaJPfcLm1OG0QK&amp;usp=drive_fs</t>
  </si>
  <si>
    <t>PKG0561</t>
  </si>
  <si>
    <t>ESP-DAI-240</t>
  </si>
  <si>
    <t>https://drive.google.com/open?id=11KyqDgNbHffUngeXEjmknjViiAJLsMg9&amp;usp=drive_fs</t>
  </si>
  <si>
    <t>PKG0542</t>
  </si>
  <si>
    <t>ATLAS</t>
  </si>
  <si>
    <t>14/18.5</t>
  </si>
  <si>
    <t>ESP-DAI-241</t>
  </si>
  <si>
    <t>https://drive.google.com/open?id=1yPZQYe6SGLnuqZo_MBFR9I6EX8HjYQuT&amp;usp=drive_fs</t>
  </si>
  <si>
    <t>ESP-LEO-103</t>
  </si>
  <si>
    <t>ESP-LEO-104</t>
  </si>
  <si>
    <t>ESP-LEO-105</t>
  </si>
  <si>
    <t>ESP-LEO-106</t>
  </si>
  <si>
    <t>ESP-LEO-107</t>
  </si>
  <si>
    <t>ESP-LEO-108</t>
  </si>
  <si>
    <t>ESP-LEO-109</t>
  </si>
  <si>
    <t>ESP-LEO-110</t>
  </si>
  <si>
    <t>CAJA CON FORNDO</t>
  </si>
  <si>
    <t>GARN ASSY AS</t>
  </si>
  <si>
    <t>https://drive.google.com/open?id=1FSggAdlxTTE0irpVZOmQoAyhSW8KMbv-&amp;usp=drive_fs</t>
  </si>
  <si>
    <t>https://drive.google.com/open?id=1Eey6VhRQUtvva5fOwD-yU__X-mZgKpmM&amp;usp=drive_fs</t>
  </si>
  <si>
    <t>GARN ASSY DR</t>
  </si>
  <si>
    <t>GARN ASSY AS (HSC)</t>
  </si>
  <si>
    <t>GARN ASSY AS (REJILLAS)</t>
  </si>
  <si>
    <t>GARN ASSY DR (HSC)</t>
  </si>
  <si>
    <t>GARN ASSY DR (REJILLAS)</t>
  </si>
  <si>
    <t>https://drive.google.com/open?id=1aIve0PvOVqdNP0bHJ-8zncNJCkWyeazI&amp;usp=drive_fs</t>
  </si>
  <si>
    <t>https://drive.google.com/open?id=1JG5amLgrrAexBfVqiOQoHG4enoC7bap6&amp;usp=drive_fs</t>
  </si>
  <si>
    <t>GARN ASSY CTR</t>
  </si>
  <si>
    <t>GARN ASSY CTR (HSC)</t>
  </si>
  <si>
    <t>GARN ASSY CTR (REJILLAS)</t>
  </si>
  <si>
    <t>GARN ASSY CTR (S)</t>
  </si>
  <si>
    <t>https://drive.google.com/open?id=1c5rLcxYOUt1ycnDRfUNXmr5eZY4piv8Z&amp;usp=drive_fs</t>
  </si>
  <si>
    <t>https://drive.google.com/open?id=1dSLghv8cePAyJFspEtPRG682azItErcK&amp;usp=drive_fs</t>
  </si>
  <si>
    <t>https://drive.google.com/open?id=1fndEDvhOysePfvc3PRX9vwyexNpZ4IgK&amp;usp=drive_fs</t>
  </si>
  <si>
    <t>CONSOLE LID</t>
  </si>
  <si>
    <t>ESP-LEO-111</t>
  </si>
  <si>
    <t>https://drive.google.com/open?id=1rIKDdKW8e0UbOgPyEUPVWF5FnMxRjV_1&amp;usp=drive_fs</t>
  </si>
  <si>
    <t>https://drive.google.com/open?id=1pSpkr8WVsk5XnBuKploYcw02nVWO__a1&amp;usp=drive_fs</t>
  </si>
  <si>
    <t>LH/RH/ SIDE PANEL</t>
  </si>
  <si>
    <t>CONSOLE LID (HSC)</t>
  </si>
  <si>
    <t>CONSOLE LID (REJILLAS)</t>
  </si>
  <si>
    <t>LH/RH/ SIDE PANEL (HSC)</t>
  </si>
  <si>
    <t>ESP-LEO-112</t>
  </si>
  <si>
    <t>ESP-LEO-113</t>
  </si>
  <si>
    <t>LH/RH/ SIDE PANEL (REJILLAS)</t>
  </si>
  <si>
    <t>https://drive.google.com/open?id=1drXpk5ikLOjN2WzcHePpphZ6VcE3kSue&amp;usp=drive_fs</t>
  </si>
  <si>
    <t>https://drive.google.com/open?id=1u57nL9Ah8KnO8XJHBAeVmNgyOFt9EW0T&amp;usp=drive_fs</t>
  </si>
  <si>
    <t>AR-2-4</t>
  </si>
  <si>
    <t>ESP-TT-077</t>
  </si>
  <si>
    <t>https://drive.google.com/open?id=101087Bo7ArfqJKCBlObuWNoiKGJ9_ULb&amp;usp=drive_fs</t>
  </si>
  <si>
    <t>EMP-0080</t>
  </si>
  <si>
    <t>https://drive.google.com/open?id=1bJHQsaqzwAsC2eIbI_iScwIJeGtRUGro&amp;usp=drive_fs</t>
  </si>
  <si>
    <t>https://drive.google.com/open?id=1b9DrTxHEEuT15ynxROvBLtVBgaHYCUKM&amp;usp=drive_fs</t>
  </si>
  <si>
    <t>https://drive.google.com/open?id=1b7Y6ayzYk1tcDe1j815fsuNCaGvIX-wF&amp;usp=drive_fs</t>
  </si>
  <si>
    <t>https://drive.google.com/open?id=1avuL8t8opj3GPbT211WWGiADUq9MxuM5&amp;usp=drive_fs</t>
  </si>
  <si>
    <t>https://drive.google.com/open?id=1c4oI__nTMzy4NppMZZ8lzwz0BCIUymjs&amp;usp=drive_fs</t>
  </si>
  <si>
    <t>https://drive.google.com/open?id=1bmZZo4ymGOx4V2DsW8-3-FvjB3ltU8B6&amp;usp=drive_fs</t>
  </si>
  <si>
    <t>https://drive.google.com/open?id=1bgCXrPiBYIDX1ahmLP4UuvNu8i_Zy9v9&amp;usp=drive_fs</t>
  </si>
  <si>
    <t>https://drive.google.com/open?id=1dRIH49w-e-hG0fe9lCogxx71vg_nwkkp&amp;usp=drive_fs</t>
  </si>
  <si>
    <t>https://drive.google.com/open?id=1fFrzXO1-MqFKDrAKzzddQCXdzQrxnDyU&amp;usp=drive_fs</t>
  </si>
  <si>
    <t>7-P</t>
  </si>
  <si>
    <t>ESP-DSO-90</t>
  </si>
  <si>
    <t>https://drive.google.com/open?id=1c9WOyZsYm7QYFvU0Us_cgEGwr4OZmgmw&amp;usp=drive_fs</t>
  </si>
  <si>
    <t>https://drive.google.com/open?id=1fJt1EC29mGcZMRhfaUuH9ICnrr_akBzd&amp;usp=drive_fs</t>
  </si>
  <si>
    <t>https://drive.google.com/open?id=1Ig3c2TnzZ88tcqlLmSqLoc0m5QUHVpJt&amp;usp=drive_fs</t>
  </si>
  <si>
    <t>MX-PCK-0059</t>
  </si>
  <si>
    <t>ESP-PP-005</t>
  </si>
  <si>
    <t>https://drive.google.com/open?id=1p9TbgAtrMjpK91z4RSf_sra89-FC17v0&amp;usp=drive_fs</t>
  </si>
  <si>
    <t>15X10X10 (MX-PCK-0059)</t>
  </si>
  <si>
    <t>REVERE PLASTICS SYSTEMS</t>
  </si>
  <si>
    <t>REJILLAS CUSH A</t>
  </si>
  <si>
    <t>REJILLAS CUSH B</t>
  </si>
  <si>
    <t>https://drive.google.com/open?id=1EzFPlwEoXo1oAlwDlEYHZU0SvAqDRyvP&amp;usp=drive_fs</t>
  </si>
  <si>
    <t>https://drive.google.com/open?id=15kVdSUs-y27pGbNlsaCNFaky-4W9WjTv&amp;usp=drive_fs</t>
  </si>
  <si>
    <t>MX-PCK-0115</t>
  </si>
  <si>
    <t>200gr</t>
  </si>
  <si>
    <t>EP-PP-002</t>
  </si>
  <si>
    <t>ESP-PP-003</t>
  </si>
  <si>
    <t>https://drive.google.com/open?id=1wjSt7SYxCWjA8XYmFwQWgGTKLVVIdVT5&amp;usp=drive_fs</t>
  </si>
  <si>
    <t>https://drive.google.com/open?id=1mqDzA-dW2CAqaI05J9rIIRq6KADQByqb&amp;usp=drive_fs</t>
  </si>
  <si>
    <t>PKG0600</t>
  </si>
  <si>
    <t>ESP-DAI-242</t>
  </si>
  <si>
    <t>45.5X33.5</t>
  </si>
  <si>
    <t>ESP-NCS-054</t>
  </si>
  <si>
    <t>https://drive.google.com/open?id=1_ZqD3wC6e7EonZ8d85oBCbTALqCilN_6&amp;usp=drive_fs</t>
  </si>
  <si>
    <t>HONDA MX (PKG0362)</t>
  </si>
  <si>
    <t>47-0740 (19x22x8)</t>
  </si>
  <si>
    <t>CAJA BOTA (128490906-01)</t>
  </si>
  <si>
    <t>REJILLA BOTA (128490906-01)</t>
  </si>
  <si>
    <t>TAPA BOTA (128490906-01)</t>
  </si>
  <si>
    <t>SEPARADOR BOTA (128490906-01)</t>
  </si>
  <si>
    <t>CAJA IND (128490905-01)</t>
  </si>
  <si>
    <t>REJILLA IND (128490905-01)</t>
  </si>
  <si>
    <t>SEPARADOR IND (128490905-01)</t>
  </si>
  <si>
    <t>TAPA IND (128490905-01)</t>
  </si>
  <si>
    <t>30X6"</t>
  </si>
  <si>
    <t>https://drive.google.com/open?id=1ZWUfOTr6o1EdRx9WXpWdRCIxLyOfF_n3&amp;usp=drive_fs</t>
  </si>
  <si>
    <t>33.5X9.5"</t>
  </si>
  <si>
    <t>https://drive.google.com/open?id=1vNOAoHNK12s2CD0uK_7RnfXCs0qMklz5&amp;usp=drive_fs</t>
  </si>
  <si>
    <t>124X116X10</t>
  </si>
  <si>
    <t>BASAVE (NCS)</t>
  </si>
  <si>
    <t>150-0842M</t>
  </si>
  <si>
    <t>https://drive.google.com/open?id=1KTU6hoyktvNUla60IDSZKlA9i_O3lE9z&amp;usp=drive_fs</t>
  </si>
  <si>
    <t>https://drive.google.com/open?id=1CCXd5LhmE5dxiMKvzG8HdB1fxk-wkfRX&amp;usp=drive_fs</t>
  </si>
  <si>
    <t>POLARIS (CRUZ)</t>
  </si>
  <si>
    <t>1500804XA</t>
  </si>
  <si>
    <t>1500804XA R</t>
  </si>
  <si>
    <t>1500804XA S</t>
  </si>
  <si>
    <t>1500805XA</t>
  </si>
  <si>
    <t>1500805XA R</t>
  </si>
  <si>
    <t>1500802XA</t>
  </si>
  <si>
    <t>1500802XA R</t>
  </si>
  <si>
    <t>1500803XA</t>
  </si>
  <si>
    <t>1500803XA R</t>
  </si>
  <si>
    <t>1500801XA</t>
  </si>
  <si>
    <t>1500801XA R</t>
  </si>
  <si>
    <t>DOOR TRIM RR LHRH</t>
  </si>
  <si>
    <t>23X17X8 (MX-PCK-0067)</t>
  </si>
  <si>
    <t>MX-PCK-0090</t>
  </si>
  <si>
    <t>ESP-PP-010</t>
  </si>
  <si>
    <t>MX-PCK-0091</t>
  </si>
  <si>
    <t>MX-PCK0091</t>
  </si>
  <si>
    <t>ESP-PP-12</t>
  </si>
  <si>
    <t>https://drive.google.com/open?id=19Fw7dWYt6PzAbSPbTjDVmc9CxSj3REKF&amp;usp=drive_fs</t>
  </si>
  <si>
    <t>https://drive.google.com/open?id=1RP1IM7Q6QgJY3TLgS8JwLiKb8KqnLS2G&amp;usp=drive_fs</t>
  </si>
  <si>
    <t>Bun Finished Good</t>
  </si>
  <si>
    <t>ESP-LEO-114</t>
  </si>
  <si>
    <t>ESP-LEO-115</t>
  </si>
  <si>
    <t>ESP-LEO-116</t>
  </si>
  <si>
    <t>ESP-LEO-117</t>
  </si>
  <si>
    <t>ESP-LEO-118</t>
  </si>
  <si>
    <t xml:space="preserve">Sewn Pouches </t>
  </si>
  <si>
    <t>BASE R/LRR ARMAREST</t>
  </si>
  <si>
    <t>460930 (23.5 X 60)</t>
  </si>
  <si>
    <t>SEPARADOR LISO</t>
  </si>
  <si>
    <t>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</si>
</sst>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ECT -&quot;\ General"/>
    <numFmt numFmtId="165" formatCode="General\ &quot;cm&quot;"/>
    <numFmt numFmtId="166" formatCode="General\ &quot;m²&quot;"/>
    <numFmt numFmtId="167" formatCode="&quot;ECT -&quot;\ General&quot;m&quot;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omic Sans MS"/>
      <family val="4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omic Sans MS"/>
      <family val="4"/>
    </font>
    <font>
      <sz val="11"/>
      <color rgb="FFFF0000"/>
      <name val="Calibri"/>
      <family val="2"/>
      <scheme val="minor"/>
    </font>
    <font>
      <b/>
      <sz val="12"/>
      <color rgb="FFFF0000"/>
      <name val="Comic Sans MS"/>
      <family val="4"/>
    </font>
    <font>
      <b/>
      <sz val="14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7">
    <xf numFmtId="0" fontId="0" fillId="0" borderId="0" xfId="0"/>
    <xf numFmtId="0" fontId="1" fillId="0" borderId="1" xfId="1" applyFill="1" applyBorder="1" applyAlignment="1">
      <alignment horizontal="left"/>
    </xf>
    <xf numFmtId="0" fontId="1" fillId="0" borderId="3" xfId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166" fontId="7" fillId="0" borderId="0" xfId="0" applyNumberFormat="1" applyFont="1"/>
    <xf numFmtId="0" fontId="5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3" fillId="0" borderId="0" xfId="0" applyFont="1"/>
    <xf numFmtId="0" fontId="1" fillId="0" borderId="1" xfId="1" applyFill="1" applyBorder="1"/>
    <xf numFmtId="9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65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12" fontId="0" fillId="0" borderId="1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165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0" borderId="2" xfId="0" applyBorder="1"/>
    <xf numFmtId="0" fontId="1" fillId="0" borderId="2" xfId="1" applyFill="1" applyBorder="1" applyAlignment="1">
      <alignment horizontal="left"/>
    </xf>
    <xf numFmtId="165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left"/>
    </xf>
    <xf numFmtId="165" fontId="0" fillId="0" borderId="11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0" fontId="0" fillId="0" borderId="12" xfId="0" applyBorder="1"/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0" xfId="1" applyFill="1" applyBorder="1" applyAlignment="1">
      <alignment horizontal="left"/>
    </xf>
    <xf numFmtId="0" fontId="1" fillId="0" borderId="1" xfId="1" applyBorder="1"/>
    <xf numFmtId="0" fontId="2" fillId="0" borderId="1" xfId="0" applyFont="1" applyBorder="1" applyAlignment="1">
      <alignment horizontal="center"/>
    </xf>
    <xf numFmtId="0" fontId="1" fillId="0" borderId="4" xfId="1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165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1" fillId="2" borderId="1" xfId="1" applyFill="1" applyBorder="1" applyAlignment="1">
      <alignment horizontal="left"/>
    </xf>
    <xf numFmtId="0" fontId="0" fillId="2" borderId="0" xfId="0" applyFill="1"/>
    <xf numFmtId="0" fontId="1" fillId="3" borderId="1" xfId="1" applyFill="1" applyBorder="1" applyAlignment="1">
      <alignment horizontal="left"/>
    </xf>
    <xf numFmtId="165" fontId="9" fillId="0" borderId="15" xfId="0" applyNumberFormat="1" applyFont="1" applyBorder="1" applyAlignment="1">
      <alignment horizontal="center"/>
    </xf>
    <xf numFmtId="165" fontId="9" fillId="0" borderId="16" xfId="0" applyNumberFormat="1" applyFont="1" applyBorder="1" applyAlignment="1">
      <alignment horizontal="center"/>
    </xf>
    <xf numFmtId="165" fontId="9" fillId="0" borderId="17" xfId="0" applyNumberFormat="1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21">
    <dxf>
      <numFmt numFmtId="168" formatCode="General\ &quot;no hay dirección disponible&quot;"/>
      <fill>
        <patternFill>
          <bgColor rgb="FFF6A4A4"/>
        </patternFill>
      </fill>
    </dxf>
    <dxf>
      <numFmt numFmtId="169" formatCode="&quot;Dirección no disponible&quot;"/>
      <fill>
        <patternFill>
          <bgColor rgb="FFFF7575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>
          <bgColor rgb="FFFF6D6D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General\ &quot;m²&quot;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General\ &quot;cm&quot;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General\ &quot;cm&quot;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General\ &quot;cm&quot;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mic Sans MS"/>
        <family val="4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6A4A4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11820-67BB-4085-9E1C-D87528E3A477}" name="Tabla1" displayName="Tabla1" ref="A2:N2677" totalsRowShown="0" headerRowDxfId="20" dataDxfId="19">
  <autoFilter ref="A2:N2677" xr:uid="{A7011820-67BB-4085-9E1C-D87528E3A477}"/>
  <sortState xmlns:xlrd2="http://schemas.microsoft.com/office/spreadsheetml/2017/richdata2" ref="A413:N656">
    <sortCondition ref="C2:C2677"/>
  </sortState>
  <tableColumns count="14">
    <tableColumn id="1" xr3:uid="{24A96263-4A92-40DE-BB4A-420BB56418DC}" name="Folio" dataDxfId="18"/>
    <tableColumn id="6" xr3:uid="{F7ACFE13-9342-480F-9BF4-81161A996801}" name="Cliente " dataDxfId="17"/>
    <tableColumn id="2" xr3:uid="{8793A808-7AEA-4025-9267-9CE770F04010}" name="# De Parte" dataDxfId="16"/>
    <tableColumn id="3" xr3:uid="{6D265F1F-28EC-4B74-AEC5-211BA0188691}" name="Nombre " dataDxfId="15"/>
    <tableColumn id="4" xr3:uid="{5792D3B5-86D2-4EA8-9C6D-1429C58EABA1}" name="PROYECTO" dataDxfId="14"/>
    <tableColumn id="9" xr3:uid="{4D23611B-C798-4AAC-9326-078191571F5B}" name="LARGO" dataDxfId="13"/>
    <tableColumn id="10" xr3:uid="{16E1EC58-F43F-4C33-97DD-74E13B2D4DA7}" name="ANCHO" dataDxfId="12"/>
    <tableColumn id="11" xr3:uid="{A6A3C1E6-53A9-4ED0-BE9E-02D43000413D}" name="ALTO" dataDxfId="11"/>
    <tableColumn id="12" xr3:uid="{768D8BA1-B028-4CE3-A9BB-BEFBAC10C5C0}" name="ECT" dataDxfId="10"/>
    <tableColumn id="13" xr3:uid="{333ABB90-936A-4375-9E29-C502F6B4639F}" name="CORRUGADO" dataDxfId="9"/>
    <tableColumn id="5" xr3:uid="{B491B0CE-B39D-4D32-879F-649DA615E1A4}" name="MEDIDA " dataDxfId="8"/>
    <tableColumn id="15" xr3:uid="{9AE97D67-08C4-4C4A-8E6E-3C900067C2E6}" name="CODIGO" dataDxfId="7"/>
    <tableColumn id="8" xr3:uid="{9B7EA0F4-22E1-4BD2-BE12-DD5049DB9752}" name="DIRECCIÓN" dataDxfId="6" dataCellStyle="Hipervínculo"/>
    <tableColumn id="7" xr3:uid="{1FA8768F-0606-49ED-B819-6A02FD22E860}" name="Columna1" dataDxfId="5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drive.google.com/file/d/1vhzGooEjLajYe6hTl0X0-G8WVj5OB6YJ/view?usp=sharing" TargetMode="External"/><Relationship Id="rId170" Type="http://schemas.openxmlformats.org/officeDocument/2006/relationships/hyperlink" Target="https://drive.google.com/file/d/1gRGn4W4gGTLlknDx1xvBbJkaGsiS6wNA/view?usp=share_link" TargetMode="External"/><Relationship Id="rId268" Type="http://schemas.openxmlformats.org/officeDocument/2006/relationships/hyperlink" Target="https://drive.google.com/file/d/1GvygMPsmiE3Kv_4JGhaDDLCSiChmPo04/view?usp=share_link" TargetMode="External"/><Relationship Id="rId475" Type="http://schemas.openxmlformats.org/officeDocument/2006/relationships/hyperlink" Target="https://drive.google.com/file/d/1eYuV5l795okqDz-J2vxTmX0fDa0i7CVo/view?usp=share_link" TargetMode="External"/><Relationship Id="rId682" Type="http://schemas.openxmlformats.org/officeDocument/2006/relationships/hyperlink" Target="https://drive.google.com/file/d/1at7_AAbngsduteGrvQHI1iNEgbf9MBwv/view?usp=share_link" TargetMode="External"/><Relationship Id="rId128" Type="http://schemas.openxmlformats.org/officeDocument/2006/relationships/hyperlink" Target="https://drive.google.com/file/d/1DFYeaOsHWgk-NZ13IDVECgDXZCPOeCPX/view?usp=sharing" TargetMode="External"/><Relationship Id="rId335" Type="http://schemas.openxmlformats.org/officeDocument/2006/relationships/hyperlink" Target="https://drive.google.com/file/d/1bSdyT1DBGUjf7vQuumV6pKf13MWvGNtZ/view?usp=share_link" TargetMode="External"/><Relationship Id="rId542" Type="http://schemas.openxmlformats.org/officeDocument/2006/relationships/hyperlink" Target="https://drive.google.com/file/d/1UYreyYzbPqocVLLwzpXGAffbaGu9-qUY/view?usp=share_link" TargetMode="External"/><Relationship Id="rId987" Type="http://schemas.openxmlformats.org/officeDocument/2006/relationships/hyperlink" Target="https://drive.google.com/file/d/1ToWPu_KsSIHyXzsQAT3R-sbY0DbIYCYQ/view?usp=share_link" TargetMode="External"/><Relationship Id="rId1172" Type="http://schemas.openxmlformats.org/officeDocument/2006/relationships/hyperlink" Target="https://drive.google.com/file/d/1YKFJjCLMyZwRWDlsfMptUvzC8ZQDicNm/view?usp=sharing" TargetMode="External"/><Relationship Id="rId402" Type="http://schemas.openxmlformats.org/officeDocument/2006/relationships/hyperlink" Target="https://drive.google.com/file/d/1VD_n09Am0TBgd-Qf7u3ct_wtTPmCj-1d/view" TargetMode="External"/><Relationship Id="rId847" Type="http://schemas.openxmlformats.org/officeDocument/2006/relationships/hyperlink" Target="https://drive.google.com/file/d/13QtYxF2FR58FXJXwb3J-a-WfvfBuRLKh/view?usp=share_link" TargetMode="External"/><Relationship Id="rId1032" Type="http://schemas.openxmlformats.org/officeDocument/2006/relationships/hyperlink" Target="https://drive.google.com/file/d/1p-1rHg7vfRbU9ZO9x_G9KJxM2ZkE3k4G/view?usp=share_link" TargetMode="External"/><Relationship Id="rId1477" Type="http://schemas.openxmlformats.org/officeDocument/2006/relationships/hyperlink" Target="https://drive.google.com/open?id=1h2V4HVvO_81YaLHEUsNPKrM3E2tt_t4x&amp;usp=drive_fs" TargetMode="External"/><Relationship Id="rId707" Type="http://schemas.openxmlformats.org/officeDocument/2006/relationships/hyperlink" Target="https://drive.google.com/file/d/1Nmc4ZrT0Ji5j3V9QPCad0ii86fcEIzTQ/view?usp=share_link" TargetMode="External"/><Relationship Id="rId914" Type="http://schemas.openxmlformats.org/officeDocument/2006/relationships/hyperlink" Target="https://drive.google.com/file/d/1pddZ74vFhY2QokcWDbR3pveLNTAxXz30/view?usp=share_link" TargetMode="External"/><Relationship Id="rId1337" Type="http://schemas.openxmlformats.org/officeDocument/2006/relationships/hyperlink" Target="https://drive.google.com/open?id=1-rSUECAoebRojGojUOtgUkKHC_O6Nqgv&amp;usp=drive_fs" TargetMode="External"/><Relationship Id="rId43" Type="http://schemas.openxmlformats.org/officeDocument/2006/relationships/hyperlink" Target="https://drive.google.com/file/d/1AUv0QR_BNXmbNwiLSkl2LrEtZJgsNZgu/view?usp=sharing" TargetMode="External"/><Relationship Id="rId1404" Type="http://schemas.openxmlformats.org/officeDocument/2006/relationships/hyperlink" Target="https://drive.google.com/open?id=10aDTmj8-aXBCb3npyndrYVyaOpme6c6G&amp;usp=drive_fs" TargetMode="External"/><Relationship Id="rId192" Type="http://schemas.openxmlformats.org/officeDocument/2006/relationships/hyperlink" Target="https://drive.google.com/file/d/15JAF-tXGXRLPCKB0-IfynO6iaU0cA2OV/view?usp=share_link" TargetMode="External"/><Relationship Id="rId497" Type="http://schemas.openxmlformats.org/officeDocument/2006/relationships/hyperlink" Target="https://drive.google.com/file/d/1jnEfONp__tkd_VLNDS2_bJv16a89lC7t/view?usp=share_link" TargetMode="External"/><Relationship Id="rId357" Type="http://schemas.openxmlformats.org/officeDocument/2006/relationships/hyperlink" Target="https://drive.google.com/file/d/1PeSSXBb01IUM2l916jqN0nsPePb_iZPN/view?usp=share_link" TargetMode="External"/><Relationship Id="rId1194" Type="http://schemas.openxmlformats.org/officeDocument/2006/relationships/hyperlink" Target="https://drive.google.com/file/d/10TZCwlvtnyJf-xQsAGQ7iJ8HJGEC8Amj/view?usp=sharing" TargetMode="External"/><Relationship Id="rId217" Type="http://schemas.openxmlformats.org/officeDocument/2006/relationships/hyperlink" Target="https://drive.google.com/file/d/13g7F8a7ZjOqW23BIu7mvGaqTenwoY1V-/view?usp=share_link" TargetMode="External"/><Relationship Id="rId564" Type="http://schemas.openxmlformats.org/officeDocument/2006/relationships/hyperlink" Target="https://drive.google.com/file/d/1USXK_5ADqTUCE7IWsoCvOPghNwCpFvEU/view?usp=share_link" TargetMode="External"/><Relationship Id="rId771" Type="http://schemas.openxmlformats.org/officeDocument/2006/relationships/hyperlink" Target="https://drive.google.com/file/d/1b8F1plE0UFKTYDcDlJgURuIN1woGzeXA/view?usp=share_link" TargetMode="External"/><Relationship Id="rId869" Type="http://schemas.openxmlformats.org/officeDocument/2006/relationships/hyperlink" Target="https://drive.google.com/file/d/1YIwwRj_TOsNPTZxBSDz9-6piwkyY7sEn/view?usp=share_link" TargetMode="External"/><Relationship Id="rId424" Type="http://schemas.openxmlformats.org/officeDocument/2006/relationships/hyperlink" Target="https://drive.google.com/file/d/1oFPMXZAswJB-N04m-CUrQPJx2ZKkEm5i/view?usp=share_link" TargetMode="External"/><Relationship Id="rId631" Type="http://schemas.openxmlformats.org/officeDocument/2006/relationships/hyperlink" Target="https://drive.google.com/file/d/1qkixDJ_9DoGcK0sbuqQvw2CD6JPUniv-/view?usp=share_link" TargetMode="External"/><Relationship Id="rId729" Type="http://schemas.openxmlformats.org/officeDocument/2006/relationships/hyperlink" Target="https://drive.google.com/file/d/1zvV9EIVyKcmEHlDBcO4n5wjt-i0SjNb2/view?usp=share_link" TargetMode="External"/><Relationship Id="rId1054" Type="http://schemas.openxmlformats.org/officeDocument/2006/relationships/hyperlink" Target="https://drive.google.com/file/d/13jCsunhIu64X0kyVoFQUC5UEg6psFbns/view?usp=sharing" TargetMode="External"/><Relationship Id="rId1261" Type="http://schemas.openxmlformats.org/officeDocument/2006/relationships/hyperlink" Target="https://drive.google.com/file/d/18zwwaH-k4Wm3NT-JKqQEG6ummYRc2LlY/view?usp=sharing" TargetMode="External"/><Relationship Id="rId1359" Type="http://schemas.openxmlformats.org/officeDocument/2006/relationships/hyperlink" Target="https://drive.google.com/open?id=17FCwxiplHKe4rpgsuGsLqJr185eCZQlw&amp;usp=drive_fs" TargetMode="External"/><Relationship Id="rId936" Type="http://schemas.openxmlformats.org/officeDocument/2006/relationships/hyperlink" Target="https://drive.google.com/file/d/12SgEGsITFfTHbc5wuKlEhDQ1cbUb94N-/view?usp=share_link" TargetMode="External"/><Relationship Id="rId1121" Type="http://schemas.openxmlformats.org/officeDocument/2006/relationships/hyperlink" Target="https://drive.google.com/file/d/148SsozZvlDL7Q6XKPFzLvlkHk2yPBKOH/view?usp=share_link" TargetMode="External"/><Relationship Id="rId1219" Type="http://schemas.openxmlformats.org/officeDocument/2006/relationships/hyperlink" Target="https://drive.google.com/file/d/1BGSqHdirnC7-R0C7JRn3VIvgCur9PPDn/view?usp=sharing" TargetMode="External"/><Relationship Id="rId65" Type="http://schemas.openxmlformats.org/officeDocument/2006/relationships/hyperlink" Target="https://drive.google.com/file/d/1We-x6wRJo9BZzO1MPJMojHoRSDsRps0S/view?usp=sharing" TargetMode="External"/><Relationship Id="rId1426" Type="http://schemas.openxmlformats.org/officeDocument/2006/relationships/hyperlink" Target="https://drive.google.com/open?id=1IX5y5NBY1i42Tok90ggYHGRqM-4uQM33&amp;usp=drive_fs" TargetMode="External"/><Relationship Id="rId281" Type="http://schemas.openxmlformats.org/officeDocument/2006/relationships/hyperlink" Target="https://drive.google.com/file/d/1FYGDzYXaIW6sSkaGilY8TIc1zCNbkHdM/view?usp=share_link" TargetMode="External"/><Relationship Id="rId141" Type="http://schemas.openxmlformats.org/officeDocument/2006/relationships/hyperlink" Target="https://drive.google.com/file/d/1EMhaFUJeZsTt0ysE_4x1gc0Wp0zR4alq/view?usp=sharing" TargetMode="External"/><Relationship Id="rId379" Type="http://schemas.openxmlformats.org/officeDocument/2006/relationships/hyperlink" Target="https://drive.google.com/file/d/101vUHLOaEkkwwKQoxc8wjbvj74yvGEn7/view?usp=share_link" TargetMode="External"/><Relationship Id="rId586" Type="http://schemas.openxmlformats.org/officeDocument/2006/relationships/hyperlink" Target="https://drive.google.com/file/d/1lhE0fwG4kPf-4V1XbJ762JR3P-b3aJaB/view?usp=share_link" TargetMode="External"/><Relationship Id="rId793" Type="http://schemas.openxmlformats.org/officeDocument/2006/relationships/hyperlink" Target="https://drive.google.com/file/d/1zuN-Cx4N0i9Odc69M0rKQG0Ic0dp1cIW/view?usp=share_link" TargetMode="External"/><Relationship Id="rId7" Type="http://schemas.openxmlformats.org/officeDocument/2006/relationships/hyperlink" Target="https://drive.google.com/file/d/1apmbFg8vKRbH5n8R3EpGCTDjp-7a1l0d/view?usp=sharing" TargetMode="External"/><Relationship Id="rId239" Type="http://schemas.openxmlformats.org/officeDocument/2006/relationships/hyperlink" Target="https://drive.google.com/file/d/1Kg0Xz8PYoLN_7WWjpWdTdkGUfUn8h_ng/view?usp=share_link" TargetMode="External"/><Relationship Id="rId446" Type="http://schemas.openxmlformats.org/officeDocument/2006/relationships/hyperlink" Target="https://drive.google.com/file/d/1VZkAkrzNmr61-Er7fyMoxyqYh2GBpGQH/view?usp=share_link" TargetMode="External"/><Relationship Id="rId653" Type="http://schemas.openxmlformats.org/officeDocument/2006/relationships/hyperlink" Target="https://drive.google.com/file/d/1vYK2yoQYQ-XGF2-LYkP_iTMBs_xZhep-/view?usp=share_link" TargetMode="External"/><Relationship Id="rId1076" Type="http://schemas.openxmlformats.org/officeDocument/2006/relationships/hyperlink" Target="https://drive.google.com/file/d/1ABXieXUas-4hb-1yw66fXFh3l_PjrWnD/view?usp=share_link" TargetMode="External"/><Relationship Id="rId1283" Type="http://schemas.openxmlformats.org/officeDocument/2006/relationships/hyperlink" Target="https://drive.google.com/file/d/1FYLUIJSL0YfqwxPYhhn4phI9rgsZuoy6/view?usp=sharing" TargetMode="External"/><Relationship Id="rId1490" Type="http://schemas.openxmlformats.org/officeDocument/2006/relationships/hyperlink" Target="https://drive.google.com/open?id=19AqhtV2xcdOOoSZYPTKpvX1q0rtSn8US&amp;usp=drive_fs" TargetMode="External"/><Relationship Id="rId306" Type="http://schemas.openxmlformats.org/officeDocument/2006/relationships/hyperlink" Target="https://drive.google.com/file/d/1jNNyy4-Sdm_k_tdPH_Ob7sudjzSt7R4g/view?usp=share_link" TargetMode="External"/><Relationship Id="rId860" Type="http://schemas.openxmlformats.org/officeDocument/2006/relationships/hyperlink" Target="https://drive.google.com/file/d/1O0xDOTMD6GAHrWDt1iubIs_HyHFoPs63/view?usp=share_link" TargetMode="External"/><Relationship Id="rId958" Type="http://schemas.openxmlformats.org/officeDocument/2006/relationships/hyperlink" Target="https://drive.google.com/file/d/1M-GDwCpw5Mjw_V0QkCsqzn5_qqZXHcEO/view?usp=share_link" TargetMode="External"/><Relationship Id="rId1143" Type="http://schemas.openxmlformats.org/officeDocument/2006/relationships/hyperlink" Target="https://drive.google.com/file/d/10Qf_ysItS54NS6fMchjo6iBNyEIZ2pU8/view?usp=share_link" TargetMode="External"/><Relationship Id="rId87" Type="http://schemas.openxmlformats.org/officeDocument/2006/relationships/hyperlink" Target="https://drive.google.com/file/d/1efonEY1g5Zi0Lvj3xjW_9MZfZy6TafaH/view?usp=sharing" TargetMode="External"/><Relationship Id="rId513" Type="http://schemas.openxmlformats.org/officeDocument/2006/relationships/hyperlink" Target="https://drive.google.com/file/d/1mD3Vq_jfhp7_tgeNFZjs2anjdJbqN3Lk/view?usp=share_link" TargetMode="External"/><Relationship Id="rId720" Type="http://schemas.openxmlformats.org/officeDocument/2006/relationships/hyperlink" Target="https://drive.google.com/file/d/1F_0yKf5sanKxLbumAhhJV3_HJji7VCFI/view?usp=share_link" TargetMode="External"/><Relationship Id="rId818" Type="http://schemas.openxmlformats.org/officeDocument/2006/relationships/hyperlink" Target="https://drive.google.com/file/d/1kYJ8-GM_W0iGeeiAaDdmy8Zug6i-zXJU/view?usp=share_link" TargetMode="External"/><Relationship Id="rId1350" Type="http://schemas.openxmlformats.org/officeDocument/2006/relationships/hyperlink" Target="https://drive.google.com/open?id=13CyQxGXltwPbEg0bsvnMPgh4VeSSO1uB&amp;usp=drive_fs" TargetMode="External"/><Relationship Id="rId1448" Type="http://schemas.openxmlformats.org/officeDocument/2006/relationships/hyperlink" Target="https://drive.google.com/file/d/1j1P3SVZ_aBbye5XkaPntQWz9wbWVd18b/view?usp=sharing" TargetMode="External"/><Relationship Id="rId1003" Type="http://schemas.openxmlformats.org/officeDocument/2006/relationships/hyperlink" Target="https://drive.google.com/file/d/1uBYfOjaeDxCZY7BOidOi1PNvJlbDT3y1/view?usp=share_link" TargetMode="External"/><Relationship Id="rId1210" Type="http://schemas.openxmlformats.org/officeDocument/2006/relationships/hyperlink" Target="https://drive.google.com/file/d/1AlbxOXbym3pdagKPQlNiLvi99oXj9NYf/view?usp=sharing" TargetMode="External"/><Relationship Id="rId1308" Type="http://schemas.openxmlformats.org/officeDocument/2006/relationships/hyperlink" Target="https://drive.google.com/file/d/1EGPlwvFGgPCoJWWF4184EnRY2haZt6XU/view?usp=drive_link" TargetMode="External"/><Relationship Id="rId14" Type="http://schemas.openxmlformats.org/officeDocument/2006/relationships/hyperlink" Target="https://drive.google.com/file/d/1QOU-G3X-53ieHdNcrKP4Ub7Nmk1vSKmL/view?usp=sharing" TargetMode="External"/><Relationship Id="rId163" Type="http://schemas.openxmlformats.org/officeDocument/2006/relationships/hyperlink" Target="https://drive.google.com/file/d/1Vuutw7sE4edEgaOFFSZWz74x1tBwi1w3/view?usp=sharing" TargetMode="External"/><Relationship Id="rId370" Type="http://schemas.openxmlformats.org/officeDocument/2006/relationships/hyperlink" Target="https://drive.google.com/file/d/1Mykq0uq2bgwnzUgkolH6_ngckyAaPle_/view?usp=share_link" TargetMode="External"/><Relationship Id="rId230" Type="http://schemas.openxmlformats.org/officeDocument/2006/relationships/hyperlink" Target="https://drive.google.com/file/d/1nfOZ3ZA2oK6E0CodoG38ycsYhfXGNsvk/view?usp=share_link" TargetMode="External"/><Relationship Id="rId468" Type="http://schemas.openxmlformats.org/officeDocument/2006/relationships/hyperlink" Target="https://drive.google.com/file/d/10F_8g1WtfnG3pe-qVaCiW3vk0THe93r_/view?usp=share_link" TargetMode="External"/><Relationship Id="rId675" Type="http://schemas.openxmlformats.org/officeDocument/2006/relationships/hyperlink" Target="https://drive.google.com/file/d/1r8emhqnAss6-6S_tRR_tQOyLifI4U0bF/view?usp=share_link" TargetMode="External"/><Relationship Id="rId882" Type="http://schemas.openxmlformats.org/officeDocument/2006/relationships/hyperlink" Target="https://drive.google.com/file/d/1tmll0vYDPfxii5OMt6G6_eNhXIc4MHgb/view?usp=share_link" TargetMode="External"/><Relationship Id="rId1098" Type="http://schemas.openxmlformats.org/officeDocument/2006/relationships/hyperlink" Target="https://drive.google.com/file/d/1qS2d5xxUvJakZN-2MIdq6WfKB0icSfBh/view?usp=share_link" TargetMode="External"/><Relationship Id="rId328" Type="http://schemas.openxmlformats.org/officeDocument/2006/relationships/hyperlink" Target="https://drive.google.com/file/d/1J0cZvuUkwpEE4wylvIhrGKNNNRpingCW/view?usp=share_link" TargetMode="External"/><Relationship Id="rId535" Type="http://schemas.openxmlformats.org/officeDocument/2006/relationships/hyperlink" Target="https://drive.google.com/file/d/1x1IghxQb6-2Vlg_Mbj024uiuFiq67ys2/view?usp=share_link" TargetMode="External"/><Relationship Id="rId742" Type="http://schemas.openxmlformats.org/officeDocument/2006/relationships/hyperlink" Target="https://drive.google.com/file/d/1MD35wsb3Zv1uTdcCF6hJKOw0MEn8xi3P/view?usp=share_link" TargetMode="External"/><Relationship Id="rId1165" Type="http://schemas.openxmlformats.org/officeDocument/2006/relationships/hyperlink" Target="https://drive.google.com/file/d/1dlKpPGN_tOeJedmEee5wRL9GuZs0PTzH/view?usp=sharing" TargetMode="External"/><Relationship Id="rId1372" Type="http://schemas.openxmlformats.org/officeDocument/2006/relationships/hyperlink" Target="https://drive.google.com/open?id=17RMjU6uYQPQp5mIQyrH8H_VvIdmg6voM&amp;usp=drive_fs" TargetMode="External"/><Relationship Id="rId602" Type="http://schemas.openxmlformats.org/officeDocument/2006/relationships/hyperlink" Target="https://drive.google.com/file/d/13IZyyyLMozarJCLlJV0-6rHycaVmGo7q/view?usp=share_link" TargetMode="External"/><Relationship Id="rId1025" Type="http://schemas.openxmlformats.org/officeDocument/2006/relationships/hyperlink" Target="https://drive.google.com/file/d/1Gl7iS8ZJss_cN5Fu4u92KO_Kxf48LElg/view?usp=share_link" TargetMode="External"/><Relationship Id="rId1232" Type="http://schemas.openxmlformats.org/officeDocument/2006/relationships/hyperlink" Target="https://drive.google.com/file/d/1BqSLoTr_WhKDjs4buEbKMfr3l82gVMDm/view?usp=sharing" TargetMode="External"/><Relationship Id="rId907" Type="http://schemas.openxmlformats.org/officeDocument/2006/relationships/hyperlink" Target="https://drive.google.com/file/d/13J5r1o8m8JvH-VzWZHgRiHjn0I_0YfrQ/view?usp=share_link" TargetMode="External"/><Relationship Id="rId36" Type="http://schemas.openxmlformats.org/officeDocument/2006/relationships/hyperlink" Target="https://drive.google.com/file/d/1Vsb97ZD9hgvEp70QJGnjPYkLovmo2szJ/view?usp=sharing" TargetMode="External"/><Relationship Id="rId185" Type="http://schemas.openxmlformats.org/officeDocument/2006/relationships/hyperlink" Target="https://drive.google.com/file/d/1sUv84dN5-6AJLJhKQRaaCiqdCRXfnT9w/view?usp=sharing" TargetMode="External"/><Relationship Id="rId392" Type="http://schemas.openxmlformats.org/officeDocument/2006/relationships/hyperlink" Target="https://drive.google.com/file/d/1tybBBE--EwpBjKL2Uc1VDho86A1CpQua/view?usp=share_link" TargetMode="External"/><Relationship Id="rId697" Type="http://schemas.openxmlformats.org/officeDocument/2006/relationships/hyperlink" Target="https://drive.google.com/file/d/1ybAr2yDPXRujkmBHa2TFzL5Qfo8HG-0L/view?usp=share_link" TargetMode="External"/><Relationship Id="rId252" Type="http://schemas.openxmlformats.org/officeDocument/2006/relationships/hyperlink" Target="https://drive.google.com/file/d/1pXNYgLo0Ak5I3-47uC4_7hYLuSKyJ5R4/view?usp=share_link" TargetMode="External"/><Relationship Id="rId1187" Type="http://schemas.openxmlformats.org/officeDocument/2006/relationships/hyperlink" Target="https://drive.google.com/file/d/1Wx1pT6a4EZW5SePsemn6fSUYg7_H9x0I/view?usp=sharing" TargetMode="External"/><Relationship Id="rId112" Type="http://schemas.openxmlformats.org/officeDocument/2006/relationships/hyperlink" Target="https://drive.google.com/file/d/1dlVIBqOZCawRsDvKnkKcG-nu3hz2yr3b/view?usp=sharing" TargetMode="External"/><Relationship Id="rId557" Type="http://schemas.openxmlformats.org/officeDocument/2006/relationships/hyperlink" Target="https://drive.google.com/file/d/1ErSX3nPes0bg0QRt7E2aklXBFX_m1r2z/view?usp=share_link" TargetMode="External"/><Relationship Id="rId764" Type="http://schemas.openxmlformats.org/officeDocument/2006/relationships/hyperlink" Target="https://drive.google.com/file/d/14VEPuPkr5JjYfGK6qrpt4oOtK545IKY0/view?usp=share_link" TargetMode="External"/><Relationship Id="rId971" Type="http://schemas.openxmlformats.org/officeDocument/2006/relationships/hyperlink" Target="https://drive.google.com/file/d/1sKD7GaRQXAWbb5qHPsvtOVi9v-pEbS86/view?usp=share_link" TargetMode="External"/><Relationship Id="rId1394" Type="http://schemas.openxmlformats.org/officeDocument/2006/relationships/hyperlink" Target="https://drive.google.com/open?id=1rQUMiy7guG1oDPVVE_oUrlcCKh8lOg4-&amp;usp=drive_fs" TargetMode="External"/><Relationship Id="rId417" Type="http://schemas.openxmlformats.org/officeDocument/2006/relationships/hyperlink" Target="https://drive.google.com/file/d/1EV54jC519ueyR6CfgtAWdE9bgRrgv7Ib/view?usp=share_link" TargetMode="External"/><Relationship Id="rId624" Type="http://schemas.openxmlformats.org/officeDocument/2006/relationships/hyperlink" Target="https://drive.google.com/file/d/1WXokUQVRx-YPQAhXdTzC96tbEjiHp35d/view?usp=share_link" TargetMode="External"/><Relationship Id="rId831" Type="http://schemas.openxmlformats.org/officeDocument/2006/relationships/hyperlink" Target="https://drive.google.com/file/d/1hwr43RA_BFJuLvKzQSKiN3dTevzgYbJx/view?usp=share_link" TargetMode="External"/><Relationship Id="rId1047" Type="http://schemas.openxmlformats.org/officeDocument/2006/relationships/hyperlink" Target="https://drive.google.com/file/d/11ZRRtG5RlJhhgu13rvCJffEl3qFVJe4y/view?usp=sharing" TargetMode="External"/><Relationship Id="rId1254" Type="http://schemas.openxmlformats.org/officeDocument/2006/relationships/hyperlink" Target="https://drive.google.com/file/d/15eH7Yp6VzGmhWrxnPWpHiBG-2eHMU4wE/view?usp=sharing" TargetMode="External"/><Relationship Id="rId1461" Type="http://schemas.openxmlformats.org/officeDocument/2006/relationships/hyperlink" Target="https://drive.google.com/file/d/1to8IcJuiFi4RbJ5tihM0Xbf2Zj6xQBE3/view?usp=share_link" TargetMode="External"/><Relationship Id="rId929" Type="http://schemas.openxmlformats.org/officeDocument/2006/relationships/hyperlink" Target="https://drive.google.com/file/d/1iOG6cyF4oU_LnzcZH53yzj62uPIpNDWc/view?usp=share_link" TargetMode="External"/><Relationship Id="rId1114" Type="http://schemas.openxmlformats.org/officeDocument/2006/relationships/hyperlink" Target="https://drive.google.com/file/d/1otQnQRzSMnt5YKfJJ82FmH1wSmrnZJgk/view?usp=share_link" TargetMode="External"/><Relationship Id="rId1321" Type="http://schemas.openxmlformats.org/officeDocument/2006/relationships/hyperlink" Target="https://drive.google.com/file/d/1kEw_EFAL-nFdrP-pJVOO-DiWOvc_byby/view?usp=sharing" TargetMode="External"/><Relationship Id="rId58" Type="http://schemas.openxmlformats.org/officeDocument/2006/relationships/hyperlink" Target="https://drive.google.com/file/d/11kZ4yjrGbE7XMCpHfLnWRC3Gl3amwulw/view?usp=sharing" TargetMode="External"/><Relationship Id="rId1419" Type="http://schemas.openxmlformats.org/officeDocument/2006/relationships/hyperlink" Target="https://drive.google.com/open?id=1I3wyAlsslqLoiweh4Uul6_nSbXoxPWuA&amp;usp=drive_fs" TargetMode="External"/><Relationship Id="rId274" Type="http://schemas.openxmlformats.org/officeDocument/2006/relationships/hyperlink" Target="https://drive.google.com/file/d/1X0_NHjLse8uI6oPsvI9tWH5-GtIgZHLT/view?usp=share_link" TargetMode="External"/><Relationship Id="rId481" Type="http://schemas.openxmlformats.org/officeDocument/2006/relationships/hyperlink" Target="https://drive.google.com/file/d/1VuUX1T-yEGjVHhs19uxFnExsd0kmYPPf/view?usp=share_link" TargetMode="External"/><Relationship Id="rId134" Type="http://schemas.openxmlformats.org/officeDocument/2006/relationships/hyperlink" Target="https://drive.google.com/file/d/1Pd-sn_whYvhMhgbewCMHCPMD4ZeHIUvb/view?usp=sharing" TargetMode="External"/><Relationship Id="rId579" Type="http://schemas.openxmlformats.org/officeDocument/2006/relationships/hyperlink" Target="https://drive.google.com/file/d/1wIN97DEBs1wwBHgCPO72zgpe9mSl-CR6/view?usp=share_link" TargetMode="External"/><Relationship Id="rId786" Type="http://schemas.openxmlformats.org/officeDocument/2006/relationships/hyperlink" Target="https://drive.google.com/file/d/1ICYKgkfgjwNfVT-cm0RZjS4nKv9afx_Z/view?usp=share_link" TargetMode="External"/><Relationship Id="rId993" Type="http://schemas.openxmlformats.org/officeDocument/2006/relationships/hyperlink" Target="https://drive.google.com/file/d/1_dEQkZd7PIMv6S1T774WoGYMTIszRoIC/view?usp=share_link" TargetMode="External"/><Relationship Id="rId341" Type="http://schemas.openxmlformats.org/officeDocument/2006/relationships/hyperlink" Target="https://drive.google.com/file/d/15LItC9N1xPG8UAnZWYu_9xGEo53kO2pw/view?usp=share_link" TargetMode="External"/><Relationship Id="rId439" Type="http://schemas.openxmlformats.org/officeDocument/2006/relationships/hyperlink" Target="https://drive.google.com/file/d/1GGDdigOHcqPapSfiq-o7kd8P-OnVSVIi/view?usp=share_link" TargetMode="External"/><Relationship Id="rId646" Type="http://schemas.openxmlformats.org/officeDocument/2006/relationships/hyperlink" Target="https://drive.google.com/file/d/1PTrolENpBO9ujIUgQIuGi6-RS3rwjsNE/view?usp=share_link" TargetMode="External"/><Relationship Id="rId1069" Type="http://schemas.openxmlformats.org/officeDocument/2006/relationships/hyperlink" Target="https://drive.google.com/file/d/1JgslZuaLx29-Q6I0CRo-HvNEMq2zKY2L/view?usp=share_link" TargetMode="External"/><Relationship Id="rId1276" Type="http://schemas.openxmlformats.org/officeDocument/2006/relationships/hyperlink" Target="https://drive.google.com/file/d/1FBSiofRk4ux-FFpfo8BKac8sBw06tUXG/view?usp=sharing" TargetMode="External"/><Relationship Id="rId1483" Type="http://schemas.openxmlformats.org/officeDocument/2006/relationships/hyperlink" Target="https://drive.google.com/open?id=1rOz3G-MDdnI5yjGF5OfunvFWvKph1kFT&amp;usp=drive_fs" TargetMode="External"/><Relationship Id="rId201" Type="http://schemas.openxmlformats.org/officeDocument/2006/relationships/hyperlink" Target="https://drive.google.com/file/d/1KQndpTeQAe6O7usWQ7MBGHeATgiO4Rqg/view?usp=share_link" TargetMode="External"/><Relationship Id="rId506" Type="http://schemas.openxmlformats.org/officeDocument/2006/relationships/hyperlink" Target="https://drive.google.com/file/d/1SOugOJRb3rRoFYYxCrDakURHqvfjnfkZ/view?usp=share_link" TargetMode="External"/><Relationship Id="rId853" Type="http://schemas.openxmlformats.org/officeDocument/2006/relationships/hyperlink" Target="https://drive.google.com/file/d/1eIVafr54CSU8EKeq1ZmiwmaD-QVRBvmn/view?usp=share_link" TargetMode="External"/><Relationship Id="rId1136" Type="http://schemas.openxmlformats.org/officeDocument/2006/relationships/hyperlink" Target="https://drive.google.com/file/d/1-aNEAu8fAdzw0ZKANZlB3cwCtwuDtVs4/view?usp=sharing" TargetMode="External"/><Relationship Id="rId713" Type="http://schemas.openxmlformats.org/officeDocument/2006/relationships/hyperlink" Target="https://drive.google.com/file/d/1U70BWR48UB4BEPbMqRb1KcB2__LW5xxv/view?usp=share_link" TargetMode="External"/><Relationship Id="rId920" Type="http://schemas.openxmlformats.org/officeDocument/2006/relationships/hyperlink" Target="https://drive.google.com/file/d/1xuAWF3NxpdLRXPknPWccR1fShL6AjR-y/view?usp=share_link" TargetMode="External"/><Relationship Id="rId1343" Type="http://schemas.openxmlformats.org/officeDocument/2006/relationships/hyperlink" Target="https://drive.google.com/file/d/1PXuf7LRZso_5fXxLHpW4sUMTE4k5hpEU/view?usp=share_link" TargetMode="External"/><Relationship Id="rId1203" Type="http://schemas.openxmlformats.org/officeDocument/2006/relationships/hyperlink" Target="https://drive.google.com/file/d/17OnFhw7WI-NNXpcR3mp9SNy5yCmu5il2/view?usp=sharing" TargetMode="External"/><Relationship Id="rId1410" Type="http://schemas.openxmlformats.org/officeDocument/2006/relationships/hyperlink" Target="https://drive.google.com/open?id=14xg0CdibEb-CHNo8QNc80n5fKMaLuqrm&amp;usp=drive_fs" TargetMode="External"/><Relationship Id="rId296" Type="http://schemas.openxmlformats.org/officeDocument/2006/relationships/hyperlink" Target="https://drive.google.com/file/d/1epz2FAn7DRCbxPstkW2_eXtUxlGCQG_S/view?usp=share_link" TargetMode="External"/><Relationship Id="rId156" Type="http://schemas.openxmlformats.org/officeDocument/2006/relationships/hyperlink" Target="https://drive.google.com/file/d/1701g5lleLeZ0-na8ztuWTBtR_eWQQkdA/view?usp=sharing" TargetMode="External"/><Relationship Id="rId363" Type="http://schemas.openxmlformats.org/officeDocument/2006/relationships/hyperlink" Target="https://drive.google.com/file/d/1gY1hI1Mm6l1wr0xfcTTd1aTQfZg4KyxJ/view?usp=share_link" TargetMode="External"/><Relationship Id="rId570" Type="http://schemas.openxmlformats.org/officeDocument/2006/relationships/hyperlink" Target="https://drive.google.com/file/d/1Qx3Rur6VWD2WTI4PXgOQ8yEL69h7-Vgx/view?usp=share_link" TargetMode="External"/><Relationship Id="rId223" Type="http://schemas.openxmlformats.org/officeDocument/2006/relationships/hyperlink" Target="https://drive.google.com/file/d/1BeIrUO4yUovIkjHk11UQUytBsKErF6BA/view?usp=share_link" TargetMode="External"/><Relationship Id="rId430" Type="http://schemas.openxmlformats.org/officeDocument/2006/relationships/hyperlink" Target="https://drive.google.com/file/d/1WQ5Smi38_gKV-XItWuUKpB5jbt377a8E/view?usp=share_link" TargetMode="External"/><Relationship Id="rId668" Type="http://schemas.openxmlformats.org/officeDocument/2006/relationships/hyperlink" Target="https://drive.google.com/file/d/1lFnEm5NXtP2anG1aSipZNWI0Rhp6z6ug/view?usp=share_link" TargetMode="External"/><Relationship Id="rId875" Type="http://schemas.openxmlformats.org/officeDocument/2006/relationships/hyperlink" Target="https://drive.google.com/file/d/1ecOHO_KynnTIS0k6pYu7kJCwmasmRfoK/view?usp=share_link" TargetMode="External"/><Relationship Id="rId1060" Type="http://schemas.openxmlformats.org/officeDocument/2006/relationships/hyperlink" Target="https://drive.google.com/file/d/1giGR2TLTewFRAjXZqS5lCnH83psfP7VR/view?usp=share_link" TargetMode="External"/><Relationship Id="rId1298" Type="http://schemas.openxmlformats.org/officeDocument/2006/relationships/hyperlink" Target="https://drive.google.com/file/d/11kZkdSlObwhqWvQc9RShJLQytTguiSDf/view?usp=sharing" TargetMode="External"/><Relationship Id="rId528" Type="http://schemas.openxmlformats.org/officeDocument/2006/relationships/hyperlink" Target="https://drive.google.com/file/d/1QBaJak8yC17wHNSzmvXnL-cqvYAc-N3m/view?usp=share_link" TargetMode="External"/><Relationship Id="rId735" Type="http://schemas.openxmlformats.org/officeDocument/2006/relationships/hyperlink" Target="https://drive.google.com/file/d/1acmaUd2Oc0P491KkDSNm-Crxf2Qou1V4/view?usp=share_link" TargetMode="External"/><Relationship Id="rId942" Type="http://schemas.openxmlformats.org/officeDocument/2006/relationships/hyperlink" Target="https://drive.google.com/file/d/127LDBQ32qfjp3YGJJEOIeK1t-66bcxaS/view?usp=share_link" TargetMode="External"/><Relationship Id="rId1158" Type="http://schemas.openxmlformats.org/officeDocument/2006/relationships/hyperlink" Target="https://drive.google.com/file/d/10H9-YJo8mFmBReljdLZS3X70cvliU02i/view?usp=sharing" TargetMode="External"/><Relationship Id="rId1365" Type="http://schemas.openxmlformats.org/officeDocument/2006/relationships/hyperlink" Target="https://drive.google.com/open?id=18Tvc2FWgOG3aZeNdg17FvvpxFSICcKcW&amp;usp=drive_fs" TargetMode="External"/><Relationship Id="rId1018" Type="http://schemas.openxmlformats.org/officeDocument/2006/relationships/hyperlink" Target="https://drive.google.com/file/d/1czmZqWCtjzvHtZvGsHsXC4h8SErUUpjG/view?usp=share_link" TargetMode="External"/><Relationship Id="rId1225" Type="http://schemas.openxmlformats.org/officeDocument/2006/relationships/hyperlink" Target="https://drive.google.com/file/d/1CRj1WR37T_N6Nfr5LxwggaHjsqv9OKWG/view?usp=sharing" TargetMode="External"/><Relationship Id="rId1432" Type="http://schemas.openxmlformats.org/officeDocument/2006/relationships/hyperlink" Target="https://drive.google.com/open?id=1I727PL92eAlV3v5fii-CCJr0zu8Ac8Ag&amp;usp=drive_fs" TargetMode="External"/><Relationship Id="rId71" Type="http://schemas.openxmlformats.org/officeDocument/2006/relationships/hyperlink" Target="https://drive.google.com/file/d/1kpCzm79PnC2fDZo2ayaqtgm4Zybpvcan/view?usp=sharing" TargetMode="External"/><Relationship Id="rId802" Type="http://schemas.openxmlformats.org/officeDocument/2006/relationships/hyperlink" Target="https://drive.google.com/file/d/1AmQ3eq8Txja4c9sR1RPaft3xDHCTXokU/view?usp=share_link" TargetMode="External"/><Relationship Id="rId29" Type="http://schemas.openxmlformats.org/officeDocument/2006/relationships/hyperlink" Target="https://drive.google.com/file/d/1sE1Yg0BPnwLjfnvfJU4q-kZqeNUzaHw-/view?usp=sharing" TargetMode="External"/><Relationship Id="rId178" Type="http://schemas.openxmlformats.org/officeDocument/2006/relationships/hyperlink" Target="https://drive.google.com/file/d/1xWRQNRyTVyS6OrHJZvQOA4ODi6Pz_Hez/view?usp=sharing" TargetMode="External"/><Relationship Id="rId385" Type="http://schemas.openxmlformats.org/officeDocument/2006/relationships/hyperlink" Target="https://drive.google.com/file/d/1pHzT6454Z8fGLZZKxFMPJSpDJqGZAVuc/view?usp=share_link" TargetMode="External"/><Relationship Id="rId592" Type="http://schemas.openxmlformats.org/officeDocument/2006/relationships/hyperlink" Target="https://drive.google.com/file/d/1_eu391f_oCr-36FC2FGaF7AafqzJeZYM/view?usp=share_link" TargetMode="External"/><Relationship Id="rId245" Type="http://schemas.openxmlformats.org/officeDocument/2006/relationships/hyperlink" Target="https://drive.google.com/file/d/117XrnYdNPwXZWsJCtXwZUWmZuPReBb3z/view?usp=share_link" TargetMode="External"/><Relationship Id="rId452" Type="http://schemas.openxmlformats.org/officeDocument/2006/relationships/hyperlink" Target="https://drive.google.com/file/d/1jV3VFVG-w36zlcim7ODjnsDGqNZJnOoz/view?usp=share_link" TargetMode="External"/><Relationship Id="rId897" Type="http://schemas.openxmlformats.org/officeDocument/2006/relationships/hyperlink" Target="https://drive.google.com/file/d/1yLXmYneCckOPiwHvNLeBvv4ENS8hD8dM/view?usp=share_link" TargetMode="External"/><Relationship Id="rId1082" Type="http://schemas.openxmlformats.org/officeDocument/2006/relationships/hyperlink" Target="https://drive.google.com/file/d/1pqGGf40ADtQWpHJmvZWsecJDDo0_qLva/view?usp=share_link" TargetMode="External"/><Relationship Id="rId105" Type="http://schemas.openxmlformats.org/officeDocument/2006/relationships/hyperlink" Target="https://drive.google.com/file/d/1UvjJe0qN69bJ1M-Cx3JC8GihGWF66Pwo/view?usp=sharing" TargetMode="External"/><Relationship Id="rId312" Type="http://schemas.openxmlformats.org/officeDocument/2006/relationships/hyperlink" Target="https://drive.google.com/file/d/1RN6FM8Hnv81pdlU5_V2n7FsWBw1JbbwG/view?usp=share_link" TargetMode="External"/><Relationship Id="rId757" Type="http://schemas.openxmlformats.org/officeDocument/2006/relationships/hyperlink" Target="https://drive.google.com/file/d/1OC5IJacIXwCFqqJGQjvnBLvd9cFG3Uq2/view?usp=share_link" TargetMode="External"/><Relationship Id="rId964" Type="http://schemas.openxmlformats.org/officeDocument/2006/relationships/hyperlink" Target="https://drive.google.com/file/d/1wyOc9I0NZXQbi44cFJWuttCQTOURDc0S/view?usp=share_link" TargetMode="External"/><Relationship Id="rId1387" Type="http://schemas.openxmlformats.org/officeDocument/2006/relationships/hyperlink" Target="https://drive.google.com/open?id=185xB_h6wD5eXJav-IIDF300M3EJkl-W6&amp;usp=drive_fs" TargetMode="External"/><Relationship Id="rId93" Type="http://schemas.openxmlformats.org/officeDocument/2006/relationships/hyperlink" Target="https://drive.google.com/file/d/1NOI2uszmNgCd7toc6Yx73kWvPOEN5lvQ/view?usp=sharing" TargetMode="External"/><Relationship Id="rId617" Type="http://schemas.openxmlformats.org/officeDocument/2006/relationships/hyperlink" Target="https://drive.google.com/file/d/1oEeBf4F0RSbH1oAVvOu_Cxe5qN9b8Wzz/view?usp=share_link" TargetMode="External"/><Relationship Id="rId824" Type="http://schemas.openxmlformats.org/officeDocument/2006/relationships/hyperlink" Target="https://drive.google.com/file/d/1J9ejq1u-eW9BJPm1PnzsSGuNK6VypMOt/view?usp=share_link" TargetMode="External"/><Relationship Id="rId1247" Type="http://schemas.openxmlformats.org/officeDocument/2006/relationships/hyperlink" Target="https://drive.google.com/file/d/16N5oUp3W8ZnaZ24XJv8l3G498jkA9gzU/view?usp=sharing" TargetMode="External"/><Relationship Id="rId1454" Type="http://schemas.openxmlformats.org/officeDocument/2006/relationships/hyperlink" Target="https://drive.google.com/open?id=1_ZriN_-yhftQLqJOIp7Huwjessyh_jaV&amp;usp=drive_fs" TargetMode="External"/><Relationship Id="rId1107" Type="http://schemas.openxmlformats.org/officeDocument/2006/relationships/hyperlink" Target="https://drive.google.com/file/d/1DbqkK3Pv15LwABGyeDiBT_RhkfnuDQ_I/view?usp=share_link" TargetMode="External"/><Relationship Id="rId1314" Type="http://schemas.openxmlformats.org/officeDocument/2006/relationships/hyperlink" Target="https://drive.google.com/file/d/1jRvn_gcwf1DMXmMOgfHUrZgHZ4fNUGoz/view?usp=drive_link" TargetMode="External"/><Relationship Id="rId20" Type="http://schemas.openxmlformats.org/officeDocument/2006/relationships/hyperlink" Target="https://drive.google.com/file/d/1u0t7pq0oxkLpr_KJaRn_93U2SQYgmyw4/view?usp=sharing" TargetMode="External"/><Relationship Id="rId267" Type="http://schemas.openxmlformats.org/officeDocument/2006/relationships/hyperlink" Target="https://drive.google.com/file/d/1dVYEdlX2cRqs4dGWEhFOmfbkL-FEewaO/view?usp=share_link" TargetMode="External"/><Relationship Id="rId474" Type="http://schemas.openxmlformats.org/officeDocument/2006/relationships/hyperlink" Target="https://drive.google.com/file/d/137OOmvgNvKoY7vqCLIKUdmsI2hsyM8iM/view?usp=share_link" TargetMode="External"/><Relationship Id="rId127" Type="http://schemas.openxmlformats.org/officeDocument/2006/relationships/hyperlink" Target="https://drive.google.com/file/d/1iVrHTNyImMkGKwxap5hVPFrk1Ulg237Y/view?usp=sharing" TargetMode="External"/><Relationship Id="rId681" Type="http://schemas.openxmlformats.org/officeDocument/2006/relationships/hyperlink" Target="https://drive.google.com/file/d/1K7x0I4TNzbxden-iJJzkXgOb1GROpjxp/view?usp=share_link" TargetMode="External"/><Relationship Id="rId779" Type="http://schemas.openxmlformats.org/officeDocument/2006/relationships/hyperlink" Target="https://drive.google.com/file/d/1YiBSc4a3NlQ1Da7Fc0aFbhafvmPbv_oD/view?usp=share_link" TargetMode="External"/><Relationship Id="rId986" Type="http://schemas.openxmlformats.org/officeDocument/2006/relationships/hyperlink" Target="https://drive.google.com/file/d/1GwFffBh64qqWv-4jOl6SWNV4LtNYQRsI/view?usp=share_link" TargetMode="External"/><Relationship Id="rId334" Type="http://schemas.openxmlformats.org/officeDocument/2006/relationships/hyperlink" Target="https://drive.google.com/file/d/1jDun7lprdidmDAY5rBT5wYgrD6bGA_BR/view?usp=share_link" TargetMode="External"/><Relationship Id="rId541" Type="http://schemas.openxmlformats.org/officeDocument/2006/relationships/hyperlink" Target="https://drive.google.com/file/d/1Y47ybYXEXdbS6tmrZIKnca7R8Yl-QMVO/view?usp=share_link" TargetMode="External"/><Relationship Id="rId639" Type="http://schemas.openxmlformats.org/officeDocument/2006/relationships/hyperlink" Target="https://drive.google.com/file/d/1eHprWfpdPoj3-CvX_GvUMeizhfd7DG8y/view?usp=share_link" TargetMode="External"/><Relationship Id="rId1171" Type="http://schemas.openxmlformats.org/officeDocument/2006/relationships/hyperlink" Target="https://drive.google.com/file/d/1bxvVHADvyNCanwzIViq1xyvBaQwMvNbR/view?usp=sharing" TargetMode="External"/><Relationship Id="rId1269" Type="http://schemas.openxmlformats.org/officeDocument/2006/relationships/hyperlink" Target="https://drive.google.com/file/d/1OAQmt-tz--RQquYQHWzP8qkZISQ4e__R/view?usp=sharing" TargetMode="External"/><Relationship Id="rId1476" Type="http://schemas.openxmlformats.org/officeDocument/2006/relationships/hyperlink" Target="https://drive.google.com/open?id=1nBFQ600QkHQe2lZhztQaJPfcLm1OG0QK&amp;usp=drive_fs" TargetMode="External"/><Relationship Id="rId401" Type="http://schemas.openxmlformats.org/officeDocument/2006/relationships/hyperlink" Target="https://drive.google.com/file/d/1gW0RWdsiyCfU_TzXX0sq5d4Ujy0HbSwS/view?usp=share_link" TargetMode="External"/><Relationship Id="rId846" Type="http://schemas.openxmlformats.org/officeDocument/2006/relationships/hyperlink" Target="https://drive.google.com/file/d/1k1eXRKPc2CwzxumGZEJW0gYlE4Arxw7Z/view?usp=share_link" TargetMode="External"/><Relationship Id="rId1031" Type="http://schemas.openxmlformats.org/officeDocument/2006/relationships/hyperlink" Target="https://drive.google.com/file/d/1yad6bd-eluQGkp7s0ZRAt2LVLe42HTxt/view?usp=share_link" TargetMode="External"/><Relationship Id="rId1129" Type="http://schemas.openxmlformats.org/officeDocument/2006/relationships/hyperlink" Target="https://drive.google.com/file/d/1GIMlbxu2gJ5jQnvJVWEfw9lSusnazjti/view?usp=share_link" TargetMode="External"/><Relationship Id="rId706" Type="http://schemas.openxmlformats.org/officeDocument/2006/relationships/hyperlink" Target="https://drive.google.com/file/d/1XvRULEnqic13nMsDS_JoXvDpUC8XP4BH/view?usp=share_link" TargetMode="External"/><Relationship Id="rId913" Type="http://schemas.openxmlformats.org/officeDocument/2006/relationships/hyperlink" Target="https://drive.google.com/file/d/182ZvMnjlZk6CkcJaGvYahAdBhJXl7FcB/view?usp=share_link" TargetMode="External"/><Relationship Id="rId1336" Type="http://schemas.openxmlformats.org/officeDocument/2006/relationships/hyperlink" Target="https://drive.google.com/file/d/1TiioAIYOUPzkipX91UCogXHwu-JHuAB0/view?usp=drive_link" TargetMode="External"/><Relationship Id="rId42" Type="http://schemas.openxmlformats.org/officeDocument/2006/relationships/hyperlink" Target="https://drive.google.com/file/d/1vmhKphm_7QeVjcSQOEJXe-Ke3BjbzVam/view?usp=sharing" TargetMode="External"/><Relationship Id="rId1403" Type="http://schemas.openxmlformats.org/officeDocument/2006/relationships/hyperlink" Target="https://drive.google.com/open?id=1qoGMojfwjHJJqtRg7egD9SEEbQnv5c0J&amp;usp=drive_fs" TargetMode="External"/><Relationship Id="rId191" Type="http://schemas.openxmlformats.org/officeDocument/2006/relationships/hyperlink" Target="https://drive.google.com/file/d/1rOOsgO3JXdyxGueagmoaw1iAu8UsTicK/view?usp=share_link" TargetMode="External"/><Relationship Id="rId289" Type="http://schemas.openxmlformats.org/officeDocument/2006/relationships/hyperlink" Target="https://drive.google.com/file/d/1sVHz57LmPEdfg3ZX4-NvP5lr56NsXUQY/view?usp=share_link" TargetMode="External"/><Relationship Id="rId496" Type="http://schemas.openxmlformats.org/officeDocument/2006/relationships/hyperlink" Target="https://drive.google.com/file/d/1RLii2iA6meNe6SE3UfFnQ7OKUId3lTUe/view?usp=share_link" TargetMode="External"/><Relationship Id="rId149" Type="http://schemas.openxmlformats.org/officeDocument/2006/relationships/hyperlink" Target="https://drive.google.com/file/d/1hojN17Qa8TIWldLB3Jj1DcAGiH4Mtk_D/view?usp=sharing" TargetMode="External"/><Relationship Id="rId356" Type="http://schemas.openxmlformats.org/officeDocument/2006/relationships/hyperlink" Target="https://drive.google.com/file/d/16MKPEj0fi6gMER8bI12tz7DziULJMB8X/view?usp=share_link" TargetMode="External"/><Relationship Id="rId563" Type="http://schemas.openxmlformats.org/officeDocument/2006/relationships/hyperlink" Target="https://drive.google.com/file/d/1f0syLddUYJaL1XORrhsvC6rqR_pKhfXf/view?usp=share_link" TargetMode="External"/><Relationship Id="rId770" Type="http://schemas.openxmlformats.org/officeDocument/2006/relationships/hyperlink" Target="https://drive.google.com/file/d/1qYUDPs55lu3GPezCXj-WqJszObm_AX84/view?usp=share_link" TargetMode="External"/><Relationship Id="rId1193" Type="http://schemas.openxmlformats.org/officeDocument/2006/relationships/hyperlink" Target="https://drive.google.com/file/d/1Ai0qOy6Q2pweKYkcm5x3e_DNGhwFUr66/view?usp=sharing" TargetMode="External"/><Relationship Id="rId216" Type="http://schemas.openxmlformats.org/officeDocument/2006/relationships/hyperlink" Target="https://drive.google.com/file/d/13qttKPY4JyA76krUla-59r3bW50dPxKI/view?usp=share_link" TargetMode="External"/><Relationship Id="rId423" Type="http://schemas.openxmlformats.org/officeDocument/2006/relationships/hyperlink" Target="https://drive.google.com/file/d/1aNXRG3fsA72Xd5OK61F6W3cdz5FJN50x/view?usp=share_link" TargetMode="External"/><Relationship Id="rId868" Type="http://schemas.openxmlformats.org/officeDocument/2006/relationships/hyperlink" Target="https://drive.google.com/file/d/1riapJkiMTGT3AOGMCJUMI7_AYIOYm2Z2/view?usp=share_link" TargetMode="External"/><Relationship Id="rId1053" Type="http://schemas.openxmlformats.org/officeDocument/2006/relationships/hyperlink" Target="https://drive.google.com/file/d/1KJwLCqN9QMj1u5EL3cnXRzD4F6ys57e2/view?usp=sharing" TargetMode="External"/><Relationship Id="rId1260" Type="http://schemas.openxmlformats.org/officeDocument/2006/relationships/hyperlink" Target="https://drive.google.com/file/d/192LuD3COII--jV866KWlyQej4GwveIlj/view?usp=sharing" TargetMode="External"/><Relationship Id="rId630" Type="http://schemas.openxmlformats.org/officeDocument/2006/relationships/hyperlink" Target="https://drive.google.com/file/d/1GifG5lt6o3lK9QE4lVDvoS6CDt6ofOtG/view?usp=sharing" TargetMode="External"/><Relationship Id="rId728" Type="http://schemas.openxmlformats.org/officeDocument/2006/relationships/hyperlink" Target="https://drive.google.com/file/d/1zcFOBbz655db75ZXdZwqwZw12iNiZQKJ/view?usp=share_link" TargetMode="External"/><Relationship Id="rId935" Type="http://schemas.openxmlformats.org/officeDocument/2006/relationships/hyperlink" Target="https://drive.google.com/file/d/1Z7IcoSsMSyBgYnKDz_ck9opuYrpq0Gqr/view?usp=share_link" TargetMode="External"/><Relationship Id="rId1358" Type="http://schemas.openxmlformats.org/officeDocument/2006/relationships/hyperlink" Target="https://drive.google.com/open?id=17EsJte08XhtNtI2T4tK2T9aJteoOd9sM&amp;usp=drive_fs" TargetMode="External"/><Relationship Id="rId64" Type="http://schemas.openxmlformats.org/officeDocument/2006/relationships/hyperlink" Target="https://drive.google.com/file/d/16meEw0uYiyphmRrdgs1feMpr8MQBJEzl/view?usp=sharing" TargetMode="External"/><Relationship Id="rId1120" Type="http://schemas.openxmlformats.org/officeDocument/2006/relationships/hyperlink" Target="https://drive.google.com/file/d/1nIec2KpymuOma4xWKSf6zxYwtaWUo4X_/view?usp=share_link" TargetMode="External"/><Relationship Id="rId1218" Type="http://schemas.openxmlformats.org/officeDocument/2006/relationships/hyperlink" Target="https://drive.google.com/file/d/1BHv-ejLctGMKyQt_nRqOgP5kFxFyRbUS/view?usp=sharing" TargetMode="External"/><Relationship Id="rId1425" Type="http://schemas.openxmlformats.org/officeDocument/2006/relationships/hyperlink" Target="https://drive.google.com/open?id=1IP2hRtmwyUg7wozozWxGXelnqabHyJHy&amp;usp=drive_fs" TargetMode="External"/><Relationship Id="rId280" Type="http://schemas.openxmlformats.org/officeDocument/2006/relationships/hyperlink" Target="https://drive.google.com/file/d/1DKBJ1LQTPOmxXvAYgyFDSbslXpQ62Ncj/view?usp=share_link" TargetMode="External"/><Relationship Id="rId140" Type="http://schemas.openxmlformats.org/officeDocument/2006/relationships/hyperlink" Target="https://drive.google.com/file/d/1WNJa8RuEa2JGm-LMZBaknrMAya4CAG_u/view?usp=sharing" TargetMode="External"/><Relationship Id="rId378" Type="http://schemas.openxmlformats.org/officeDocument/2006/relationships/hyperlink" Target="https://drive.google.com/file/d/1FUhYn6zlZFO3bXK5mHZJkaqnoWN-qkqA/view?usp=share_link" TargetMode="External"/><Relationship Id="rId585" Type="http://schemas.openxmlformats.org/officeDocument/2006/relationships/hyperlink" Target="https://drive.google.com/file/d/1xWjWfCZOICMJLGrNvCYRZ5uG5gXFDCx4/view?usp=share_link" TargetMode="External"/><Relationship Id="rId792" Type="http://schemas.openxmlformats.org/officeDocument/2006/relationships/hyperlink" Target="https://drive.google.com/file/d/1H0whHLQmWbW_FzGjdQVbBxdXFpPbVzuC/view?usp=share_link" TargetMode="External"/><Relationship Id="rId6" Type="http://schemas.openxmlformats.org/officeDocument/2006/relationships/hyperlink" Target="https://drive.google.com/file/d/11PWRjdm1bIqAgds5DfomTRRWD9GGMolw/view?usp=sharing" TargetMode="External"/><Relationship Id="rId238" Type="http://schemas.openxmlformats.org/officeDocument/2006/relationships/hyperlink" Target="https://drive.google.com/file/d/1YPltWqi6iibsWqS7j85bmo_-9CSycgdY/view?usp=share_link" TargetMode="External"/><Relationship Id="rId445" Type="http://schemas.openxmlformats.org/officeDocument/2006/relationships/hyperlink" Target="https://drive.google.com/file/d/1k7-p6ske5_LgpUywLgKqrIw45kjerFSN/view?usp=share_link" TargetMode="External"/><Relationship Id="rId652" Type="http://schemas.openxmlformats.org/officeDocument/2006/relationships/hyperlink" Target="https://drive.google.com/file/d/1asFyg2VUprjXYN_tIZeAd65THXQWVYcZ/view?usp=share_link" TargetMode="External"/><Relationship Id="rId1075" Type="http://schemas.openxmlformats.org/officeDocument/2006/relationships/hyperlink" Target="https://drive.google.com/file/d/18iTr-9wm6yulmQCMWnoeBL2fwwS2YnrJ/view?usp=share_link" TargetMode="External"/><Relationship Id="rId1282" Type="http://schemas.openxmlformats.org/officeDocument/2006/relationships/hyperlink" Target="https://drive.google.com/file/d/1FWwmyReLjpCW00HlVsOl9WMmzPlslNhP/view?usp=sharing" TargetMode="External"/><Relationship Id="rId305" Type="http://schemas.openxmlformats.org/officeDocument/2006/relationships/hyperlink" Target="https://drive.google.com/file/d/1MA4SaMxuHXazkYZAsn4LEYlZreDKEHQM/view?usp=share_link" TargetMode="External"/><Relationship Id="rId512" Type="http://schemas.openxmlformats.org/officeDocument/2006/relationships/hyperlink" Target="https://drive.google.com/file/d/19DG2zzCppj8CMM0ucD2TnsWtW1TAIJf6/view?usp=share_link" TargetMode="External"/><Relationship Id="rId957" Type="http://schemas.openxmlformats.org/officeDocument/2006/relationships/hyperlink" Target="https://drive.google.com/file/d/1oveltyog2Hpdgi_2hy2Vd8lAcibDIsYg/view?usp=share_link" TargetMode="External"/><Relationship Id="rId1142" Type="http://schemas.openxmlformats.org/officeDocument/2006/relationships/hyperlink" Target="https://drive.google.com/file/d/10Omse5zvxgQ7_DwVWyN1uz18trUo2gMY/view?usp=share_link" TargetMode="External"/><Relationship Id="rId86" Type="http://schemas.openxmlformats.org/officeDocument/2006/relationships/hyperlink" Target="https://drive.google.com/file/d/1SsBhhPEjW5SdoBQ3sQGLptqi9sKSuT8W/view?usp=sharing" TargetMode="External"/><Relationship Id="rId817" Type="http://schemas.openxmlformats.org/officeDocument/2006/relationships/hyperlink" Target="https://drive.google.com/file/d/1JOcO5EEfzYlkDt4yJOYA-JqKfCTslZDE/view?usp=share_link" TargetMode="External"/><Relationship Id="rId1002" Type="http://schemas.openxmlformats.org/officeDocument/2006/relationships/hyperlink" Target="https://drive.google.com/file/d/1Qq52wALX08_Xc9sZWLSjrzoE7fuwZZcj/view?usp=share_link" TargetMode="External"/><Relationship Id="rId1447" Type="http://schemas.openxmlformats.org/officeDocument/2006/relationships/hyperlink" Target="https://drive.google.com/file/d/10p2BRJjQvZ_wquCSMkqddfYi8m7e866T/view?usp=share_link" TargetMode="External"/><Relationship Id="rId1307" Type="http://schemas.openxmlformats.org/officeDocument/2006/relationships/hyperlink" Target="https://drive.google.com/file/d/1EHn0sHnqgH15NGkSo0PedjgcLN1pRczs/view?usp=drive_link" TargetMode="External"/><Relationship Id="rId13" Type="http://schemas.openxmlformats.org/officeDocument/2006/relationships/hyperlink" Target="https://drive.google.com/file/d/1nY6nLMdYce_e7iHaIfbsoLXQfvD8AQZs/view?usp=sharing" TargetMode="External"/><Relationship Id="rId162" Type="http://schemas.openxmlformats.org/officeDocument/2006/relationships/hyperlink" Target="https://drive.google.com/file/d/1wsMakYhxf2CqeU0Nx8obVwCNZnimn12p/view?usp=sharing" TargetMode="External"/><Relationship Id="rId467" Type="http://schemas.openxmlformats.org/officeDocument/2006/relationships/hyperlink" Target="https://drive.google.com/file/d/1cguP_JZGWpfhlZ2Q-y1upBzQ20xJZLXY/view?usp=share_link" TargetMode="External"/><Relationship Id="rId1097" Type="http://schemas.openxmlformats.org/officeDocument/2006/relationships/hyperlink" Target="https://drive.google.com/file/d/1zOvES-x4FY086htxEt3PO0wHXOC3otkf/view?usp=share_link" TargetMode="External"/><Relationship Id="rId674" Type="http://schemas.openxmlformats.org/officeDocument/2006/relationships/hyperlink" Target="https://drive.google.com/file/d/1lv52cvWJgcaB5W_FvNTdmHcmhBPWlkfw/view?usp=share_link" TargetMode="External"/><Relationship Id="rId881" Type="http://schemas.openxmlformats.org/officeDocument/2006/relationships/hyperlink" Target="https://drive.google.com/file/d/1eyxGBgUv7ch8ZYRu_nIf1ZS6gbQhNwTg/view?usp=share_link" TargetMode="External"/><Relationship Id="rId979" Type="http://schemas.openxmlformats.org/officeDocument/2006/relationships/hyperlink" Target="https://drive.google.com/file/d/1hbNacI_6LXVF4wWe8CK8Q6PC9NQ2eilz/view?usp=share_link" TargetMode="External"/><Relationship Id="rId327" Type="http://schemas.openxmlformats.org/officeDocument/2006/relationships/hyperlink" Target="https://drive.google.com/file/d/1y1cErS2VuG43o8TOChRGQc15GJEYhsfF/view?usp=share_link" TargetMode="External"/><Relationship Id="rId534" Type="http://schemas.openxmlformats.org/officeDocument/2006/relationships/hyperlink" Target="https://drive.google.com/file/d/1EHjYxrKNwMroE2lNjohNi_1cYZ86r2Xq/view?usp=share_link" TargetMode="External"/><Relationship Id="rId741" Type="http://schemas.openxmlformats.org/officeDocument/2006/relationships/hyperlink" Target="https://drive.google.com/file/d/1_o4C_pV36UlcPSihVV7phds4dZR2eqPN/view?usp=share_link" TargetMode="External"/><Relationship Id="rId839" Type="http://schemas.openxmlformats.org/officeDocument/2006/relationships/hyperlink" Target="https://drive.google.com/file/d/166OJXC2Pm5QJSwC6DwpUR8lHOlWOkEir/view?usp=share_link" TargetMode="External"/><Relationship Id="rId1164" Type="http://schemas.openxmlformats.org/officeDocument/2006/relationships/hyperlink" Target="https://drive.google.com/file/d/1R3bS0blwC-ZfHXsFc6oJsOA2gXHiqEkj/view?usp=share_link" TargetMode="External"/><Relationship Id="rId1371" Type="http://schemas.openxmlformats.org/officeDocument/2006/relationships/hyperlink" Target="https://drive.google.com/open?id=1CAE_Ho0R4rb_a2S4hyOqbYJGWGb9gSF2&amp;usp=drive_fs" TargetMode="External"/><Relationship Id="rId1469" Type="http://schemas.openxmlformats.org/officeDocument/2006/relationships/hyperlink" Target="https://drive.google.com/open?id=1nR8lU8hAdmOJ5JzrhjmkJ5iZ6C8_67nO&amp;usp=drive_fs" TargetMode="External"/><Relationship Id="rId601" Type="http://schemas.openxmlformats.org/officeDocument/2006/relationships/hyperlink" Target="https://drive.google.com/file/d/1EA4qJZsRI0w-UHqRAo8u0YJkdPFo0Oho/view?usp=share_link" TargetMode="External"/><Relationship Id="rId1024" Type="http://schemas.openxmlformats.org/officeDocument/2006/relationships/hyperlink" Target="https://drive.google.com/file/d/1x3ESdLv8rAJjeUVxfBI7AMqxPP2ZSmxL/view?usp=share_link" TargetMode="External"/><Relationship Id="rId1231" Type="http://schemas.openxmlformats.org/officeDocument/2006/relationships/hyperlink" Target="https://drive.google.com/file/d/1BwvhjX2HGX4SQB8n-7ELRMwHOqx9fmRm/view?usp=sharing" TargetMode="External"/><Relationship Id="rId906" Type="http://schemas.openxmlformats.org/officeDocument/2006/relationships/hyperlink" Target="https://drive.google.com/file/d/1-f11owMw6JF4qm72J7KmyznpuDnqAAnO/view?usp=share_link" TargetMode="External"/><Relationship Id="rId1329" Type="http://schemas.openxmlformats.org/officeDocument/2006/relationships/hyperlink" Target="https://drive.google.com/file/d/1-Vo4yBZxKiDkV0BGNl_UU6U72lQ-nVWs/view?usp=sharing" TargetMode="External"/><Relationship Id="rId35" Type="http://schemas.openxmlformats.org/officeDocument/2006/relationships/hyperlink" Target="https://drive.google.com/file/d/1jpDIqXDJb5R0WOXOzKNFaIBnhs8CCzhW/view?usp=sharing" TargetMode="External"/><Relationship Id="rId184" Type="http://schemas.openxmlformats.org/officeDocument/2006/relationships/hyperlink" Target="https://drive.google.com/file/d/1YMNHf6tuE85HYr1uokELbHxlU9swGAsg/view?usp=sharing" TargetMode="External"/><Relationship Id="rId391" Type="http://schemas.openxmlformats.org/officeDocument/2006/relationships/hyperlink" Target="https://drive.google.com/file/d/1KRSGbhSY-qM_JqYeteHb5GVmkWZ1c0OX/view?usp=share_link" TargetMode="External"/><Relationship Id="rId251" Type="http://schemas.openxmlformats.org/officeDocument/2006/relationships/hyperlink" Target="https://drive.google.com/file/d/1Hrr3_c4YHAetleClnYl4jwTbo5prtfH3/view?usp=share_link" TargetMode="External"/><Relationship Id="rId489" Type="http://schemas.openxmlformats.org/officeDocument/2006/relationships/hyperlink" Target="https://drive.google.com/file/d/1OeInXJp1FXzS12zA6yeNM2Kwcd012A4w/view?usp=share_link" TargetMode="External"/><Relationship Id="rId696" Type="http://schemas.openxmlformats.org/officeDocument/2006/relationships/hyperlink" Target="https://drive.google.com/file/d/1GgufI7c0__jVxNQ3Kq6DB9MKHQY9lka9/view?usp=share_link" TargetMode="External"/><Relationship Id="rId349" Type="http://schemas.openxmlformats.org/officeDocument/2006/relationships/hyperlink" Target="https://drive.google.com/file/d/16nuuGuFxuVde9I5tPIga_DuJZga61CHZ/view?usp=share_link" TargetMode="External"/><Relationship Id="rId556" Type="http://schemas.openxmlformats.org/officeDocument/2006/relationships/hyperlink" Target="https://drive.google.com/file/d/1Sd0qU9MhwSRpRIP1yxCE0x2DnL31A0vu/view?usp=share_link" TargetMode="External"/><Relationship Id="rId763" Type="http://schemas.openxmlformats.org/officeDocument/2006/relationships/hyperlink" Target="https://drive.google.com/file/d/1348wTSBk4w_DYrZrUtz3DlsWSlSy0RuC/view?usp=share_link" TargetMode="External"/><Relationship Id="rId1186" Type="http://schemas.openxmlformats.org/officeDocument/2006/relationships/hyperlink" Target="https://drive.google.com/file/d/1VgaIoGfRsFt2Nj2cd-RKoJKflGnmnoB4/view?usp=sharing" TargetMode="External"/><Relationship Id="rId1393" Type="http://schemas.openxmlformats.org/officeDocument/2006/relationships/hyperlink" Target="https://drive.google.com/open?id=1oy5P9iE0qgKx3jgtl4OZRbSa786PJsz0&amp;usp=drive_fs" TargetMode="External"/><Relationship Id="rId111" Type="http://schemas.openxmlformats.org/officeDocument/2006/relationships/hyperlink" Target="https://drive.google.com/file/d/18fM4xI7pHvZBi_TEWqwNO0WF3OSolRqO/view?usp=sharing" TargetMode="External"/><Relationship Id="rId209" Type="http://schemas.openxmlformats.org/officeDocument/2006/relationships/hyperlink" Target="https://drive.google.com/file/d/1vojqGDGHKmnrtA8ShhIEaCEAVM-LpxDG/view?usp=share_link" TargetMode="External"/><Relationship Id="rId416" Type="http://schemas.openxmlformats.org/officeDocument/2006/relationships/hyperlink" Target="https://drive.google.com/file/d/1XI3CkzorCGE75xdQVgBm_Z-DI55QI1sK/view?usp=share_link" TargetMode="External"/><Relationship Id="rId970" Type="http://schemas.openxmlformats.org/officeDocument/2006/relationships/hyperlink" Target="https://drive.google.com/file/d/1xwQt-bqnIfCgK0Lbh7icHE2WmDdUWVx7/view?usp=share_link" TargetMode="External"/><Relationship Id="rId1046" Type="http://schemas.openxmlformats.org/officeDocument/2006/relationships/hyperlink" Target="https://drive.google.com/file/d/1wS61CwXpUWexrVBAD-C2JskY5bUPwQzZ/view?usp=sharing" TargetMode="External"/><Relationship Id="rId1253" Type="http://schemas.openxmlformats.org/officeDocument/2006/relationships/hyperlink" Target="https://drive.google.com/file/d/15fKSAoavpfY_CzFcqpri9b2pDMi1IMjy/view?usp=sharing" TargetMode="External"/><Relationship Id="rId623" Type="http://schemas.openxmlformats.org/officeDocument/2006/relationships/hyperlink" Target="https://drive.google.com/file/d/1SlA_6uWDZFR0wPtiX2sP5-vB0SzV6pdZ/view?usp=share_link" TargetMode="External"/><Relationship Id="rId830" Type="http://schemas.openxmlformats.org/officeDocument/2006/relationships/hyperlink" Target="https://drive.google.com/file/d/1U4hAspTbDo28Uc0_mD65w4lRgvMLMlXH/view?usp=share_link" TargetMode="External"/><Relationship Id="rId928" Type="http://schemas.openxmlformats.org/officeDocument/2006/relationships/hyperlink" Target="https://drive.google.com/file/d/1bfOL5xB-olfWQNgAMoA8cy3o-Z6s3SrY/view?usp=share_link" TargetMode="External"/><Relationship Id="rId1460" Type="http://schemas.openxmlformats.org/officeDocument/2006/relationships/hyperlink" Target="https://drive.google.com/open?id=1oYDzwu5KcpXMjHEj7G1RGkOUkj7wpmCH&amp;usp=drive_fs" TargetMode="External"/><Relationship Id="rId57" Type="http://schemas.openxmlformats.org/officeDocument/2006/relationships/hyperlink" Target="https://drive.google.com/file/d/1WoXcWQLPnvS-ETSkz7jhT7dVSgVyo9Bz/view?usp=sharing" TargetMode="External"/><Relationship Id="rId1113" Type="http://schemas.openxmlformats.org/officeDocument/2006/relationships/hyperlink" Target="https://drive.google.com/file/d/1KrXIjtRc7IOkh2sU19FKVEmgsMhkeswD/view?usp=share_link" TargetMode="External"/><Relationship Id="rId1320" Type="http://schemas.openxmlformats.org/officeDocument/2006/relationships/hyperlink" Target="https://drive.google.com/file/d/1kCanDcp8O0uE28T-FK89VOdTM8w8Gfwi/view?usp=sharing" TargetMode="External"/><Relationship Id="rId1418" Type="http://schemas.openxmlformats.org/officeDocument/2006/relationships/hyperlink" Target="https://drive.google.com/open?id=1Hp8JYHQZi3lN1jEjh0lQULYI6CKjal4Z&amp;usp=drive_fs" TargetMode="External"/><Relationship Id="rId273" Type="http://schemas.openxmlformats.org/officeDocument/2006/relationships/hyperlink" Target="https://drive.google.com/file/d/1_9aztlsh31xBO2L9BhCvkE_ADLSUlKfY/view?usp=share_link" TargetMode="External"/><Relationship Id="rId480" Type="http://schemas.openxmlformats.org/officeDocument/2006/relationships/hyperlink" Target="https://drive.google.com/file/d/1HFlzLSeQpjUy9lj6EPP_DRLSOEGCrBtJ/view?usp=share_link" TargetMode="External"/><Relationship Id="rId133" Type="http://schemas.openxmlformats.org/officeDocument/2006/relationships/hyperlink" Target="https://drive.google.com/file/d/1Zr7LOIwAFiuz1CfsPDD2Xt2fPoRtTMG-/view?usp=sharing" TargetMode="External"/><Relationship Id="rId340" Type="http://schemas.openxmlformats.org/officeDocument/2006/relationships/hyperlink" Target="https://drive.google.com/file/d/16HCRNlUhZHgZLddBnZvUI1XQyXWx_h8p/view?usp=share_link" TargetMode="External"/><Relationship Id="rId578" Type="http://schemas.openxmlformats.org/officeDocument/2006/relationships/hyperlink" Target="https://drive.google.com/file/d/127oZ_5AslnF5oRlP80AnW6J4wH0RN9f0/view?usp=share_link" TargetMode="External"/><Relationship Id="rId785" Type="http://schemas.openxmlformats.org/officeDocument/2006/relationships/hyperlink" Target="https://drive.google.com/file/d/1EmeLk6F16LfVhUpA6BGjnp4_Ad1Hx3fl/view?usp=share_link" TargetMode="External"/><Relationship Id="rId992" Type="http://schemas.openxmlformats.org/officeDocument/2006/relationships/hyperlink" Target="https://drive.google.com/file/d/1_r02X_N-X-4Q4tPeI0F5Mc0eEuKaScdZ/view?usp=share_link" TargetMode="External"/><Relationship Id="rId200" Type="http://schemas.openxmlformats.org/officeDocument/2006/relationships/hyperlink" Target="https://drive.google.com/file/d/151v9LEpNBinuAkC3Czv76-d5hGyQ6SXR/view?usp=share_link" TargetMode="External"/><Relationship Id="rId438" Type="http://schemas.openxmlformats.org/officeDocument/2006/relationships/hyperlink" Target="https://drive.google.com/file/d/13-rcDidxeWxK6XuOITvaPEIkd-RALq2u/view?usp=share_link" TargetMode="External"/><Relationship Id="rId645" Type="http://schemas.openxmlformats.org/officeDocument/2006/relationships/hyperlink" Target="https://drive.google.com/file/d/1g_j1N6HiU0JRnqu2jyLrZgezYKTmjK3e/view?usp=share_link" TargetMode="External"/><Relationship Id="rId852" Type="http://schemas.openxmlformats.org/officeDocument/2006/relationships/hyperlink" Target="https://drive.google.com/file/d/1ooVp8zvlpTslFDAu1MGBm1gJe3CQmRRU/view?usp=share_link" TargetMode="External"/><Relationship Id="rId1068" Type="http://schemas.openxmlformats.org/officeDocument/2006/relationships/hyperlink" Target="https://drive.google.com/file/d/1fEMqn5j4NI23ErupwYUuQ2s71SG68rq6/view?usp=share_link" TargetMode="External"/><Relationship Id="rId1275" Type="http://schemas.openxmlformats.org/officeDocument/2006/relationships/hyperlink" Target="https://drive.google.com/file/d/1EyYDVzdmDYPj45KvfwEqNpztn695ygVh/view?usp=sharing" TargetMode="External"/><Relationship Id="rId1482" Type="http://schemas.openxmlformats.org/officeDocument/2006/relationships/hyperlink" Target="https://drive.google.com/open?id=1bmZZo4ymGOx4V2DsW8-3-FvjB3ltU8B6&amp;usp=drive_fs" TargetMode="External"/><Relationship Id="rId505" Type="http://schemas.openxmlformats.org/officeDocument/2006/relationships/hyperlink" Target="https://drive.google.com/file/d/1NUQMDqp6HGXRWaQ0U0kLREL-bhBc12W4/view?usp=share_link" TargetMode="External"/><Relationship Id="rId712" Type="http://schemas.openxmlformats.org/officeDocument/2006/relationships/hyperlink" Target="https://drive.google.com/file/d/1MSlTIxmVGumEkWTMf72msjaN0i3lfAXG/view?usp=share_link" TargetMode="External"/><Relationship Id="rId1135" Type="http://schemas.openxmlformats.org/officeDocument/2006/relationships/hyperlink" Target="https://drive.google.com/file/d/1-VHx2YlaUmNpLst64Q0KmNoUWaKpPyAt/view?usp=sharing" TargetMode="External"/><Relationship Id="rId1342" Type="http://schemas.openxmlformats.org/officeDocument/2006/relationships/hyperlink" Target="https://drive.google.com/open?id=10mKB5pdfHX-pNuYkMX-0Z7EhgpygEH_a&amp;usp=drive_fs" TargetMode="External"/><Relationship Id="rId79" Type="http://schemas.openxmlformats.org/officeDocument/2006/relationships/hyperlink" Target="https://drive.google.com/file/d/18LsNQkS1mDovwmow1iN2RHhrfTZPCI4b/view?usp=sharing" TargetMode="External"/><Relationship Id="rId1202" Type="http://schemas.openxmlformats.org/officeDocument/2006/relationships/hyperlink" Target="https://drive.google.com/file/d/12BGzmdR9S8eL9S4pSZLVlzH_LfSrU7Qt/view?usp=sharing" TargetMode="External"/><Relationship Id="rId295" Type="http://schemas.openxmlformats.org/officeDocument/2006/relationships/hyperlink" Target="https://drive.google.com/file/d/1kymjjXZmYLPqJVOOd1-ugVBSP14Zu1bU/view?usp=share_link" TargetMode="External"/><Relationship Id="rId155" Type="http://schemas.openxmlformats.org/officeDocument/2006/relationships/hyperlink" Target="https://drive.google.com/file/d/1u-1rDmXevLNFAeq-Z2ta5o8Y4_mXvzs_/view?usp=sharing" TargetMode="External"/><Relationship Id="rId362" Type="http://schemas.openxmlformats.org/officeDocument/2006/relationships/hyperlink" Target="https://drive.google.com/file/d/1BCPvcgKbNsYzomqtAr23TaEJLcDqFKPI/view?usp=share_link" TargetMode="External"/><Relationship Id="rId1297" Type="http://schemas.openxmlformats.org/officeDocument/2006/relationships/hyperlink" Target="https://drive.google.com/file/d/1QZ_ndUxszXwIAv8TqgeSh01Ln0t-ugbv/view?usp=sharing" TargetMode="External"/><Relationship Id="rId222" Type="http://schemas.openxmlformats.org/officeDocument/2006/relationships/hyperlink" Target="https://drive.google.com/file/d/1W8LD4cS4_NK4gUVdLvY6QmNwbf29iAjL/view?usp=share_link" TargetMode="External"/><Relationship Id="rId667" Type="http://schemas.openxmlformats.org/officeDocument/2006/relationships/hyperlink" Target="https://drive.google.com/file/d/1HBVRTAWmZ5yn_0byCpk60SxGB2_WsHdc/view?usp=share_link" TargetMode="External"/><Relationship Id="rId874" Type="http://schemas.openxmlformats.org/officeDocument/2006/relationships/hyperlink" Target="https://drive.google.com/file/d/1g5Gr8d3x6HjkXz_HLdrVCm66yhZ-I8wu/view?usp=share_link" TargetMode="External"/><Relationship Id="rId527" Type="http://schemas.openxmlformats.org/officeDocument/2006/relationships/hyperlink" Target="https://drive.google.com/file/d/15UbTUmIENCunez201H0MGuWkYXvN57ih/view?usp=share_link" TargetMode="External"/><Relationship Id="rId734" Type="http://schemas.openxmlformats.org/officeDocument/2006/relationships/hyperlink" Target="https://drive.google.com/file/d/1ZSXc6_5BNJVlMQCqaVzHOFLs6IrT8Aik/view?usp=share_link" TargetMode="External"/><Relationship Id="rId941" Type="http://schemas.openxmlformats.org/officeDocument/2006/relationships/hyperlink" Target="https://drive.google.com/file/d/1Y3l5AYB-I73CFpKeM3XN5TuGzllIk8YM/view?usp=share_link" TargetMode="External"/><Relationship Id="rId1157" Type="http://schemas.openxmlformats.org/officeDocument/2006/relationships/hyperlink" Target="https://drive.google.com/file/d/12QNy2CwYt1iVhbnQhDiYtThZGjtPasGW/view?usp=share_link" TargetMode="External"/><Relationship Id="rId1364" Type="http://schemas.openxmlformats.org/officeDocument/2006/relationships/hyperlink" Target="https://drive.google.com/open?id=18QdVIUNj9APfxg0uBF80_aMDydLejR1E&amp;usp=drive_fs" TargetMode="External"/><Relationship Id="rId70" Type="http://schemas.openxmlformats.org/officeDocument/2006/relationships/hyperlink" Target="https://drive.google.com/file/d/102Fc2jCePMgWKWGIgPwaKuhDYpnRX7yT/view?usp=sharing" TargetMode="External"/><Relationship Id="rId801" Type="http://schemas.openxmlformats.org/officeDocument/2006/relationships/hyperlink" Target="https://drive.google.com/file/d/1VcyTAunDR_3_fxeMxude5zb4CWFD8hif/view?usp=share_link" TargetMode="External"/><Relationship Id="rId1017" Type="http://schemas.openxmlformats.org/officeDocument/2006/relationships/hyperlink" Target="https://drive.google.com/file/d/17kAspqa2GG-0UK0_8CuHb_oFIbdAdw5b/view?usp=share_link" TargetMode="External"/><Relationship Id="rId1224" Type="http://schemas.openxmlformats.org/officeDocument/2006/relationships/hyperlink" Target="https://drive.google.com/file/d/1CSVso7B1azDNbjRzttPOw9a6ZDYGRWkg/view?usp=sharing" TargetMode="External"/><Relationship Id="rId1431" Type="http://schemas.openxmlformats.org/officeDocument/2006/relationships/hyperlink" Target="https://drive.google.com/open?id=15Ej2gyOQ-yJLdj72gRwNuqw9_Ruv1Iqd&amp;usp=drive_fs" TargetMode="External"/><Relationship Id="rId28" Type="http://schemas.openxmlformats.org/officeDocument/2006/relationships/hyperlink" Target="https://drive.google.com/file/d/1wSdebBhhV9S6PNhGBgpdg1DWYe3G_KtM/view?usp=sharing" TargetMode="External"/><Relationship Id="rId177" Type="http://schemas.openxmlformats.org/officeDocument/2006/relationships/hyperlink" Target="https://drive.google.com/file/d/1dRSFg6EruaSX_iCairtuprKR99TRNcKO/view?usp=sharing" TargetMode="External"/><Relationship Id="rId384" Type="http://schemas.openxmlformats.org/officeDocument/2006/relationships/hyperlink" Target="https://drive.google.com/file/d/16K2HGyJit9EhVUifuV3j3NIVj0ftQbNp/view?usp=share_link" TargetMode="External"/><Relationship Id="rId591" Type="http://schemas.openxmlformats.org/officeDocument/2006/relationships/hyperlink" Target="https://drive.google.com/file/d/1sxN5lWR0Yw3DX1wycVh3REHeKJtVLZnU/view?usp=share_link" TargetMode="External"/><Relationship Id="rId244" Type="http://schemas.openxmlformats.org/officeDocument/2006/relationships/hyperlink" Target="https://drive.google.com/file/d/1TCKxJMU5L_KF04uF9U0vNlt5S76xfCPO/view?usp=share_link" TargetMode="External"/><Relationship Id="rId689" Type="http://schemas.openxmlformats.org/officeDocument/2006/relationships/hyperlink" Target="https://drive.google.com/file/d/1kTNC5hCdmWQaL8MgetEJbrBha0-_Qlri/view?usp=share_link" TargetMode="External"/><Relationship Id="rId896" Type="http://schemas.openxmlformats.org/officeDocument/2006/relationships/hyperlink" Target="https://drive.google.com/file/d/1IxgE1YsklAJHHs3AZIS_g16L-omY025z/view?usp=share_link" TargetMode="External"/><Relationship Id="rId1081" Type="http://schemas.openxmlformats.org/officeDocument/2006/relationships/hyperlink" Target="https://drive.google.com/file/d/1UmQXQ6uOvo5dCyh_7LJajp69_nt48bsw/view?usp=share_link" TargetMode="External"/><Relationship Id="rId451" Type="http://schemas.openxmlformats.org/officeDocument/2006/relationships/hyperlink" Target="https://drive.google.com/file/d/1LhU8J1ioCaUhpVK_TsTuSr4MkIInKMV9/view?usp=share_link" TargetMode="External"/><Relationship Id="rId549" Type="http://schemas.openxmlformats.org/officeDocument/2006/relationships/hyperlink" Target="https://drive.google.com/file/d/1Xg0l5qaRIe3P1ga_SpZSJODBNRMvvp4r/view?usp=share_link" TargetMode="External"/><Relationship Id="rId756" Type="http://schemas.openxmlformats.org/officeDocument/2006/relationships/hyperlink" Target="https://drive.google.com/file/d/1nptAKnfrR84HCeK_GoxDPe1nb5oWS4L1/view?usp=share_link" TargetMode="External"/><Relationship Id="rId1179" Type="http://schemas.openxmlformats.org/officeDocument/2006/relationships/hyperlink" Target="https://drive.google.com/file/d/1cNKDG-_iNQELvLArM1y7ZczO_U03q83Y/view?usp=sharing" TargetMode="External"/><Relationship Id="rId1386" Type="http://schemas.openxmlformats.org/officeDocument/2006/relationships/hyperlink" Target="https://drive.google.com/open?id=16C9kfbEG6a5INKoAhFbQx9ai0-5DomNF&amp;usp=drive_fs" TargetMode="External"/><Relationship Id="rId104" Type="http://schemas.openxmlformats.org/officeDocument/2006/relationships/hyperlink" Target="https://drive.google.com/file/d/1XdGC-5cgQvm16sfcbe0loh1Fv0blhpC5/view?usp=sharing" TargetMode="External"/><Relationship Id="rId311" Type="http://schemas.openxmlformats.org/officeDocument/2006/relationships/hyperlink" Target="https://drive.google.com/file/d/1obI_MN0B-p7uLQDwDYr_ATa23Lqe5DSC/view?usp=share_link" TargetMode="External"/><Relationship Id="rId409" Type="http://schemas.openxmlformats.org/officeDocument/2006/relationships/hyperlink" Target="https://drive.google.com/file/d/1sbokhwS42XeItdHNQqb7HE89m-6EVVr_/view?usp=share_link" TargetMode="External"/><Relationship Id="rId963" Type="http://schemas.openxmlformats.org/officeDocument/2006/relationships/hyperlink" Target="https://drive.google.com/file/d/1dKzVypSa4XYsAqvatGuNAoUxqTqhyMGG/view?usp=share_link" TargetMode="External"/><Relationship Id="rId1039" Type="http://schemas.openxmlformats.org/officeDocument/2006/relationships/hyperlink" Target="https://drive.google.com/file/d/1RzJ-O3zCsgMPxdmhLh7phiBwNUP1CRBN/view?usp=share_link" TargetMode="External"/><Relationship Id="rId1246" Type="http://schemas.openxmlformats.org/officeDocument/2006/relationships/hyperlink" Target="https://drive.google.com/file/d/16VuLNU9jXp2vu-yjL4pADS0GVI5WOwx8/view?usp=sharing" TargetMode="External"/><Relationship Id="rId92" Type="http://schemas.openxmlformats.org/officeDocument/2006/relationships/hyperlink" Target="https://drive.google.com/file/d/1DxWeU8P55i8_HiO24_lq5MWD9DKKL7-0/view?usp=sharing" TargetMode="External"/><Relationship Id="rId616" Type="http://schemas.openxmlformats.org/officeDocument/2006/relationships/hyperlink" Target="https://drive.google.com/file/d/17sGSWRN7EK887biMmSmOolCfEveiTshT/view?usp=share_link" TargetMode="External"/><Relationship Id="rId823" Type="http://schemas.openxmlformats.org/officeDocument/2006/relationships/hyperlink" Target="https://drive.google.com/file/d/10vE01aSYS_Zehwnb7MMPROlA7MY-vB3p/view?usp=share_link" TargetMode="External"/><Relationship Id="rId1453" Type="http://schemas.openxmlformats.org/officeDocument/2006/relationships/hyperlink" Target="https://drive.google.com/open?id=1Zi6blJ77lCWNsS4RQ42e4AXBDMNWSJE3&amp;usp=drive_fs" TargetMode="External"/><Relationship Id="rId1106" Type="http://schemas.openxmlformats.org/officeDocument/2006/relationships/hyperlink" Target="https://drive.google.com/file/d/1gozIfGA0oFvVyPgZIy6nk3qNeCqlDG1q/view?usp=share_link" TargetMode="External"/><Relationship Id="rId1313" Type="http://schemas.openxmlformats.org/officeDocument/2006/relationships/hyperlink" Target="https://drive.google.com/file/d/1j54CzZ5sQVIyLnbzh5RBzl9GkIwjR7jv/view?usp=drive_link" TargetMode="External"/><Relationship Id="rId199" Type="http://schemas.openxmlformats.org/officeDocument/2006/relationships/hyperlink" Target="https://drive.google.com/file/d/1p5K488auhjw7a8me9G6N75uzaXALd-ud/view?usp=share_link" TargetMode="External"/><Relationship Id="rId266" Type="http://schemas.openxmlformats.org/officeDocument/2006/relationships/hyperlink" Target="https://drive.google.com/file/d/1wWkMQAEez5i9nYH0eQXY1iFAyn2wKBcN/view?usp=share_link" TargetMode="External"/><Relationship Id="rId473" Type="http://schemas.openxmlformats.org/officeDocument/2006/relationships/hyperlink" Target="https://drive.google.com/file/d/18zfieo-TyrpFhP63soI-ijvVuDKxIBYB/view?usp=share_link" TargetMode="External"/><Relationship Id="rId680" Type="http://schemas.openxmlformats.org/officeDocument/2006/relationships/hyperlink" Target="https://drive.google.com/file/d/1IzCs-EPIl4oUA73mzvpv61dglCIEJ7ik/view?usp=share_link" TargetMode="External"/><Relationship Id="rId901" Type="http://schemas.openxmlformats.org/officeDocument/2006/relationships/hyperlink" Target="https://drive.google.com/file/d/1VqJw_L1SbD3roZwBs4Qrs6axVYUQO77m/view?usp=share_link" TargetMode="External"/><Relationship Id="rId1117" Type="http://schemas.openxmlformats.org/officeDocument/2006/relationships/hyperlink" Target="https://drive.google.com/file/d/15X-DZCJo7OX3qhetLRZKoftZQLj6im_S/view?usp=share_link" TargetMode="External"/><Relationship Id="rId1324" Type="http://schemas.openxmlformats.org/officeDocument/2006/relationships/hyperlink" Target="https://drive.google.com/file/d/1iwx04XjguXS9Ssl4XJhTbwCRTXdLoax4/view?usp=drive_link" TargetMode="External"/><Relationship Id="rId30" Type="http://schemas.openxmlformats.org/officeDocument/2006/relationships/hyperlink" Target="https://drive.google.com/file/d/1kxQqbjghy6M8u1fwg23c3GRRPrYLF0-7/view?usp=sharing" TargetMode="External"/><Relationship Id="rId126" Type="http://schemas.openxmlformats.org/officeDocument/2006/relationships/hyperlink" Target="https://drive.google.com/file/d/1eBKOKV6dGPmj6qVQFortWqlxwCScd-YD/view?usp=sharing" TargetMode="External"/><Relationship Id="rId333" Type="http://schemas.openxmlformats.org/officeDocument/2006/relationships/hyperlink" Target="https://drive.google.com/file/d/1yqF1lzfhO25VkISTY0sWKhR8b1Z_ZjAF/view?usp=share_link" TargetMode="External"/><Relationship Id="rId540" Type="http://schemas.openxmlformats.org/officeDocument/2006/relationships/hyperlink" Target="https://drive.google.com/file/d/1Skd-pUqtMhDaSzRwpgwbYLmcaKMXw7U7/view?usp=share_link" TargetMode="External"/><Relationship Id="rId778" Type="http://schemas.openxmlformats.org/officeDocument/2006/relationships/hyperlink" Target="https://drive.google.com/file/d/1SzsFnwqCqDNML8CqZ2nbbQKNGHZzmOxu/view?usp=share_link" TargetMode="External"/><Relationship Id="rId985" Type="http://schemas.openxmlformats.org/officeDocument/2006/relationships/hyperlink" Target="https://drive.google.com/file/d/18x8TMb_NklnQbtd2l-NNNGnVwIj4O87P/view?usp=share_link" TargetMode="External"/><Relationship Id="rId1170" Type="http://schemas.openxmlformats.org/officeDocument/2006/relationships/hyperlink" Target="https://drive.google.com/file/d/1XalyTVEuVsZgJcwuYt7CEwNMp0G0dGj3/view?usp=sharing" TargetMode="External"/><Relationship Id="rId638" Type="http://schemas.openxmlformats.org/officeDocument/2006/relationships/hyperlink" Target="https://drive.google.com/file/d/1au4nA1HtAUjffZ0_Tl31nyx6O6_evHnE/view?usp=share_link" TargetMode="External"/><Relationship Id="rId845" Type="http://schemas.openxmlformats.org/officeDocument/2006/relationships/hyperlink" Target="https://drive.google.com/file/d/1ezvaOy9oVdnqV1OnoAK6gWm8A5eSbyjE/view?usp=share_link" TargetMode="External"/><Relationship Id="rId1030" Type="http://schemas.openxmlformats.org/officeDocument/2006/relationships/hyperlink" Target="https://drive.google.com/file/d/1ygc7iBK_CeAqfzat9ZOKKsN9o3xt9yA_/view?usp=share_link" TargetMode="External"/><Relationship Id="rId1268" Type="http://schemas.openxmlformats.org/officeDocument/2006/relationships/hyperlink" Target="https://drive.google.com/file/d/1839lKRmBkE0wANiy1Tgn15BkYOZ4JmE1/view?usp=sharing" TargetMode="External"/><Relationship Id="rId1475" Type="http://schemas.openxmlformats.org/officeDocument/2006/relationships/hyperlink" Target="https://drive.google.com/open?id=1heKwWY3qIrhiNoBPEyRYqTYDqJ606y6N&amp;usp=drive_fs" TargetMode="External"/><Relationship Id="rId277" Type="http://schemas.openxmlformats.org/officeDocument/2006/relationships/hyperlink" Target="https://drive.google.com/file/d/1ptpNY9rMiZtOtx8WJ-Etwb3JBX5I5pcp/view?usp=share_link" TargetMode="External"/><Relationship Id="rId400" Type="http://schemas.openxmlformats.org/officeDocument/2006/relationships/hyperlink" Target="https://drive.google.com/file/d/1IFgF1P4f4Zlt-pV-h9KQz4_BXon5SOY4/view?usp=share_link" TargetMode="External"/><Relationship Id="rId484" Type="http://schemas.openxmlformats.org/officeDocument/2006/relationships/hyperlink" Target="https://drive.google.com/file/d/1XbogLopETYKnyX5AwElkmgS4CF5dI6PR/view?usp=share_link" TargetMode="External"/><Relationship Id="rId705" Type="http://schemas.openxmlformats.org/officeDocument/2006/relationships/hyperlink" Target="https://drive.google.com/file/d/16aaWN7ngZOiKdVjehnqzdxaA9hW-KoMN/view?usp=share_link" TargetMode="External"/><Relationship Id="rId1128" Type="http://schemas.openxmlformats.org/officeDocument/2006/relationships/hyperlink" Target="https://drive.google.com/file/d/1Zab6oFMdZE6MGFsWqD87GUrD9CK_at9W/view?usp=share_link" TargetMode="External"/><Relationship Id="rId1335" Type="http://schemas.openxmlformats.org/officeDocument/2006/relationships/hyperlink" Target="https://drive.google.com/file/d/1-WoZHAuA94e80YMDkczFT1xb8dC6Q6Wb/view?usp=sharing" TargetMode="External"/><Relationship Id="rId137" Type="http://schemas.openxmlformats.org/officeDocument/2006/relationships/hyperlink" Target="https://drive.google.com/file/d/1hNQsUkYZVNOIq3fpXL6dK59kM5GqSPjF/view?usp=sharing" TargetMode="External"/><Relationship Id="rId344" Type="http://schemas.openxmlformats.org/officeDocument/2006/relationships/hyperlink" Target="https://drive.google.com/file/d/12ZHibDixzx2jLd82n1RAZtX8gsjWurnP/view?usp=share_link" TargetMode="External"/><Relationship Id="rId691" Type="http://schemas.openxmlformats.org/officeDocument/2006/relationships/hyperlink" Target="https://drive.google.com/file/d/1v_YQ6VzUhIlP8Em-ghp3oVagGOTmbx03/view?usp=share_link" TargetMode="External"/><Relationship Id="rId789" Type="http://schemas.openxmlformats.org/officeDocument/2006/relationships/hyperlink" Target="https://drive.google.com/file/d/18F7LUfwpWp5osGQ0xMoeOCrROL8yN8Ly/view?usp=share_link" TargetMode="External"/><Relationship Id="rId912" Type="http://schemas.openxmlformats.org/officeDocument/2006/relationships/hyperlink" Target="https://drive.google.com/file/d/1JMV4a9OKUcKNTZ5LnMzwLqKJ3DMn-9yO/view?usp=share_link" TargetMode="External"/><Relationship Id="rId996" Type="http://schemas.openxmlformats.org/officeDocument/2006/relationships/hyperlink" Target="https://drive.google.com/file/d/1mX2m2N-u7WRh4GOyZ-A25o_NHtyR70Sc/view?usp=share_link" TargetMode="External"/><Relationship Id="rId41" Type="http://schemas.openxmlformats.org/officeDocument/2006/relationships/hyperlink" Target="https://drive.google.com/file/d/1L8X86gUSIRrBQ72fl0aP0f-zrz_daUor/view?usp=sharing" TargetMode="External"/><Relationship Id="rId551" Type="http://schemas.openxmlformats.org/officeDocument/2006/relationships/hyperlink" Target="https://drive.google.com/file/d/1Ld6ssTXKyhvfq4UCU2kphT2sGwoIQghr/view?usp=share_link" TargetMode="External"/><Relationship Id="rId649" Type="http://schemas.openxmlformats.org/officeDocument/2006/relationships/hyperlink" Target="https://drive.google.com/file/d/1HMKIaylO4YJxwUwfju2Ao0x2hKBPweXx/view?usp=share_link" TargetMode="External"/><Relationship Id="rId856" Type="http://schemas.openxmlformats.org/officeDocument/2006/relationships/hyperlink" Target="https://drive.google.com/file/d/1Xa4jx0qYlWZ6Kw1OETPmAtLPVtdCbYHq/view?usp=share_link" TargetMode="External"/><Relationship Id="rId1181" Type="http://schemas.openxmlformats.org/officeDocument/2006/relationships/hyperlink" Target="https://drive.google.com/file/d/1XSWCs_t9NhxIiFyYjcTRLsEhSJEVivIg/view?usp=sharing" TargetMode="External"/><Relationship Id="rId1279" Type="http://schemas.openxmlformats.org/officeDocument/2006/relationships/hyperlink" Target="https://drive.google.com/file/d/1FLS8G25c3XFCVeLelmZGB0tdSz96uL2s/view?usp=sharing" TargetMode="External"/><Relationship Id="rId1402" Type="http://schemas.openxmlformats.org/officeDocument/2006/relationships/hyperlink" Target="https://drive.google.com/open?id=1qlS49Nw-6WFFSYbSkLSpaGaJkJbMrYmH&amp;usp=drive_fs" TargetMode="External"/><Relationship Id="rId1486" Type="http://schemas.openxmlformats.org/officeDocument/2006/relationships/hyperlink" Target="https://drive.google.com/open?id=15kVdSUs-y27pGbNlsaCNFaky-4W9WjTv&amp;usp=drive_fs" TargetMode="External"/><Relationship Id="rId190" Type="http://schemas.openxmlformats.org/officeDocument/2006/relationships/hyperlink" Target="https://drive.google.com/file/d/1EVCs2iA-ztcZDiiwgr1g-oKnjOM8Tnh0/view?usp=share_link" TargetMode="External"/><Relationship Id="rId204" Type="http://schemas.openxmlformats.org/officeDocument/2006/relationships/hyperlink" Target="https://drive.google.com/file/d/1O_gWUfpeOQWiDUv_nNVUuZozZBPwUqV1/view?usp=share_link" TargetMode="External"/><Relationship Id="rId288" Type="http://schemas.openxmlformats.org/officeDocument/2006/relationships/hyperlink" Target="https://drive.google.com/file/d/1zFQxw9ngBZ7evsTOHRH-0VYhPUi6S3yS/view?usp=share_link" TargetMode="External"/><Relationship Id="rId411" Type="http://schemas.openxmlformats.org/officeDocument/2006/relationships/hyperlink" Target="https://drive.google.com/file/d/1Fgd8LjQdDWaYXhTzQR18-mWTcKjuSMnM/view?usp=share_link" TargetMode="External"/><Relationship Id="rId509" Type="http://schemas.openxmlformats.org/officeDocument/2006/relationships/hyperlink" Target="https://drive.google.com/file/d/1DOvvLYTXL2IenQ3TeS60BRkgFrvbR9Ol/view?usp=share_link" TargetMode="External"/><Relationship Id="rId1041" Type="http://schemas.openxmlformats.org/officeDocument/2006/relationships/hyperlink" Target="https://drive.google.com/file/d/15xiy9KtIr4uDIy-7e0_WtuLJqKbJCMzb/view?usp=share_link" TargetMode="External"/><Relationship Id="rId1139" Type="http://schemas.openxmlformats.org/officeDocument/2006/relationships/hyperlink" Target="https://drive.google.com/file/d/108tDTHDxdFEuS_g1o4wG1F2khbJhqdhC/view?usp=share_link" TargetMode="External"/><Relationship Id="rId1346" Type="http://schemas.openxmlformats.org/officeDocument/2006/relationships/hyperlink" Target="https://drive.google.com/file/d/1-1khkOa7ZGnbt0mNZgp5asg29Murv7p5/view?usp=drive_link" TargetMode="External"/><Relationship Id="rId495" Type="http://schemas.openxmlformats.org/officeDocument/2006/relationships/hyperlink" Target="https://drive.google.com/file/d/1MXC7SvqlUVOlwx-9g7tTtnE4dBJb10NI/view?usp=share_link" TargetMode="External"/><Relationship Id="rId716" Type="http://schemas.openxmlformats.org/officeDocument/2006/relationships/hyperlink" Target="https://drive.google.com/file/d/1PluOJVGmYVk5eHIY5I-HO2UCLtPeyTIW/view?usp=share_link" TargetMode="External"/><Relationship Id="rId923" Type="http://schemas.openxmlformats.org/officeDocument/2006/relationships/hyperlink" Target="https://drive.google.com/file/d/1ZJuo7oKV7yi7QJ8Vt9kvsKsW7KCDgJn8/view?usp=share_link" TargetMode="External"/><Relationship Id="rId52" Type="http://schemas.openxmlformats.org/officeDocument/2006/relationships/hyperlink" Target="https://drive.google.com/file/d/15cLpx5zaDhKmMGKwZofD_D4fNyOgjYnJ/view?usp=sharing" TargetMode="External"/><Relationship Id="rId148" Type="http://schemas.openxmlformats.org/officeDocument/2006/relationships/hyperlink" Target="https://drive.google.com/file/d/11uMa5Dq_3lt30sJ5KM0EDiM21ITycvxs/view?usp=sharing" TargetMode="External"/><Relationship Id="rId355" Type="http://schemas.openxmlformats.org/officeDocument/2006/relationships/hyperlink" Target="https://drive.google.com/file/d/1hflH23rorC9TifNMRlnqdbiYC8YAdRpy/view?usp=share_link" TargetMode="External"/><Relationship Id="rId562" Type="http://schemas.openxmlformats.org/officeDocument/2006/relationships/hyperlink" Target="https://drive.google.com/file/d/179kYQd0QTcR1Vd31SiHj_SAhP41jHpEW/view?usp=share_link" TargetMode="External"/><Relationship Id="rId1192" Type="http://schemas.openxmlformats.org/officeDocument/2006/relationships/hyperlink" Target="https://drive.google.com/file/d/1bIuBI2BM79fJaWwo7399XNaMD7iV_8RI/view?usp=sharing" TargetMode="External"/><Relationship Id="rId1206" Type="http://schemas.openxmlformats.org/officeDocument/2006/relationships/hyperlink" Target="https://drive.google.com/file/d/17sUEZYPk0dP_pqTOVzXdvHpOmbizxwQW/view?usp=sharing" TargetMode="External"/><Relationship Id="rId1413" Type="http://schemas.openxmlformats.org/officeDocument/2006/relationships/hyperlink" Target="https://drive.google.com/open?id=18z0aatDqWXugAy4jNxu8JhXtJE3jwjcD&amp;usp=drive_fs" TargetMode="External"/><Relationship Id="rId215" Type="http://schemas.openxmlformats.org/officeDocument/2006/relationships/hyperlink" Target="https://drive.google.com/file/d/1XjaPO5ehzHRJQtDC3iUr9ho3RlmmIS8Z/view?usp=share_link" TargetMode="External"/><Relationship Id="rId422" Type="http://schemas.openxmlformats.org/officeDocument/2006/relationships/hyperlink" Target="https://drive.google.com/file/d/1iWYD59gIu4BDsoDcrgiUobRgc4qW8T4F/view?usp=share_link" TargetMode="External"/><Relationship Id="rId867" Type="http://schemas.openxmlformats.org/officeDocument/2006/relationships/hyperlink" Target="https://drive.google.com/file/d/1Sci169IFJ3z9-LK2peEeT0-wStVXwfDH/view?usp=share_link" TargetMode="External"/><Relationship Id="rId1052" Type="http://schemas.openxmlformats.org/officeDocument/2006/relationships/hyperlink" Target="https://drive.google.com/file/d/1jDFNw0JTkmM59FyXNY9dz3l5zn9lp3FZ/view?usp=sharing" TargetMode="External"/><Relationship Id="rId299" Type="http://schemas.openxmlformats.org/officeDocument/2006/relationships/hyperlink" Target="https://drive.google.com/file/d/10q1bxRip2rs9WBVJfYRtxRbeRK1yYnTU/view?usp=share_link" TargetMode="External"/><Relationship Id="rId727" Type="http://schemas.openxmlformats.org/officeDocument/2006/relationships/hyperlink" Target="https://drive.google.com/file/d/1qiBC2cb3hM5q8SD_xgt8dOSjqY1b88fJ/view?usp=share_link" TargetMode="External"/><Relationship Id="rId934" Type="http://schemas.openxmlformats.org/officeDocument/2006/relationships/hyperlink" Target="https://drive.google.com/file/d/1pDj7Yy96lzJT_BQiaO7iysT2zHA-d-7p/view?usp=share_link" TargetMode="External"/><Relationship Id="rId1357" Type="http://schemas.openxmlformats.org/officeDocument/2006/relationships/hyperlink" Target="https://drive.google.com/open?id=17DwFMrWEd_GDhNtv8nekGD-QEkjFDP5F&amp;usp=drive_fs" TargetMode="External"/><Relationship Id="rId63" Type="http://schemas.openxmlformats.org/officeDocument/2006/relationships/hyperlink" Target="https://drive.google.com/file/d/1MZcDOJRRKdfa1i4dFpwAjzYVwwmETIQh/view?usp=sharing" TargetMode="External"/><Relationship Id="rId159" Type="http://schemas.openxmlformats.org/officeDocument/2006/relationships/hyperlink" Target="https://drive.google.com/file/d/1DBksbomxxoNUmbmyRm-5aEebX2PvJckZ/view?usp=sharing" TargetMode="External"/><Relationship Id="rId366" Type="http://schemas.openxmlformats.org/officeDocument/2006/relationships/hyperlink" Target="https://drive.google.com/file/d/12fjbb_3-mNXT54iE4KcOnaajWZ09KIvg/view?usp=share_link" TargetMode="External"/><Relationship Id="rId573" Type="http://schemas.openxmlformats.org/officeDocument/2006/relationships/hyperlink" Target="https://drive.google.com/file/d/1niO_W8SA5FGmk0Bm0IvUZpw6paGXxFJK/view?usp=share_link" TargetMode="External"/><Relationship Id="rId780" Type="http://schemas.openxmlformats.org/officeDocument/2006/relationships/hyperlink" Target="https://drive.google.com/file/d/1tug7ZCmYiniYfJuxDnZGl4TNULJDexXs/view?usp=share_link" TargetMode="External"/><Relationship Id="rId1217" Type="http://schemas.openxmlformats.org/officeDocument/2006/relationships/hyperlink" Target="https://drive.google.com/file/d/1XQ5j4S9SFaOnSsTY8GbbqTH7ih9JVVFI/view?usp=sharing" TargetMode="External"/><Relationship Id="rId1424" Type="http://schemas.openxmlformats.org/officeDocument/2006/relationships/hyperlink" Target="https://drive.google.com/open?id=1INoobR1KlATSP3hc6oUtHv4ipoE81Xb1&amp;usp=drive_fs" TargetMode="External"/><Relationship Id="rId226" Type="http://schemas.openxmlformats.org/officeDocument/2006/relationships/hyperlink" Target="https://drive.google.com/file/d/1ZdenEhnZ8wTkETP4KmYN8br44FmAOc3C/view?usp=share_link" TargetMode="External"/><Relationship Id="rId433" Type="http://schemas.openxmlformats.org/officeDocument/2006/relationships/hyperlink" Target="https://drive.google.com/file/d/1q26C2GIfWBicLKG6zVoL8wmWntwtl0VE/view?usp=share_link" TargetMode="External"/><Relationship Id="rId878" Type="http://schemas.openxmlformats.org/officeDocument/2006/relationships/hyperlink" Target="https://drive.google.com/file/d/1Ixm6gvOg0QVpw4EuVgaEZa6d35jp8CZ3/view?usp=share_link" TargetMode="External"/><Relationship Id="rId1063" Type="http://schemas.openxmlformats.org/officeDocument/2006/relationships/hyperlink" Target="https://drive.google.com/file/d/1QJAgyHWY0P1jMZ2rkJurnZC6qqddrEfH/view?usp=sharing" TargetMode="External"/><Relationship Id="rId1270" Type="http://schemas.openxmlformats.org/officeDocument/2006/relationships/hyperlink" Target="https://drive.google.com/file/d/1IsQbfaNWA4Sezp6mCGpk_-wnr-CDHSGB/view?usp=sharing" TargetMode="External"/><Relationship Id="rId640" Type="http://schemas.openxmlformats.org/officeDocument/2006/relationships/hyperlink" Target="https://drive.google.com/file/d/1d1V5HEVc3cc1R71HrFPw4RxthjrUEVP5/view?usp=share_link" TargetMode="External"/><Relationship Id="rId738" Type="http://schemas.openxmlformats.org/officeDocument/2006/relationships/hyperlink" Target="https://drive.google.com/file/d/1gKv01c44iHg8ZFQlIg4SyTXcYzHwmhnf/view?usp=share_link" TargetMode="External"/><Relationship Id="rId945" Type="http://schemas.openxmlformats.org/officeDocument/2006/relationships/hyperlink" Target="https://drive.google.com/file/d/1SciceTtvBB3mVfuu0A-0kFOi0ib1Jz60/view?usp=share_link" TargetMode="External"/><Relationship Id="rId1368" Type="http://schemas.openxmlformats.org/officeDocument/2006/relationships/hyperlink" Target="https://drive.google.com/open?id=19tJZjfW7gRRcdZbnYgRQ10LiRUxoBW_H&amp;usp=drive_fs" TargetMode="External"/><Relationship Id="rId74" Type="http://schemas.openxmlformats.org/officeDocument/2006/relationships/hyperlink" Target="https://drive.google.com/file/d/11bytgN8-K_ewpgkaJNFwTOKl7UTJjGy1/view?usp=sharing" TargetMode="External"/><Relationship Id="rId377" Type="http://schemas.openxmlformats.org/officeDocument/2006/relationships/hyperlink" Target="https://drive.google.com/file/d/1mFReXMugAd_J1xK0fW27YrS2LKmpngtB/view?usp=share_link" TargetMode="External"/><Relationship Id="rId500" Type="http://schemas.openxmlformats.org/officeDocument/2006/relationships/hyperlink" Target="https://drive.google.com/file/d/15jxOhIXoJ3PObCBj2LUMZMhZwpmkBnFn/view?usp=share_link" TargetMode="External"/><Relationship Id="rId584" Type="http://schemas.openxmlformats.org/officeDocument/2006/relationships/hyperlink" Target="https://drive.google.com/file/d/1O2IynxtA23OaUYYRaIWcdbyAGD8oy9Td/view?usp=share_link" TargetMode="External"/><Relationship Id="rId805" Type="http://schemas.openxmlformats.org/officeDocument/2006/relationships/hyperlink" Target="https://drive.google.com/file/d/1MQSIgRShkBsR9Va4o2yUxr9Z_Eyrjthu/view?usp=share_link" TargetMode="External"/><Relationship Id="rId1130" Type="http://schemas.openxmlformats.org/officeDocument/2006/relationships/hyperlink" Target="https://drive.google.com/file/d/1-1anyd7I67FHB6RMd3j3Qegsohlmd_SQ/view?usp=share_link" TargetMode="External"/><Relationship Id="rId1228" Type="http://schemas.openxmlformats.org/officeDocument/2006/relationships/hyperlink" Target="https://drive.google.com/file/d/1CEMDl2a2QvLitG8uAWSk-vIAilKIRt5p/view?usp=sharing" TargetMode="External"/><Relationship Id="rId1435" Type="http://schemas.openxmlformats.org/officeDocument/2006/relationships/hyperlink" Target="https://drive.google.com/open?id=1HmK51ErRJVuidNQ2xVzq2HWDQWXux071&amp;usp=drive_fs" TargetMode="External"/><Relationship Id="rId5" Type="http://schemas.openxmlformats.org/officeDocument/2006/relationships/hyperlink" Target="https://drive.google.com/file/d/16aiOoAe_q4QYfP48Qv6Z_mm1FiepAhAs/view?usp=sharing" TargetMode="External"/><Relationship Id="rId237" Type="http://schemas.openxmlformats.org/officeDocument/2006/relationships/hyperlink" Target="https://drive.google.com/file/d/1C2JlZjkDaK8OgTY-cYxeYmEyLbjD7_4c/view?usp=share_link" TargetMode="External"/><Relationship Id="rId791" Type="http://schemas.openxmlformats.org/officeDocument/2006/relationships/hyperlink" Target="https://drive.google.com/file/d/1LNrwmwMG_fXBxVX6KFvJJkteMTIHXw4f/view?usp=share_link" TargetMode="External"/><Relationship Id="rId889" Type="http://schemas.openxmlformats.org/officeDocument/2006/relationships/hyperlink" Target="https://drive.google.com/file/d/1r9aQLZtOKmkPIzebTEYBqBhlLPOWrKq3/view?usp=share_link" TargetMode="External"/><Relationship Id="rId1074" Type="http://schemas.openxmlformats.org/officeDocument/2006/relationships/hyperlink" Target="https://drive.google.com/file/d/1AOqQ_sO2YN3Vag7PrfajRC5MJgdTcNZi/view?usp=share_link" TargetMode="External"/><Relationship Id="rId444" Type="http://schemas.openxmlformats.org/officeDocument/2006/relationships/hyperlink" Target="https://drive.google.com/file/d/1pomWo3qV_ACKrdXpcQad7795eXXjclb4/view?usp=share_link" TargetMode="External"/><Relationship Id="rId651" Type="http://schemas.openxmlformats.org/officeDocument/2006/relationships/hyperlink" Target="https://drive.google.com/file/d/1NueqjHHDbSWQKNB3S0kXTsBPKrGFXKWs/view?usp=share_link" TargetMode="External"/><Relationship Id="rId749" Type="http://schemas.openxmlformats.org/officeDocument/2006/relationships/hyperlink" Target="https://drive.google.com/file/d/1he6x2f6DbQq_emAw_tfcrG7FplVlUxsB/view?usp=share_link" TargetMode="External"/><Relationship Id="rId1281" Type="http://schemas.openxmlformats.org/officeDocument/2006/relationships/hyperlink" Target="https://drive.google.com/file/d/1FRAJouzpK8ys38jSvqD1drRR7v-fz3Fv/view?usp=sharing" TargetMode="External"/><Relationship Id="rId1379" Type="http://schemas.openxmlformats.org/officeDocument/2006/relationships/hyperlink" Target="https://drive.google.com/file/d/11b2y44RNFfUPTdt9AOyN_pFAIIR5Dhfz/view?usp=share_link" TargetMode="External"/><Relationship Id="rId290" Type="http://schemas.openxmlformats.org/officeDocument/2006/relationships/hyperlink" Target="https://drive.google.com/file/d/116WKWSPTirq5O_jZ6gL8HJPZZYkJtlsu/view?usp=share_link" TargetMode="External"/><Relationship Id="rId304" Type="http://schemas.openxmlformats.org/officeDocument/2006/relationships/hyperlink" Target="https://drive.google.com/file/d/1Xq4vUufFcnMylfm6hk3i3h9bSZLIakNt/view?usp=share_link" TargetMode="External"/><Relationship Id="rId388" Type="http://schemas.openxmlformats.org/officeDocument/2006/relationships/hyperlink" Target="https://drive.google.com/file/d/1RbHIGCUouMcB1A24uv7lIqm8JpqLvXWk/view?usp=share_link" TargetMode="External"/><Relationship Id="rId511" Type="http://schemas.openxmlformats.org/officeDocument/2006/relationships/hyperlink" Target="https://drive.google.com/file/d/1xwsqGtgFEyqUmVmoQB53ipTfUK6XGS5e/view?usp=share_link" TargetMode="External"/><Relationship Id="rId609" Type="http://schemas.openxmlformats.org/officeDocument/2006/relationships/hyperlink" Target="https://drive.google.com/file/d/16edmiCK_Mb7dVhl8T33TFG8vpZUfeIPj/view?usp=share_link" TargetMode="External"/><Relationship Id="rId956" Type="http://schemas.openxmlformats.org/officeDocument/2006/relationships/hyperlink" Target="https://drive.google.com/file/d/1VCSTo6bFbMAZXP10DXjOkr7OpU4CwUJ4/view?usp=share_link" TargetMode="External"/><Relationship Id="rId1141" Type="http://schemas.openxmlformats.org/officeDocument/2006/relationships/hyperlink" Target="https://drive.google.com/file/d/10O-chXqOt-mD7w45yhanSx-LgX2d9yU6/view?usp=share_link" TargetMode="External"/><Relationship Id="rId1239" Type="http://schemas.openxmlformats.org/officeDocument/2006/relationships/hyperlink" Target="https://drive.google.com/file/d/1DgRLM0J22GIjtm6pjZYH1Ef43ETFq4jL/view?usp=sharing" TargetMode="External"/><Relationship Id="rId85" Type="http://schemas.openxmlformats.org/officeDocument/2006/relationships/hyperlink" Target="https://drive.google.com/file/d/1K7Ied_Oe5AfDVH0_xgdVD2CoG-A61DLj/view?usp=sharing" TargetMode="External"/><Relationship Id="rId150" Type="http://schemas.openxmlformats.org/officeDocument/2006/relationships/hyperlink" Target="https://drive.google.com/file/d/1C_UidM1FJ4fQQUTMS7AzfHLpIJ3PZNmo/view?usp=sharing" TargetMode="External"/><Relationship Id="rId595" Type="http://schemas.openxmlformats.org/officeDocument/2006/relationships/hyperlink" Target="https://drive.google.com/file/d/1varYv3MhUU6pHUwM1Gj69YUtQy3jxLyN/view?usp=share_link" TargetMode="External"/><Relationship Id="rId816" Type="http://schemas.openxmlformats.org/officeDocument/2006/relationships/hyperlink" Target="https://drive.google.com/file/d/1dpihzWgKfDHWtw6aDWyjhybogOX0wZsS/view?usp=share_link" TargetMode="External"/><Relationship Id="rId1001" Type="http://schemas.openxmlformats.org/officeDocument/2006/relationships/hyperlink" Target="https://drive.google.com/file/d/180wssTyhO7e8oJHlPhcsgFZgG9222Rey/view?usp=share_link" TargetMode="External"/><Relationship Id="rId1446" Type="http://schemas.openxmlformats.org/officeDocument/2006/relationships/hyperlink" Target="https://drive.google.com/open?id=1HhymgOLJ4GWIr2qOJ0oJ8EJc1hdG3Dmv&amp;usp=drive_fs" TargetMode="External"/><Relationship Id="rId248" Type="http://schemas.openxmlformats.org/officeDocument/2006/relationships/hyperlink" Target="https://drive.google.com/file/d/1JUqgF5GA4F_DS9TKZXCy7n57oFQ1bw0D/view?usp=share_link" TargetMode="External"/><Relationship Id="rId455" Type="http://schemas.openxmlformats.org/officeDocument/2006/relationships/hyperlink" Target="https://drive.google.com/file/d/1CJp77nggLPoww16ezAYOz34xbv1Omouz/view?usp=share_link" TargetMode="External"/><Relationship Id="rId662" Type="http://schemas.openxmlformats.org/officeDocument/2006/relationships/hyperlink" Target="https://drive.google.com/file/d/1iQREQYIZ_mDOjYBWWt3j8JiFPYl-xqvt/view?usp=share_link" TargetMode="External"/><Relationship Id="rId1085" Type="http://schemas.openxmlformats.org/officeDocument/2006/relationships/hyperlink" Target="https://drive.google.com/file/d/13afXdGL3tu6MbDLslt8EDwRQmbZfOcxl/view?usp=share_link" TargetMode="External"/><Relationship Id="rId1292" Type="http://schemas.openxmlformats.org/officeDocument/2006/relationships/hyperlink" Target="https://drive.google.com/file/d/1GFkVf372_3e8m8l5AKTOtgYBgRmNakrK/view?usp=sharing" TargetMode="External"/><Relationship Id="rId1306" Type="http://schemas.openxmlformats.org/officeDocument/2006/relationships/hyperlink" Target="https://drive.google.com/file/d/1EEljUineRkhXZCdqPnK3fTIsQyDmg8Dp/view?usp=drive_link" TargetMode="External"/><Relationship Id="rId12" Type="http://schemas.openxmlformats.org/officeDocument/2006/relationships/hyperlink" Target="https://drive.google.com/file/d/1LLTZCVUOIAc63eLxfZIE3ADCUDOu-2nD/view?usp=sharing" TargetMode="External"/><Relationship Id="rId108" Type="http://schemas.openxmlformats.org/officeDocument/2006/relationships/hyperlink" Target="https://drive.google.com/file/d/1WKiK1IZrZRykW0sEmiZttdgL0PMxQuOd/view?usp=sharing" TargetMode="External"/><Relationship Id="rId315" Type="http://schemas.openxmlformats.org/officeDocument/2006/relationships/hyperlink" Target="https://drive.google.com/file/d/1dwUjrbK7DlvE9PSLL8QOhrcmxcWxYboC/view?usp=share_link" TargetMode="External"/><Relationship Id="rId522" Type="http://schemas.openxmlformats.org/officeDocument/2006/relationships/hyperlink" Target="https://drive.google.com/file/d/1xqclHKlJ_y_zE56BIvfPxmBbHSkMikRY/view?usp=share_link" TargetMode="External"/><Relationship Id="rId967" Type="http://schemas.openxmlformats.org/officeDocument/2006/relationships/hyperlink" Target="https://drive.google.com/file/d/1xGhtSB-ACgqauRZlK2P7nUYno0Bc_xOt/view?usp=share_link" TargetMode="External"/><Relationship Id="rId1152" Type="http://schemas.openxmlformats.org/officeDocument/2006/relationships/hyperlink" Target="https://drive.google.com/file/d/1FfkgMd0NtIC_so9snkMVsrbETpCtWmtk/view?usp=share_link" TargetMode="External"/><Relationship Id="rId96" Type="http://schemas.openxmlformats.org/officeDocument/2006/relationships/hyperlink" Target="https://drive.google.com/file/d/1TiDv7PVXKTFwtRxDYpxLyiMu_GypBdOr/view?usp=sharing" TargetMode="External"/><Relationship Id="rId161" Type="http://schemas.openxmlformats.org/officeDocument/2006/relationships/hyperlink" Target="https://drive.google.com/file/d/1rdZhdwVHwlCOq-zjjSYCPknc2l8YfMlJ/view?usp=sharing" TargetMode="External"/><Relationship Id="rId399" Type="http://schemas.openxmlformats.org/officeDocument/2006/relationships/hyperlink" Target="https://drive.google.com/file/d/1ISkbv14elFu8QDT2Em8OKr92cGG6uC56/view?usp=share_link" TargetMode="External"/><Relationship Id="rId827" Type="http://schemas.openxmlformats.org/officeDocument/2006/relationships/hyperlink" Target="https://drive.google.com/file/d/13vS6vHqdPFkVXQ36udX1z0-Bi5KM8L8r/view?usp=share_link" TargetMode="External"/><Relationship Id="rId1012" Type="http://schemas.openxmlformats.org/officeDocument/2006/relationships/hyperlink" Target="https://drive.google.com/file/d/1FOeVA261ZAs7u1pinKwy4sA13UxVGA9d/view?usp=share_link" TargetMode="External"/><Relationship Id="rId1457" Type="http://schemas.openxmlformats.org/officeDocument/2006/relationships/hyperlink" Target="https://drive.google.com/open?id=1jeUe5wWZmaUlTxy2IDLLJnLQOR0ciRB0&amp;usp=drive_fs" TargetMode="External"/><Relationship Id="rId259" Type="http://schemas.openxmlformats.org/officeDocument/2006/relationships/hyperlink" Target="https://drive.google.com/file/d/1hRhfsbCmqz5A9cGyrbFXn1n-icf5JJRx/view?usp=share_link" TargetMode="External"/><Relationship Id="rId466" Type="http://schemas.openxmlformats.org/officeDocument/2006/relationships/hyperlink" Target="https://drive.google.com/file/d/1kFdghNWZRq98mjyn7e0Uyjb1bEkZ-ZEQ/view?usp=share_link" TargetMode="External"/><Relationship Id="rId673" Type="http://schemas.openxmlformats.org/officeDocument/2006/relationships/hyperlink" Target="https://drive.google.com/file/d/1WQATq9-5Y1AYvRDiqZCLLvu5IlNKG2FG/view?usp=share_link" TargetMode="External"/><Relationship Id="rId880" Type="http://schemas.openxmlformats.org/officeDocument/2006/relationships/hyperlink" Target="https://drive.google.com/file/d/11DrTnPbh21GBUXNSkzVbIhuX2vi0JwgA/view?usp=share_link" TargetMode="External"/><Relationship Id="rId1096" Type="http://schemas.openxmlformats.org/officeDocument/2006/relationships/hyperlink" Target="https://drive.google.com/file/d/189u7xeP0C-hJyNgOrBK3Z2ZaQIzSyNzc/view?usp=share_link" TargetMode="External"/><Relationship Id="rId1317" Type="http://schemas.openxmlformats.org/officeDocument/2006/relationships/hyperlink" Target="https://drive.google.com/file/d/1k1Zp_HwcJwckKLMc0NpPiq2EOME9zh73/view?usp=drive_link" TargetMode="External"/><Relationship Id="rId23" Type="http://schemas.openxmlformats.org/officeDocument/2006/relationships/hyperlink" Target="https://drive.google.com/file/d/1o7c4v6lZlUisc0Yd5AaTQncutVcsAUyG/view?usp=sharing" TargetMode="External"/><Relationship Id="rId119" Type="http://schemas.openxmlformats.org/officeDocument/2006/relationships/hyperlink" Target="https://drive.google.com/file/d/13KkRQOPph-c3igQHwj7633egttLmLlyq/view?usp=sharing" TargetMode="External"/><Relationship Id="rId326" Type="http://schemas.openxmlformats.org/officeDocument/2006/relationships/hyperlink" Target="https://drive.google.com/file/d/1q81XCkJ2Z5DoB0jKPe24xJIcDty-hvod/view?usp=share_link" TargetMode="External"/><Relationship Id="rId533" Type="http://schemas.openxmlformats.org/officeDocument/2006/relationships/hyperlink" Target="https://drive.google.com/file/d/12jmioIncZ6aV1A7u02BqZleNjx7J9iuV/view?usp=share_link" TargetMode="External"/><Relationship Id="rId978" Type="http://schemas.openxmlformats.org/officeDocument/2006/relationships/hyperlink" Target="https://drive.google.com/file/d/1HHYH0JvDUVvcUadOHcHPXqNb4dCA-uLc/view?usp=share_link" TargetMode="External"/><Relationship Id="rId1163" Type="http://schemas.openxmlformats.org/officeDocument/2006/relationships/hyperlink" Target="https://drive.google.com/file/d/156SS4Px3Q7OjAVC_C9cOofs4SsqcjxSA/view?usp=share_link" TargetMode="External"/><Relationship Id="rId1370" Type="http://schemas.openxmlformats.org/officeDocument/2006/relationships/hyperlink" Target="https://drive.google.com/file/d/1EWZeuurThe-K7P-Ql_j5ukcSz0fFOcQB/view?usp=share_link" TargetMode="External"/><Relationship Id="rId740" Type="http://schemas.openxmlformats.org/officeDocument/2006/relationships/hyperlink" Target="https://drive.google.com/file/d/1FfP16U75BS9G0xKxilYVHLAiNqACRE3Z/view?usp=share_link" TargetMode="External"/><Relationship Id="rId838" Type="http://schemas.openxmlformats.org/officeDocument/2006/relationships/hyperlink" Target="https://drive.google.com/file/d/1-BOLcF268gOoYLNwInkZTSf13mv_deCm/view?usp=share_link" TargetMode="External"/><Relationship Id="rId1023" Type="http://schemas.openxmlformats.org/officeDocument/2006/relationships/hyperlink" Target="https://drive.google.com/file/d/1NJg-IeCKTsuTh5cTIv5tK1pa7plp1IOX/view?usp=share_link" TargetMode="External"/><Relationship Id="rId1468" Type="http://schemas.openxmlformats.org/officeDocument/2006/relationships/hyperlink" Target="https://drive.google.com/open?id=1nLyHgdBpBU44HCMWV6oAeK9psAlB7QE_&amp;usp=drive_fs" TargetMode="External"/><Relationship Id="rId172" Type="http://schemas.openxmlformats.org/officeDocument/2006/relationships/hyperlink" Target="https://drive.google.com/file/d/1hakWbe3NERQgeAYnfT1S9JNvUz0ZHJP-/view?usp=sharing" TargetMode="External"/><Relationship Id="rId477" Type="http://schemas.openxmlformats.org/officeDocument/2006/relationships/hyperlink" Target="https://drive.google.com/file/d/1avDanSJrHwBDgx3_bIerI2kl6RmHEGAY/view?usp=share_link" TargetMode="External"/><Relationship Id="rId600" Type="http://schemas.openxmlformats.org/officeDocument/2006/relationships/hyperlink" Target="https://drive.google.com/file/d/1t3Dp4ccESobsaTGRszluJ0JeYSbL50j2/view?usp=share_link" TargetMode="External"/><Relationship Id="rId684" Type="http://schemas.openxmlformats.org/officeDocument/2006/relationships/hyperlink" Target="https://drive.google.com/file/d/1vNuFxEtbIdimRf1dMW17C11NlOVvVk43/view?usp=share_link" TargetMode="External"/><Relationship Id="rId1230" Type="http://schemas.openxmlformats.org/officeDocument/2006/relationships/hyperlink" Target="https://drive.google.com/file/d/1C0C0f59dIV6r-nVAYMzXOxYT-csl6atS/view?usp=sharing" TargetMode="External"/><Relationship Id="rId1328" Type="http://schemas.openxmlformats.org/officeDocument/2006/relationships/hyperlink" Target="https://drive.google.com/file/d/1kKvHI9p7QeTfi4Pz_UjbKniOONpmY4lS/view?usp=sharing" TargetMode="External"/><Relationship Id="rId337" Type="http://schemas.openxmlformats.org/officeDocument/2006/relationships/hyperlink" Target="https://drive.google.com/file/d/1i89so9d76CoxyG_35Pz8yBEdFJrWpNjr/view?usp=share_link" TargetMode="External"/><Relationship Id="rId891" Type="http://schemas.openxmlformats.org/officeDocument/2006/relationships/hyperlink" Target="https://drive.google.com/file/d/1pQWZUfbyh6U-G-UCAQl5KmHCC-O9jB71/view?usp=share_link" TargetMode="External"/><Relationship Id="rId905" Type="http://schemas.openxmlformats.org/officeDocument/2006/relationships/hyperlink" Target="https://drive.google.com/file/d/1WrRSJ4y0FcRTfoGlRdaM4q7cHA6a-z1t/view?usp=share_link" TargetMode="External"/><Relationship Id="rId989" Type="http://schemas.openxmlformats.org/officeDocument/2006/relationships/hyperlink" Target="https://drive.google.com/file/d/1hR17Lk52a11GfB_gx8XB0IUmNh7jX3Cp/view?usp=share_link" TargetMode="External"/><Relationship Id="rId34" Type="http://schemas.openxmlformats.org/officeDocument/2006/relationships/hyperlink" Target="https://drive.google.com/file/d/1fWfaJmDZHVG8QI0hLmFD6QFe9jEEuq9I/view?usp=sharing" TargetMode="External"/><Relationship Id="rId544" Type="http://schemas.openxmlformats.org/officeDocument/2006/relationships/hyperlink" Target="https://drive.google.com/file/d/1cdSptg-rg1fENllqDYKtohgYWLWlWGja/view?usp=share_link" TargetMode="External"/><Relationship Id="rId751" Type="http://schemas.openxmlformats.org/officeDocument/2006/relationships/hyperlink" Target="https://drive.google.com/file/d/14QRvmUfd7QAnqxjnbGOAsNlD9K1kH-L6/view?usp=share_link" TargetMode="External"/><Relationship Id="rId849" Type="http://schemas.openxmlformats.org/officeDocument/2006/relationships/hyperlink" Target="https://drive.google.com/file/d/1zF-IvdTt2CT7Ei9Wuw8_k-dd6vb-csGJ/view?usp=share_link" TargetMode="External"/><Relationship Id="rId1174" Type="http://schemas.openxmlformats.org/officeDocument/2006/relationships/hyperlink" Target="https://drive.google.com/file/d/17g5wzIZMIMdhz-CA4IAPV6OAAjuWwjSH/view?usp=sharing" TargetMode="External"/><Relationship Id="rId1381" Type="http://schemas.openxmlformats.org/officeDocument/2006/relationships/hyperlink" Target="https://drive.google.com/open?id=1EcRz4kuiZ4GtMk8Gfcn_IFYJz1newFX2&amp;usp=drive_fs" TargetMode="External"/><Relationship Id="rId1479" Type="http://schemas.openxmlformats.org/officeDocument/2006/relationships/hyperlink" Target="https://drive.google.com/open?id=1W-7dNdLfqWEOjW8vjZlMbfVoOFtkoLFo&amp;usp=drive_fs" TargetMode="External"/><Relationship Id="rId183" Type="http://schemas.openxmlformats.org/officeDocument/2006/relationships/hyperlink" Target="https://drive.google.com/file/d/1StofPzWzu3wbLn1fiY27UotC1OKitI7a/view?usp=sharing" TargetMode="External"/><Relationship Id="rId390" Type="http://schemas.openxmlformats.org/officeDocument/2006/relationships/hyperlink" Target="https://drive.google.com/file/d/1B0ds_tYJke3rVEuBef1JMj_QQL3qxNmY/view?usp=share_link" TargetMode="External"/><Relationship Id="rId404" Type="http://schemas.openxmlformats.org/officeDocument/2006/relationships/hyperlink" Target="https://drive.google.com/file/d/1fGKv1DRt7A1UYkyFmbWiJDZ35BMPplh0/view?usp=share_link" TargetMode="External"/><Relationship Id="rId611" Type="http://schemas.openxmlformats.org/officeDocument/2006/relationships/hyperlink" Target="https://drive.google.com/file/d/1Dn7xLnkyPMXfJLlic4uWUbp1Bm5k6T1J/view?usp=share_link" TargetMode="External"/><Relationship Id="rId1034" Type="http://schemas.openxmlformats.org/officeDocument/2006/relationships/hyperlink" Target="https://drive.google.com/file/d/1ZuhbEn1P9nWFu9RXR7OY1YdETEcID-ms/view?usp=share_link" TargetMode="External"/><Relationship Id="rId1241" Type="http://schemas.openxmlformats.org/officeDocument/2006/relationships/hyperlink" Target="https://drive.google.com/file/d/1Da_ZK5kkcIAgn8xC0x5JwZvvi25VpJfU/view?usp=sharing" TargetMode="External"/><Relationship Id="rId1339" Type="http://schemas.openxmlformats.org/officeDocument/2006/relationships/hyperlink" Target="https://drive.google.com/open?id=103UWb_y8VaLS9NEj_ZAf4KrbwmxLMYu8&amp;usp=drive_fs" TargetMode="External"/><Relationship Id="rId250" Type="http://schemas.openxmlformats.org/officeDocument/2006/relationships/hyperlink" Target="https://drive.google.com/file/d/1mrL__vie294_mVgpgQ93p0ZYLyImmfGG/view?usp=share_link" TargetMode="External"/><Relationship Id="rId488" Type="http://schemas.openxmlformats.org/officeDocument/2006/relationships/hyperlink" Target="https://drive.google.com/file/d/1UFNWTr11RTuDZ3pCqX17gNS1WvDDtzAH/view?usp=share_link" TargetMode="External"/><Relationship Id="rId695" Type="http://schemas.openxmlformats.org/officeDocument/2006/relationships/hyperlink" Target="https://drive.google.com/file/d/15I5qJaOCVcbXNHVu6rbCEO14HhGM5UWy/view?usp=share_link" TargetMode="External"/><Relationship Id="rId709" Type="http://schemas.openxmlformats.org/officeDocument/2006/relationships/hyperlink" Target="https://drive.google.com/file/d/1kE77NJ5qkLWhB00w-o0Cul0fLAudgQEt/view?usp=share_link" TargetMode="External"/><Relationship Id="rId916" Type="http://schemas.openxmlformats.org/officeDocument/2006/relationships/hyperlink" Target="https://drive.google.com/file/d/1M1-VCyKRtDALm4pQkD-5VylJ_oS20udv/view?usp=share_link" TargetMode="External"/><Relationship Id="rId1101" Type="http://schemas.openxmlformats.org/officeDocument/2006/relationships/hyperlink" Target="https://drive.google.com/file/d/11hoIIETC_rI_TyGuaj4tNf1P3MLrQmub/view?usp=share_link" TargetMode="External"/><Relationship Id="rId45" Type="http://schemas.openxmlformats.org/officeDocument/2006/relationships/hyperlink" Target="https://drive.google.com/file/d/1GnQgK2B_xkMuWAd_864l_AumC-3IgiPu/view?usp=sharing" TargetMode="External"/><Relationship Id="rId110" Type="http://schemas.openxmlformats.org/officeDocument/2006/relationships/hyperlink" Target="https://drive.google.com/file/d/1IpWHhayXGnA8Lyxn-8XVf3eHVZwr20-q/view?usp=sharing" TargetMode="External"/><Relationship Id="rId348" Type="http://schemas.openxmlformats.org/officeDocument/2006/relationships/hyperlink" Target="https://drive.google.com/file/d/128PKFtH0D8XlEegOwRUe1x00RofRqCx2/view?usp=share_link" TargetMode="External"/><Relationship Id="rId555" Type="http://schemas.openxmlformats.org/officeDocument/2006/relationships/hyperlink" Target="https://drive.google.com/file/d/1J8DqiVxoJLkmy-dMZ6V5Bc3geVQU-fh0/view?usp=share_link" TargetMode="External"/><Relationship Id="rId762" Type="http://schemas.openxmlformats.org/officeDocument/2006/relationships/hyperlink" Target="https://drive.google.com/file/d/1Xm2os_GNKlh_aDiFMRWzx8CYslL3Jbxy/view?usp=share_link" TargetMode="External"/><Relationship Id="rId1185" Type="http://schemas.openxmlformats.org/officeDocument/2006/relationships/hyperlink" Target="https://drive.google.com/file/d/1XFejBrDThKxoRZwN4bibxPlCv621TDN1/view?usp=sharing" TargetMode="External"/><Relationship Id="rId1392" Type="http://schemas.openxmlformats.org/officeDocument/2006/relationships/hyperlink" Target="https://drive.google.com/file/d/1SWehDgWUMQPqBV4RZ8-tKVrMyrf-1OrZ/view?usp=share_link" TargetMode="External"/><Relationship Id="rId1406" Type="http://schemas.openxmlformats.org/officeDocument/2006/relationships/hyperlink" Target="https://drive.google.com/open?id=1-stgw6Xk54ak3NpAJ9yVM07-0gO9oFJv&amp;usp=drive_fs" TargetMode="External"/><Relationship Id="rId194" Type="http://schemas.openxmlformats.org/officeDocument/2006/relationships/hyperlink" Target="https://drive.google.com/file/d/1OjNYQY0UNeESCTypH3THTUdnBb7K-Wr-/view?usp=share_link" TargetMode="External"/><Relationship Id="rId208" Type="http://schemas.openxmlformats.org/officeDocument/2006/relationships/hyperlink" Target="https://drive.google.com/file/d/1nxDWTHQJeqRBuzrwxfBd5UQFu4aXyc1f/view?usp=share_link" TargetMode="External"/><Relationship Id="rId415" Type="http://schemas.openxmlformats.org/officeDocument/2006/relationships/hyperlink" Target="https://drive.google.com/file/d/1kupm6SFYgJ1huiWjMUVGQn9PqZnJYJu4/view?usp=share_link" TargetMode="External"/><Relationship Id="rId622" Type="http://schemas.openxmlformats.org/officeDocument/2006/relationships/hyperlink" Target="https://drive.google.com/file/d/1v7rYJzjOMETW-cPZOXmPs7WYFamgrhM4/view?usp=share_link" TargetMode="External"/><Relationship Id="rId1045" Type="http://schemas.openxmlformats.org/officeDocument/2006/relationships/hyperlink" Target="https://drive.google.com/file/d/1MV2EC7xOBkMn3JOIiIroUmbee87LFu0T/view?usp=sharing" TargetMode="External"/><Relationship Id="rId1252" Type="http://schemas.openxmlformats.org/officeDocument/2006/relationships/hyperlink" Target="https://drive.google.com/file/d/15lUmNoxhbpdPqwF9-0e84D4tXR6rYfCN/view?usp=sharing" TargetMode="External"/><Relationship Id="rId261" Type="http://schemas.openxmlformats.org/officeDocument/2006/relationships/hyperlink" Target="https://drive.google.com/file/d/1b8qJDVjwmHQjUpPbquzGH0zUSDH7P2AI/view?usp=share_link" TargetMode="External"/><Relationship Id="rId499" Type="http://schemas.openxmlformats.org/officeDocument/2006/relationships/hyperlink" Target="https://drive.google.com/file/d/1dH-dG7sMLqjNEXQ9cAhhoOQGv5CJJEqp/view?usp=share_link" TargetMode="External"/><Relationship Id="rId927" Type="http://schemas.openxmlformats.org/officeDocument/2006/relationships/hyperlink" Target="https://drive.google.com/file/d/1LDf7-q5cJjGc5M1AaNMfDMs8LqvnE5_H/view?usp=share_link" TargetMode="External"/><Relationship Id="rId1112" Type="http://schemas.openxmlformats.org/officeDocument/2006/relationships/hyperlink" Target="https://drive.google.com/file/d/1ORohlhY_J0ErAFDs9HcwgINg22819_G_/view?usp=share_link" TargetMode="External"/><Relationship Id="rId56" Type="http://schemas.openxmlformats.org/officeDocument/2006/relationships/hyperlink" Target="https://drive.google.com/file/d/1qhHTK5ksgTq3T_b_BMu9FzPJWLsR0UrP/view?usp=sharing" TargetMode="External"/><Relationship Id="rId359" Type="http://schemas.openxmlformats.org/officeDocument/2006/relationships/hyperlink" Target="https://drive.google.com/file/d/1qFdUiHeIReQNL06rKRVvtwfFgyXhb7Rc/view?usp=share_link" TargetMode="External"/><Relationship Id="rId566" Type="http://schemas.openxmlformats.org/officeDocument/2006/relationships/hyperlink" Target="https://drive.google.com/file/d/1U-eVhbQ77F7zVr604DatGoQ8VQvMjQFB/view?usp=share_link" TargetMode="External"/><Relationship Id="rId773" Type="http://schemas.openxmlformats.org/officeDocument/2006/relationships/hyperlink" Target="https://drive.google.com/file/d/1KJV-zVvs5PYtNZAtI7_XoI3Mp8HGYnuG/view?usp=share_link" TargetMode="External"/><Relationship Id="rId1196" Type="http://schemas.openxmlformats.org/officeDocument/2006/relationships/hyperlink" Target="https://drive.google.com/file/d/1FD6sdscaZl8R4XC8gpC6TAdsktNUXgI4/view?usp=sharing" TargetMode="External"/><Relationship Id="rId1417" Type="http://schemas.openxmlformats.org/officeDocument/2006/relationships/hyperlink" Target="https://drive.google.com/open?id=1HVx76Qe6rV0UxlWhNkfzhSPEFNMjh7ja&amp;usp=drive_fs" TargetMode="External"/><Relationship Id="rId121" Type="http://schemas.openxmlformats.org/officeDocument/2006/relationships/hyperlink" Target="https://drive.google.com/file/d/12M64-wUXSTiPXJsVgx59yMiykdE68B7a/view?usp=sharing" TargetMode="External"/><Relationship Id="rId219" Type="http://schemas.openxmlformats.org/officeDocument/2006/relationships/hyperlink" Target="https://drive.google.com/file/d/1iDZiPffR81cmIY4rQZvAVjFI6UgrN_H4/view?usp=share_link" TargetMode="External"/><Relationship Id="rId426" Type="http://schemas.openxmlformats.org/officeDocument/2006/relationships/hyperlink" Target="https://drive.google.com/file/d/1pxDAuucZVO8v8NoUfg5u3BCorgPjXUZ9/view?usp=share_link" TargetMode="External"/><Relationship Id="rId633" Type="http://schemas.openxmlformats.org/officeDocument/2006/relationships/hyperlink" Target="https://drive.google.com/file/d/1sFPGNRFMhDpjKJoy-BCQKm2Jor2_Ekia/view?usp=share_link" TargetMode="External"/><Relationship Id="rId980" Type="http://schemas.openxmlformats.org/officeDocument/2006/relationships/hyperlink" Target="https://drive.google.com/file/d/1AtjdPIFT35u5fPFGshj-6XOUBuPJ1Gmj/view?usp=share_link" TargetMode="External"/><Relationship Id="rId1056" Type="http://schemas.openxmlformats.org/officeDocument/2006/relationships/hyperlink" Target="https://drive.google.com/file/d/1xQ-YBGrQR6f4QgG56BTxFDvTulv-5dlc/view?usp=sharing" TargetMode="External"/><Relationship Id="rId1263" Type="http://schemas.openxmlformats.org/officeDocument/2006/relationships/hyperlink" Target="https://drive.google.com/file/d/18uXbbwI83dXcHIeUOFfh9L6HOEOTu9wl/view?usp=sharing" TargetMode="External"/><Relationship Id="rId840" Type="http://schemas.openxmlformats.org/officeDocument/2006/relationships/hyperlink" Target="https://drive.google.com/file/d/1E8h0mHL-bENfNPh5rZPFd_z4k7Xwunk-/view?usp=share_link" TargetMode="External"/><Relationship Id="rId938" Type="http://schemas.openxmlformats.org/officeDocument/2006/relationships/hyperlink" Target="https://drive.google.com/file/d/17G4N3rb2y0u0R6LVQmMc3ElDFQWi5iOF/view?usp=share_link" TargetMode="External"/><Relationship Id="rId1470" Type="http://schemas.openxmlformats.org/officeDocument/2006/relationships/hyperlink" Target="https://drive.google.com/open?id=1Hp4UyY4Jdo2wLNZ0LsCdw31QQ_yAjpcG&amp;usp=drive_fs" TargetMode="External"/><Relationship Id="rId67" Type="http://schemas.openxmlformats.org/officeDocument/2006/relationships/hyperlink" Target="https://drive.google.com/file/d/1YZDDwTv-ReDloxy4E9RVZJQLakZ5ULwq/view?usp=sharing" TargetMode="External"/><Relationship Id="rId272" Type="http://schemas.openxmlformats.org/officeDocument/2006/relationships/hyperlink" Target="https://drive.google.com/file/d/1vusbulEF9i9mQqZvfFpgeWvuujI56qZ-/view?usp=share_link" TargetMode="External"/><Relationship Id="rId577" Type="http://schemas.openxmlformats.org/officeDocument/2006/relationships/hyperlink" Target="https://drive.google.com/file/d/1ww_IkOWKxzCHVSl9jE71HflqAQ-MFems/view?usp=share_link" TargetMode="External"/><Relationship Id="rId700" Type="http://schemas.openxmlformats.org/officeDocument/2006/relationships/hyperlink" Target="https://drive.google.com/file/d/1Lb5F6u6pD88y0FTik02C-mfKH0Iww1vZ/view?usp=share_link" TargetMode="External"/><Relationship Id="rId1123" Type="http://schemas.openxmlformats.org/officeDocument/2006/relationships/hyperlink" Target="https://drive.google.com/file/d/1adVVJmQQ6EDNVM8aQJqEh4QxWUU06PK_/view?usp=share_link" TargetMode="External"/><Relationship Id="rId1330" Type="http://schemas.openxmlformats.org/officeDocument/2006/relationships/hyperlink" Target="https://drive.google.com/file/d/1-LugGCFTzl67mFW7Xdz1dTVy45qw9dOV/view?usp=drive_link" TargetMode="External"/><Relationship Id="rId1428" Type="http://schemas.openxmlformats.org/officeDocument/2006/relationships/hyperlink" Target="https://drive.google.com/open?id=1IjoMSr03nhP1sCFDp38r9bpfQDmxVVZG&amp;usp=drive_fs" TargetMode="External"/><Relationship Id="rId132" Type="http://schemas.openxmlformats.org/officeDocument/2006/relationships/hyperlink" Target="https://drive.google.com/file/d/1WGky6s4fTAvA5V82wl0PAzOIPmMJkSbt/view?usp=sharing" TargetMode="External"/><Relationship Id="rId784" Type="http://schemas.openxmlformats.org/officeDocument/2006/relationships/hyperlink" Target="https://drive.google.com/file/d/1RCbAfb2FcNjExB705lQ9Vq1XAttTUzDh/view?usp=share_link" TargetMode="External"/><Relationship Id="rId991" Type="http://schemas.openxmlformats.org/officeDocument/2006/relationships/hyperlink" Target="https://drive.google.com/file/d/1C_4Q_e2v3csVMFFcnl64ELyFLgDb1ext/view?usp=share_link" TargetMode="External"/><Relationship Id="rId1067" Type="http://schemas.openxmlformats.org/officeDocument/2006/relationships/hyperlink" Target="https://drive.google.com/file/d/1it9UD-WEevxD7SXRMasP8k9yNkyGJzrI/view?usp=share_link" TargetMode="External"/><Relationship Id="rId437" Type="http://schemas.openxmlformats.org/officeDocument/2006/relationships/hyperlink" Target="https://drive.google.com/file/d/17jXdLvxh837mV9_3WwwxdjJpDN0DhPCD/view?usp=share_link" TargetMode="External"/><Relationship Id="rId644" Type="http://schemas.openxmlformats.org/officeDocument/2006/relationships/hyperlink" Target="https://drive.google.com/file/d/1-JtFKMeIq6qjNV5C7B5ArGWnTIiOxgvJ/view?usp=share_link" TargetMode="External"/><Relationship Id="rId851" Type="http://schemas.openxmlformats.org/officeDocument/2006/relationships/hyperlink" Target="https://drive.google.com/file/d/1VCCLTsCd2ugcPTFfWYJuSnYU_JApHx4n/view?usp=share_link" TargetMode="External"/><Relationship Id="rId1274" Type="http://schemas.openxmlformats.org/officeDocument/2006/relationships/hyperlink" Target="https://drive.google.com/file/d/1E4-If_TFT3MMfPTJYmiTgvGL4KCzlFSZ/view?usp=sharing" TargetMode="External"/><Relationship Id="rId1481" Type="http://schemas.openxmlformats.org/officeDocument/2006/relationships/hyperlink" Target="https://drive.google.com/file/d/1VSdpO-NoFOqdNiOrakwcBeASFz98_5iQ/view?usp=share_link" TargetMode="External"/><Relationship Id="rId283" Type="http://schemas.openxmlformats.org/officeDocument/2006/relationships/hyperlink" Target="https://drive.google.com/file/d/1R2otgKeg9c6_ZR04TXLAZWO8kgIrylzh/view?usp=share_link" TargetMode="External"/><Relationship Id="rId490" Type="http://schemas.openxmlformats.org/officeDocument/2006/relationships/hyperlink" Target="https://drive.google.com/file/d/1e1BbX6et71uYXyiJEwpRy8Z8VYWDyj0T/view?usp=share_link" TargetMode="External"/><Relationship Id="rId504" Type="http://schemas.openxmlformats.org/officeDocument/2006/relationships/hyperlink" Target="https://drive.google.com/file/d/1Z2VM_vJnFXegjGpCbV6U6AMe4WuCunZG/view?usp=share_link" TargetMode="External"/><Relationship Id="rId711" Type="http://schemas.openxmlformats.org/officeDocument/2006/relationships/hyperlink" Target="https://drive.google.com/file/d/1zh2GbTEXw_u1wn2abfCa_c_Mj7rMaif0/view?usp=share_link" TargetMode="External"/><Relationship Id="rId949" Type="http://schemas.openxmlformats.org/officeDocument/2006/relationships/hyperlink" Target="https://drive.google.com/file/d/1yAxzNUZ5mqYA-2vV-bZiAlByZSjVrUz5/view?usp=share_link" TargetMode="External"/><Relationship Id="rId1134" Type="http://schemas.openxmlformats.org/officeDocument/2006/relationships/hyperlink" Target="https://drive.google.com/file/d/1-NNb-LVhpA031x-aZMefdSvnr18BVPHZ/view?usp=sharing" TargetMode="External"/><Relationship Id="rId1341" Type="http://schemas.openxmlformats.org/officeDocument/2006/relationships/hyperlink" Target="https://drive.google.com/open?id=10j6_AQ2FRvVPPn0qaFZJlA-OkqyUgUOb&amp;usp=drive_fs" TargetMode="External"/><Relationship Id="rId78" Type="http://schemas.openxmlformats.org/officeDocument/2006/relationships/hyperlink" Target="https://drive.google.com/file/d/1rc0XmD7Es7i59Eder5-adkcQdnjuwtNk/view?usp=sharing" TargetMode="External"/><Relationship Id="rId143" Type="http://schemas.openxmlformats.org/officeDocument/2006/relationships/hyperlink" Target="https://drive.google.com/file/d/1gCa2XBSdFGsLyTVj4LmeoqZXx2EnoT1v/view?usp=sharing" TargetMode="External"/><Relationship Id="rId350" Type="http://schemas.openxmlformats.org/officeDocument/2006/relationships/hyperlink" Target="https://drive.google.com/file/d/1bpkikSyrnzTto_D7CksXZsRIhy6whDjl/view?usp=share_link" TargetMode="External"/><Relationship Id="rId588" Type="http://schemas.openxmlformats.org/officeDocument/2006/relationships/hyperlink" Target="https://drive.google.com/file/d/1d5wrrSNDxXe6Ji9DhwpjaIBaCQasDmr8/view?usp=share_link" TargetMode="External"/><Relationship Id="rId795" Type="http://schemas.openxmlformats.org/officeDocument/2006/relationships/hyperlink" Target="https://drive.google.com/file/d/11zp1YHJvcQhB1DAnvkSu_2vsBFivrnKy/view?usp=share_link" TargetMode="External"/><Relationship Id="rId809" Type="http://schemas.openxmlformats.org/officeDocument/2006/relationships/hyperlink" Target="https://drive.google.com/file/d/1u4EL3BIlKC__hmsPYqIRayTvw3DPGmul/view?usp=share_link" TargetMode="External"/><Relationship Id="rId1201" Type="http://schemas.openxmlformats.org/officeDocument/2006/relationships/hyperlink" Target="https://drive.google.com/file/d/12IOQaCBq-SClcjZAXj9oZO3Uv2TY2DfX/view?usp=sharing" TargetMode="External"/><Relationship Id="rId1439" Type="http://schemas.openxmlformats.org/officeDocument/2006/relationships/hyperlink" Target="https://drive.google.com/open?id=1QSvUapqeb33SqWTcBo-ElTYl8hqpcnT4&amp;usp=drive_fs" TargetMode="External"/><Relationship Id="rId9" Type="http://schemas.openxmlformats.org/officeDocument/2006/relationships/hyperlink" Target="https://drive.google.com/file/d/1fk_ljnOoBb2lFqTUq_Vq8_BmTgJGw3-o/view?usp=sharing" TargetMode="External"/><Relationship Id="rId210" Type="http://schemas.openxmlformats.org/officeDocument/2006/relationships/hyperlink" Target="https://drive.google.com/file/d/13nXWenvM7a2yYwLgsWqJTkDGTm7oY5Se/view?usp=share_link" TargetMode="External"/><Relationship Id="rId448" Type="http://schemas.openxmlformats.org/officeDocument/2006/relationships/hyperlink" Target="https://drive.google.com/file/d/1xoxjPZusPOc5pkKJ5LywOVpAMZXBHNa2/view?usp=share_link" TargetMode="External"/><Relationship Id="rId655" Type="http://schemas.openxmlformats.org/officeDocument/2006/relationships/hyperlink" Target="https://drive.google.com/file/d/1Dj-tdZWzQeVO17nLC6M-cvyJuIopjNi3/view?usp=share_link" TargetMode="External"/><Relationship Id="rId862" Type="http://schemas.openxmlformats.org/officeDocument/2006/relationships/hyperlink" Target="https://drive.google.com/file/d/1UBm1VXE6li8avOHT7RNsTcXZuAN2du3n/view?usp=share_link" TargetMode="External"/><Relationship Id="rId1078" Type="http://schemas.openxmlformats.org/officeDocument/2006/relationships/hyperlink" Target="https://drive.google.com/file/d/1BRxTd-uWs2uuHGjjO7IYCEwkJCljyfpL/view?usp=share_link" TargetMode="External"/><Relationship Id="rId1285" Type="http://schemas.openxmlformats.org/officeDocument/2006/relationships/hyperlink" Target="https://drive.google.com/file/d/1FfP9auLWs4ArUrd-8DWfRlEeK2FREpu5/view?usp=sharing" TargetMode="External"/><Relationship Id="rId1492" Type="http://schemas.openxmlformats.org/officeDocument/2006/relationships/hyperlink" Target="https://drive.google.com/open?id=1twLbm_hSO38Sy6bb9HozSsdh8QUcILYR&amp;usp=drive_fs" TargetMode="External"/><Relationship Id="rId294" Type="http://schemas.openxmlformats.org/officeDocument/2006/relationships/hyperlink" Target="https://drive.google.com/file/d/14UZS5xlKzlZWT4YH-GAuKwKbiLW-eefY/view?usp=share_link" TargetMode="External"/><Relationship Id="rId308" Type="http://schemas.openxmlformats.org/officeDocument/2006/relationships/hyperlink" Target="https://drive.google.com/file/d/1IH3jOqPXFOy7FDThT6zc1naa2b--ZP5d/view?usp=share_link" TargetMode="External"/><Relationship Id="rId515" Type="http://schemas.openxmlformats.org/officeDocument/2006/relationships/hyperlink" Target="https://drive.google.com/file/d/19K661p_KRSLbT05a-lLfFbxvpZn0YNxt/view?usp=share_link" TargetMode="External"/><Relationship Id="rId722" Type="http://schemas.openxmlformats.org/officeDocument/2006/relationships/hyperlink" Target="https://drive.google.com/file/d/1LYZRDZsXgeDtUHWtu-QUdYn4bt729fge/view?usp=share_link" TargetMode="External"/><Relationship Id="rId1145" Type="http://schemas.openxmlformats.org/officeDocument/2006/relationships/hyperlink" Target="https://drive.google.com/file/d/10_YI_Mc20qXTDHAOSOr9C7W-bVhchEXF/view?usp=share_link" TargetMode="External"/><Relationship Id="rId1352" Type="http://schemas.openxmlformats.org/officeDocument/2006/relationships/hyperlink" Target="https://drive.google.com/open?id=14MKzp1HRtaYu53TL-d7BJXOFHO93udIa&amp;usp=drive_fs" TargetMode="External"/><Relationship Id="rId89" Type="http://schemas.openxmlformats.org/officeDocument/2006/relationships/hyperlink" Target="https://drive.google.com/file/d/1YunVEkiLcSfho95EsdiqeiqftIf2J2JM/view?usp=sharing" TargetMode="External"/><Relationship Id="rId154" Type="http://schemas.openxmlformats.org/officeDocument/2006/relationships/hyperlink" Target="https://drive.google.com/file/d/1tm7DBiLzq2DSLW2eXEisqIcIMHezeHLC/view?usp=sharing" TargetMode="External"/><Relationship Id="rId361" Type="http://schemas.openxmlformats.org/officeDocument/2006/relationships/hyperlink" Target="https://drive.google.com/file/d/1We5EMRYubRlXtDAkBfCsXAcg5XOqGDM8/view?usp=share_link" TargetMode="External"/><Relationship Id="rId599" Type="http://schemas.openxmlformats.org/officeDocument/2006/relationships/hyperlink" Target="https://drive.google.com/file/d/1RpK0SuUYKb-F6UvgH5md5azZlBcm0Fw_/view?usp=share_link" TargetMode="External"/><Relationship Id="rId1005" Type="http://schemas.openxmlformats.org/officeDocument/2006/relationships/hyperlink" Target="https://drive.google.com/file/d/1R3ZgomctWXnuo9jv0-qnCH-v-V3IiiNa/view?usp=share_link" TargetMode="External"/><Relationship Id="rId1212" Type="http://schemas.openxmlformats.org/officeDocument/2006/relationships/hyperlink" Target="https://drive.google.com/file/d/1Bnqn2sDYF2o5Tg_cV-bjq4hRy9BXl8hT/view?usp=sharing" TargetMode="External"/><Relationship Id="rId459" Type="http://schemas.openxmlformats.org/officeDocument/2006/relationships/hyperlink" Target="https://drive.google.com/file/d/1nHpNOhTXYmD-ExLFk_FaUgIoB3nP68MW/view?usp=share_link" TargetMode="External"/><Relationship Id="rId666" Type="http://schemas.openxmlformats.org/officeDocument/2006/relationships/hyperlink" Target="https://drive.google.com/file/d/1l0IHn5eXRo157v0x8MySlKLPO1YcGP7O/view?usp=share_link" TargetMode="External"/><Relationship Id="rId873" Type="http://schemas.openxmlformats.org/officeDocument/2006/relationships/hyperlink" Target="https://drive.google.com/file/d/11cQ_qwk6aRbzA9UrydD2mP49C09peuOE/view?usp=share_link" TargetMode="External"/><Relationship Id="rId1089" Type="http://schemas.openxmlformats.org/officeDocument/2006/relationships/hyperlink" Target="https://drive.google.com/file/d/13oJCXYV89Xo1NRet9EAeI67bcj-A4z5m/view?usp=share_link" TargetMode="External"/><Relationship Id="rId1296" Type="http://schemas.openxmlformats.org/officeDocument/2006/relationships/hyperlink" Target="https://drive.google.com/file/d/1R5W10W-sKZv3IXiKdFMWpjDoBLXKPvSW/view?usp=sharing" TargetMode="External"/><Relationship Id="rId16" Type="http://schemas.openxmlformats.org/officeDocument/2006/relationships/hyperlink" Target="https://drive.google.com/file/d/1rkesT445zzKOpV6J6FHQ5ZadhleehZ0K/view?usp=sharing" TargetMode="External"/><Relationship Id="rId221" Type="http://schemas.openxmlformats.org/officeDocument/2006/relationships/hyperlink" Target="https://drive.google.com/file/d/1KfnaTKYdclHxxoxwM7pcwl3NsUucQTzr/view?usp=share_link" TargetMode="External"/><Relationship Id="rId319" Type="http://schemas.openxmlformats.org/officeDocument/2006/relationships/hyperlink" Target="https://drive.google.com/file/d/1lDOSKXrPVxmktLnNQ0CH22lt2wNISw42/view?usp=share_link" TargetMode="External"/><Relationship Id="rId526" Type="http://schemas.openxmlformats.org/officeDocument/2006/relationships/hyperlink" Target="https://drive.google.com/file/d/1bHoZXuE7c1bB1PRjsPLG47ITRtFHgSdQ/view?usp=share_link" TargetMode="External"/><Relationship Id="rId1156" Type="http://schemas.openxmlformats.org/officeDocument/2006/relationships/hyperlink" Target="https://drive.google.com/file/d/1Ej1tzECRcbKbMOLLE_94U7lqeSaDs4F9/view?usp=drive_link" TargetMode="External"/><Relationship Id="rId1363" Type="http://schemas.openxmlformats.org/officeDocument/2006/relationships/hyperlink" Target="https://drive.google.com/open?id=18HCvySRxJy--pVSPa-zsOygfqy56gvYD&amp;usp=drive_fs" TargetMode="External"/><Relationship Id="rId733" Type="http://schemas.openxmlformats.org/officeDocument/2006/relationships/hyperlink" Target="https://drive.google.com/file/d/1Iob_UwnZjH4xjTIKHMQWGwcNEzBMUba0/view?usp=share_link" TargetMode="External"/><Relationship Id="rId940" Type="http://schemas.openxmlformats.org/officeDocument/2006/relationships/hyperlink" Target="https://drive.google.com/file/d/1wzE3hefBTQtXXD59PzX0VmPQW1TLUNfr/view?usp=share_link" TargetMode="External"/><Relationship Id="rId1016" Type="http://schemas.openxmlformats.org/officeDocument/2006/relationships/hyperlink" Target="https://drive.google.com/file/d/1-Agx_ULClZ2R0HdmOnzxhn_a699QwZfv/view?usp=share_link" TargetMode="External"/><Relationship Id="rId165" Type="http://schemas.openxmlformats.org/officeDocument/2006/relationships/hyperlink" Target="https://drive.google.com/file/d/1NuuR4dTSHHz9_262MerUjlhQSt80bB4e/view?usp=sharing" TargetMode="External"/><Relationship Id="rId372" Type="http://schemas.openxmlformats.org/officeDocument/2006/relationships/hyperlink" Target="https://drive.google.com/file/d/1R5k9p21G6eCWTGZSk0BhDz-I3wjIbD7q/view?usp=share_link" TargetMode="External"/><Relationship Id="rId677" Type="http://schemas.openxmlformats.org/officeDocument/2006/relationships/hyperlink" Target="https://drive.google.com/file/d/1LWk6CSQw45dHM1NgGAYBRM5XHM54Esau/view?usp=share_link" TargetMode="External"/><Relationship Id="rId800" Type="http://schemas.openxmlformats.org/officeDocument/2006/relationships/hyperlink" Target="https://drive.google.com/file/d/1cu5CNUIxZj-s0NZHyUty8q7yMMpDdC4V/view?usp=share_link" TargetMode="External"/><Relationship Id="rId1223" Type="http://schemas.openxmlformats.org/officeDocument/2006/relationships/hyperlink" Target="https://drive.google.com/file/d/1CUVVlYGW2Ex8LAE9zprfMSK3W7cLSI72/view?usp=sharing" TargetMode="External"/><Relationship Id="rId1430" Type="http://schemas.openxmlformats.org/officeDocument/2006/relationships/hyperlink" Target="https://drive.google.com/open?id=1KH5tTiG_V-QIBmt_uMCAvQFRYyITYau6&amp;usp=drive_fs" TargetMode="External"/><Relationship Id="rId232" Type="http://schemas.openxmlformats.org/officeDocument/2006/relationships/hyperlink" Target="https://drive.google.com/file/d/1XhF2i34qeBO3d2V_rzvjCFLX3psERw0L/view?usp=share_link" TargetMode="External"/><Relationship Id="rId884" Type="http://schemas.openxmlformats.org/officeDocument/2006/relationships/hyperlink" Target="https://drive.google.com/file/d/12nA0Spsdfe5KZLpb_jQm4SWuMcFqrBVH/view?usp=share_link" TargetMode="External"/><Relationship Id="rId27" Type="http://schemas.openxmlformats.org/officeDocument/2006/relationships/hyperlink" Target="https://drive.google.com/file/d/1YJX68jjHwjQHj_gNvViFdTteCO5HB-BV/view?usp=sharing" TargetMode="External"/><Relationship Id="rId537" Type="http://schemas.openxmlformats.org/officeDocument/2006/relationships/hyperlink" Target="https://drive.google.com/file/d/129i9QhLAD4msfujY8c6PYE__Z7L5xMyD/view?usp=share_link" TargetMode="External"/><Relationship Id="rId744" Type="http://schemas.openxmlformats.org/officeDocument/2006/relationships/hyperlink" Target="https://drive.google.com/file/d/1k7pNXtNe3J9i8U4MuGfGdvDmZD2tAxKI/view?usp=share_link" TargetMode="External"/><Relationship Id="rId951" Type="http://schemas.openxmlformats.org/officeDocument/2006/relationships/hyperlink" Target="https://drive.google.com/file/d/1hYrmrNioydET-g2D1FfHsYirG_Omt2Rc/view?usp=share_link" TargetMode="External"/><Relationship Id="rId1167" Type="http://schemas.openxmlformats.org/officeDocument/2006/relationships/hyperlink" Target="https://drive.google.com/file/d/1PIsMFy_2046zZYvHw0bRXF3_jiobWL2Z/view?usp=sharing" TargetMode="External"/><Relationship Id="rId1374" Type="http://schemas.openxmlformats.org/officeDocument/2006/relationships/hyperlink" Target="https://drive.google.com/open?id=1CmC8-zn2TVXgFA9O4qfBL7BfMm8WDpYe&amp;usp=drive_fs" TargetMode="External"/><Relationship Id="rId80" Type="http://schemas.openxmlformats.org/officeDocument/2006/relationships/hyperlink" Target="https://drive.google.com/file/d/1lxiJpCuEEcHulliDTVi7VWb1R2LfOxgw/view?usp=sharing" TargetMode="External"/><Relationship Id="rId176" Type="http://schemas.openxmlformats.org/officeDocument/2006/relationships/hyperlink" Target="https://drive.google.com/file/d/1xlDwhKzDnV2UFibkYZI8ayyUUN2B1yzv/view?usp=sharing" TargetMode="External"/><Relationship Id="rId383" Type="http://schemas.openxmlformats.org/officeDocument/2006/relationships/hyperlink" Target="https://drive.google.com/file/d/16j1h_FiNB9SOGXOKfu54-dJHVoDRLcOX/view?usp=share_link" TargetMode="External"/><Relationship Id="rId590" Type="http://schemas.openxmlformats.org/officeDocument/2006/relationships/hyperlink" Target="https://drive.google.com/file/d/12TgLeUM2pFVsJLW8fVXukp6pqtkb55l6/view?usp=share_link" TargetMode="External"/><Relationship Id="rId604" Type="http://schemas.openxmlformats.org/officeDocument/2006/relationships/hyperlink" Target="https://drive.google.com/file/d/1P2TYrpTetcpejfqp2qDIAvoYplV72xBg/view?usp=share_link" TargetMode="External"/><Relationship Id="rId811" Type="http://schemas.openxmlformats.org/officeDocument/2006/relationships/hyperlink" Target="https://drive.google.com/file/d/1iSB-kWAFIFcN4CNh5bFqRDZmvb-uEqE3/view?usp=share_link" TargetMode="External"/><Relationship Id="rId1027" Type="http://schemas.openxmlformats.org/officeDocument/2006/relationships/hyperlink" Target="https://drive.google.com/file/d/1wRfqtnPSAMmj6qTM1ytobZ1KaLCn6OuY/view?usp=share_link" TargetMode="External"/><Relationship Id="rId1234" Type="http://schemas.openxmlformats.org/officeDocument/2006/relationships/hyperlink" Target="https://drive.google.com/file/d/1EoJhLKgERTSUCqZ3WWSUTl5JwiIej3G2/view?usp=sharing" TargetMode="External"/><Relationship Id="rId1441" Type="http://schemas.openxmlformats.org/officeDocument/2006/relationships/hyperlink" Target="https://drive.google.com/open?id=1Io0iz9Y62TYM6raw-aiYBmQrn56ZIjJp&amp;usp=drive_fs" TargetMode="External"/><Relationship Id="rId243" Type="http://schemas.openxmlformats.org/officeDocument/2006/relationships/hyperlink" Target="https://drive.google.com/file/d/1hUz3MfiYK1G6wVfqFbls2CyP7eUJR5YP/view?usp=share_link" TargetMode="External"/><Relationship Id="rId450" Type="http://schemas.openxmlformats.org/officeDocument/2006/relationships/hyperlink" Target="https://drive.google.com/file/d/1nqCFzwOkRdrEdf02sF4KGi1U-fBY6AuK/view?usp=share_link" TargetMode="External"/><Relationship Id="rId688" Type="http://schemas.openxmlformats.org/officeDocument/2006/relationships/hyperlink" Target="https://drive.google.com/file/d/1tvIQ8dE239dm5vXOyoNQ6zsT6zDhOO9W/view?usp=share_link" TargetMode="External"/><Relationship Id="rId895" Type="http://schemas.openxmlformats.org/officeDocument/2006/relationships/hyperlink" Target="https://drive.google.com/file/d/1roZcMJyQQQ5PVcROD8SJuajasiCQ1Hyl/view?usp=share_link" TargetMode="External"/><Relationship Id="rId909" Type="http://schemas.openxmlformats.org/officeDocument/2006/relationships/hyperlink" Target="https://drive.google.com/file/d/1Mmq0VYC2glgnuwtgYdCHtFaxPcijqTj6/view?usp=share_link" TargetMode="External"/><Relationship Id="rId1080" Type="http://schemas.openxmlformats.org/officeDocument/2006/relationships/hyperlink" Target="https://drive.google.com/file/d/1uKT2cWkTqRhlfKkk--nUhUks2T0f7umr/view?usp=share_link" TargetMode="External"/><Relationship Id="rId1301" Type="http://schemas.openxmlformats.org/officeDocument/2006/relationships/hyperlink" Target="https://drive.google.com/file/d/1H9Y7MVJgTq7RymPefchAFgbrp3on_aEo/view?usp=sharing" TargetMode="External"/><Relationship Id="rId38" Type="http://schemas.openxmlformats.org/officeDocument/2006/relationships/hyperlink" Target="https://drive.google.com/file/d/1FnlNm8vPyZICVgVetVoSkzv8pMiq_zCh/view?usp=sharing" TargetMode="External"/><Relationship Id="rId103" Type="http://schemas.openxmlformats.org/officeDocument/2006/relationships/hyperlink" Target="https://drive.google.com/file/d/1C21PW5g6i_XuEHyW_CXxbnpmXlLb2gpl/view?usp=sharing" TargetMode="External"/><Relationship Id="rId310" Type="http://schemas.openxmlformats.org/officeDocument/2006/relationships/hyperlink" Target="https://drive.google.com/file/d/1n7-_wE7LRYCIH_ctCNz0LswMYBhbJ3uQ/view?usp=share_link" TargetMode="External"/><Relationship Id="rId548" Type="http://schemas.openxmlformats.org/officeDocument/2006/relationships/hyperlink" Target="https://drive.google.com/file/d/1-Vf8T2NPW-4vn261ztf2Bpvvq-t-k3uo/view?usp=share_link" TargetMode="External"/><Relationship Id="rId755" Type="http://schemas.openxmlformats.org/officeDocument/2006/relationships/hyperlink" Target="https://drive.google.com/file/d/1W6_eR-enyvPsDgAM2_3ecKTnEGXU1v5M/view?usp=share_link" TargetMode="External"/><Relationship Id="rId962" Type="http://schemas.openxmlformats.org/officeDocument/2006/relationships/hyperlink" Target="https://drive.google.com/file/d/1KHcOYhjWnM6seQxLL2X-4iO5txPd7Bsn/view?usp=share_link" TargetMode="External"/><Relationship Id="rId1178" Type="http://schemas.openxmlformats.org/officeDocument/2006/relationships/hyperlink" Target="https://drive.google.com/file/d/1ZmMGyUqJPBuaaM7OjcbnI1XAxjO3gQIP/view?usp=sharing" TargetMode="External"/><Relationship Id="rId1385" Type="http://schemas.openxmlformats.org/officeDocument/2006/relationships/hyperlink" Target="https://drive.google.com/file/d/1IUrYpv_aqhqGVbbwovSAM_f5lx28AshU/view?usp=drive_link" TargetMode="External"/><Relationship Id="rId91" Type="http://schemas.openxmlformats.org/officeDocument/2006/relationships/hyperlink" Target="https://drive.google.com/file/d/1Bv9d-CG2qHBJjG3kjjWG6K9foamlddvT/view?usp=sharing" TargetMode="External"/><Relationship Id="rId187" Type="http://schemas.openxmlformats.org/officeDocument/2006/relationships/hyperlink" Target="https://drive.google.com/file/d/17L7JKjh6QwieJFZx0gFPhr6YpRAsYazb/view?usp=sharing" TargetMode="External"/><Relationship Id="rId394" Type="http://schemas.openxmlformats.org/officeDocument/2006/relationships/hyperlink" Target="https://drive.google.com/file/d/1DHNeECQ4swYJk2ftJD9bY5fc8AOlNiS2/view?usp=share_link" TargetMode="External"/><Relationship Id="rId408" Type="http://schemas.openxmlformats.org/officeDocument/2006/relationships/hyperlink" Target="https://drive.google.com/file/d/1thneWrykXO6TGHouWKVYzWMNKjmQ5SkU/view?usp=share_link" TargetMode="External"/><Relationship Id="rId615" Type="http://schemas.openxmlformats.org/officeDocument/2006/relationships/hyperlink" Target="https://drive.google.com/file/d/1Bts5kLe1doJ-iAvR6YWq3S8qchZkiljV/view?usp=share_link" TargetMode="External"/><Relationship Id="rId822" Type="http://schemas.openxmlformats.org/officeDocument/2006/relationships/hyperlink" Target="https://drive.google.com/file/d/1AyVna81PqfNTdeSNuBlc44CMvI0e5V3A/view?usp=share_link" TargetMode="External"/><Relationship Id="rId1038" Type="http://schemas.openxmlformats.org/officeDocument/2006/relationships/hyperlink" Target="https://drive.google.com/file/d/1hBe3t63aSfktByGQukHHL1EgZHNQwXmh/view?usp=share_link" TargetMode="External"/><Relationship Id="rId1245" Type="http://schemas.openxmlformats.org/officeDocument/2006/relationships/hyperlink" Target="https://drive.google.com/file/d/1DGoL_nbWjTTzbwyrguElT4k3qnIVG_Cz/view?usp=sharing" TargetMode="External"/><Relationship Id="rId1452" Type="http://schemas.openxmlformats.org/officeDocument/2006/relationships/hyperlink" Target="https://drive.google.com/file/d/1in-jiEZ0_qNJB1Zt10SBBC_Rc1z4CTP5/view?usp=drive_link" TargetMode="External"/><Relationship Id="rId254" Type="http://schemas.openxmlformats.org/officeDocument/2006/relationships/hyperlink" Target="https://drive.google.com/file/d/1lvF9yC7oQKtxV_N50j78EcovcjKj9_to/view?usp=share_link" TargetMode="External"/><Relationship Id="rId699" Type="http://schemas.openxmlformats.org/officeDocument/2006/relationships/hyperlink" Target="https://drive.google.com/file/d/1FKNl02viNSJGKosjd2mfnZJOhsNJQIBj/view?usp=share_link" TargetMode="External"/><Relationship Id="rId1091" Type="http://schemas.openxmlformats.org/officeDocument/2006/relationships/hyperlink" Target="https://drive.google.com/file/d/1dEmox5IZmlFol44UQgCY_gqcxql56VAl/view?usp=share_link" TargetMode="External"/><Relationship Id="rId1105" Type="http://schemas.openxmlformats.org/officeDocument/2006/relationships/hyperlink" Target="https://drive.google.com/file/d/1b6KJ_5ZxM0HGXbHKT6XKTHhwhOu2foUE/view?usp=sharing" TargetMode="External"/><Relationship Id="rId1312" Type="http://schemas.openxmlformats.org/officeDocument/2006/relationships/hyperlink" Target="https://drive.google.com/file/d/1Eu4xscce7z6v2xSGXcW-zVXYnu_xDWFP/view?usp=drive_link" TargetMode="External"/><Relationship Id="rId49" Type="http://schemas.openxmlformats.org/officeDocument/2006/relationships/hyperlink" Target="https://drive.google.com/file/d/1MbLyHvIO2uBPoXjTzPlBZsvRU1Dw2pd1/view?usp=sharing" TargetMode="External"/><Relationship Id="rId114" Type="http://schemas.openxmlformats.org/officeDocument/2006/relationships/hyperlink" Target="https://drive.google.com/file/d/1jfesvYUc3AxCyzAcQAHFtc9FCRz2L1f5/view?usp=sharing" TargetMode="External"/><Relationship Id="rId461" Type="http://schemas.openxmlformats.org/officeDocument/2006/relationships/hyperlink" Target="https://drive.google.com/file/d/1IchCuGJsUz_AvbH9FtWkrrbndp3uBLAm/view?usp=share_link" TargetMode="External"/><Relationship Id="rId559" Type="http://schemas.openxmlformats.org/officeDocument/2006/relationships/hyperlink" Target="https://drive.google.com/file/d/12iNjgRoZCg70Tyt1TWe7QDEldUZR8IrO/view?usp=share_link" TargetMode="External"/><Relationship Id="rId766" Type="http://schemas.openxmlformats.org/officeDocument/2006/relationships/hyperlink" Target="https://drive.google.com/file/d/1pZDpNby9qWQYLFifrTFLLEPUZYn4zA5s/view?usp=share_link" TargetMode="External"/><Relationship Id="rId1189" Type="http://schemas.openxmlformats.org/officeDocument/2006/relationships/hyperlink" Target="https://drive.google.com/file/d/1nijhhPw0sXjHBnWog2MxwmDbv1RQGULW/view?usp=sharing" TargetMode="External"/><Relationship Id="rId1396" Type="http://schemas.openxmlformats.org/officeDocument/2006/relationships/hyperlink" Target="https://drive.google.com/open?id=1tzioi9bw-aACwwQidWa1GSU1j7SPwo13&amp;usp=drive_fs" TargetMode="External"/><Relationship Id="rId198" Type="http://schemas.openxmlformats.org/officeDocument/2006/relationships/hyperlink" Target="https://drive.google.com/file/d/14fhxL5EdkWsG2urGUA0HPUVi6RtGVY5j/view?usp=sharing" TargetMode="External"/><Relationship Id="rId321" Type="http://schemas.openxmlformats.org/officeDocument/2006/relationships/hyperlink" Target="https://drive.google.com/file/d/1JMiHzWYtYH4uk1khrUQNWHLPtf3u1cjQ/view?usp=share_link" TargetMode="External"/><Relationship Id="rId419" Type="http://schemas.openxmlformats.org/officeDocument/2006/relationships/hyperlink" Target="https://drive.google.com/file/d/1Er9u2bK4RqlXYTD6cfzAIjC1NUq_VmNf/view?usp=share_link" TargetMode="External"/><Relationship Id="rId626" Type="http://schemas.openxmlformats.org/officeDocument/2006/relationships/hyperlink" Target="https://drive.google.com/file/d/1P-b43ulkhiDMDabijt-0skkpxqqL7sKO/view?usp=share_link" TargetMode="External"/><Relationship Id="rId973" Type="http://schemas.openxmlformats.org/officeDocument/2006/relationships/hyperlink" Target="https://drive.google.com/file/d/1_0-oZIRjaoXZhmxz_40Fow4e-phSrLAO/view?usp=share_link" TargetMode="External"/><Relationship Id="rId1049" Type="http://schemas.openxmlformats.org/officeDocument/2006/relationships/hyperlink" Target="https://drive.google.com/file/d/1CkRdIPzznaXUhNyBVvM9G1WNgcQV0Jur/view?usp=sharing" TargetMode="External"/><Relationship Id="rId1256" Type="http://schemas.openxmlformats.org/officeDocument/2006/relationships/hyperlink" Target="https://drive.google.com/file/d/1EpaWSrH4qOXY_ax2WnHdKhDlcJSb63v3/view?usp=sharing" TargetMode="External"/><Relationship Id="rId833" Type="http://schemas.openxmlformats.org/officeDocument/2006/relationships/hyperlink" Target="https://drive.google.com/file/d/1NC4_5Usk98SnDOACoWfsbAq9LJiTSU5q/view?usp=share_link" TargetMode="External"/><Relationship Id="rId1116" Type="http://schemas.openxmlformats.org/officeDocument/2006/relationships/hyperlink" Target="https://drive.google.com/file/d/1Id3NdFvBqGu3zfKvBHQJ4ZffdaOn1LYV/view?usp=share_link" TargetMode="External"/><Relationship Id="rId1463" Type="http://schemas.openxmlformats.org/officeDocument/2006/relationships/hyperlink" Target="https://drive.google.com/file/d/1D_UvUC-IhgT7ss7FuWZBLktuoh0LKOGc/view?usp=drive_link" TargetMode="External"/><Relationship Id="rId265" Type="http://schemas.openxmlformats.org/officeDocument/2006/relationships/hyperlink" Target="https://drive.google.com/file/d/1b6pbEAXBUeA4wLUAD6AxDNC29A5r4In5/view?usp=share_link" TargetMode="External"/><Relationship Id="rId472" Type="http://schemas.openxmlformats.org/officeDocument/2006/relationships/hyperlink" Target="https://drive.google.com/file/d/1jJDqd5SmDVdBTGSHRrTib5_acgWbshUU/view?usp=share_link" TargetMode="External"/><Relationship Id="rId900" Type="http://schemas.openxmlformats.org/officeDocument/2006/relationships/hyperlink" Target="https://drive.google.com/file/d/1XRHyhEl8DUHebSzOG0QQhWNbTVgCNnG8/view?usp=share_link" TargetMode="External"/><Relationship Id="rId1323" Type="http://schemas.openxmlformats.org/officeDocument/2006/relationships/hyperlink" Target="https://drive.google.com/file/d/1kQONbpzQyZG-SvXrLNduGjfoyPufBjgh/view?usp=sharing" TargetMode="External"/><Relationship Id="rId125" Type="http://schemas.openxmlformats.org/officeDocument/2006/relationships/hyperlink" Target="https://drive.google.com/file/d/1vP_VVcbOFW4LNIZIbXltzImNH_ubLlHz/view?usp=sharing" TargetMode="External"/><Relationship Id="rId332" Type="http://schemas.openxmlformats.org/officeDocument/2006/relationships/hyperlink" Target="https://drive.google.com/file/d/1Veup_KAYQI4-sT2rxC_RgIigAvc4rMC-/view?usp=share_link" TargetMode="External"/><Relationship Id="rId777" Type="http://schemas.openxmlformats.org/officeDocument/2006/relationships/hyperlink" Target="https://drive.google.com/file/d/1zz_yAX2KiBOHiBTjSWcm_pM_QybC4_Tc/view?usp=share_link" TargetMode="External"/><Relationship Id="rId984" Type="http://schemas.openxmlformats.org/officeDocument/2006/relationships/hyperlink" Target="https://drive.google.com/file/d/16Sur1pnFj26n_2C-sAx49tGDlZ53swkM/view?usp=share_link" TargetMode="External"/><Relationship Id="rId637" Type="http://schemas.openxmlformats.org/officeDocument/2006/relationships/hyperlink" Target="https://drive.google.com/file/d/1BuzuxxstlaKQaNoSqnX7Yi4irWwPqX4T/view?usp=share_link" TargetMode="External"/><Relationship Id="rId844" Type="http://schemas.openxmlformats.org/officeDocument/2006/relationships/hyperlink" Target="https://drive.google.com/file/d/10JKtDA7g340hpiL6fsiF72KpbWviUJ5P/view?usp=share_link" TargetMode="External"/><Relationship Id="rId1267" Type="http://schemas.openxmlformats.org/officeDocument/2006/relationships/hyperlink" Target="https://drive.google.com/file/d/18I64qaJ6od2AlqrHC0TOvkHyvOw7ajK0/view?usp=sharing" TargetMode="External"/><Relationship Id="rId1474" Type="http://schemas.openxmlformats.org/officeDocument/2006/relationships/hyperlink" Target="https://drive.google.com/open?id=1fxgpPQro8EE8_eaXtVU19AHmFLFgvuP7&amp;usp=drive_fs" TargetMode="External"/><Relationship Id="rId276" Type="http://schemas.openxmlformats.org/officeDocument/2006/relationships/hyperlink" Target="https://drive.google.com/file/d/1-wO_kHbkt6iJuiayx-KHiETteakghC8B/view?usp=share_link" TargetMode="External"/><Relationship Id="rId483" Type="http://schemas.openxmlformats.org/officeDocument/2006/relationships/hyperlink" Target="https://drive.google.com/file/d/1fvd66NkgxFnxFMQtO8wJq_8NXXKi2-in/view?usp=share_link" TargetMode="External"/><Relationship Id="rId690" Type="http://schemas.openxmlformats.org/officeDocument/2006/relationships/hyperlink" Target="https://drive.google.com/file/d/1mOOWj1PRqTdV87z5cfRpJOWwTTFVfwSW/view?usp=share_link" TargetMode="External"/><Relationship Id="rId704" Type="http://schemas.openxmlformats.org/officeDocument/2006/relationships/hyperlink" Target="https://drive.google.com/file/d/1Rq61aJIrd1ZePnwdJYnA7_COdXahPd7X/view?usp=share_link" TargetMode="External"/><Relationship Id="rId911" Type="http://schemas.openxmlformats.org/officeDocument/2006/relationships/hyperlink" Target="https://drive.google.com/file/d/1r0I0C9enCRIWtlxN24HfJNCPR-lY5f58/view?usp=share_link" TargetMode="External"/><Relationship Id="rId1127" Type="http://schemas.openxmlformats.org/officeDocument/2006/relationships/hyperlink" Target="https://drive.google.com/file/d/1JHRUailsl9kCEusIAfyghfx2R2NzFNEL/view?usp=share_link" TargetMode="External"/><Relationship Id="rId1334" Type="http://schemas.openxmlformats.org/officeDocument/2006/relationships/hyperlink" Target="https://drive.google.com/file/d/1gOw4tPZpNTKEPqLtlZOuNrO6WUENTt0H/view?usp=sharing" TargetMode="External"/><Relationship Id="rId40" Type="http://schemas.openxmlformats.org/officeDocument/2006/relationships/hyperlink" Target="https://drive.google.com/file/d/1ze5U-7cMG1RhzGsdom4xapC4912p_NKT/view?usp=sharing" TargetMode="External"/><Relationship Id="rId136" Type="http://schemas.openxmlformats.org/officeDocument/2006/relationships/hyperlink" Target="https://drive.google.com/file/d/1KtDlaR3yTEQLcqV7qmHYpTNufw9xe0GM/view?usp=sharing" TargetMode="External"/><Relationship Id="rId343" Type="http://schemas.openxmlformats.org/officeDocument/2006/relationships/hyperlink" Target="https://drive.google.com/file/d/1IsDm5YHFOsVj96AJZy8TQWp1jWOrRqC7/view?usp=share_link" TargetMode="External"/><Relationship Id="rId550" Type="http://schemas.openxmlformats.org/officeDocument/2006/relationships/hyperlink" Target="https://drive.google.com/file/d/1EqIP87P_i5-WtFg4OAXeOCRetnmP12D2/view?usp=share_link" TargetMode="External"/><Relationship Id="rId788" Type="http://schemas.openxmlformats.org/officeDocument/2006/relationships/hyperlink" Target="https://drive.google.com/file/d/1AjE_QpL21wKcEaNd0j-_8V13ZDmSLmoW/view?usp=share_link" TargetMode="External"/><Relationship Id="rId995" Type="http://schemas.openxmlformats.org/officeDocument/2006/relationships/hyperlink" Target="https://drive.google.com/file/d/1IvALD4VxVFsqkbaZEAKj-5kkPTfPu4Jb/view?usp=share_link" TargetMode="External"/><Relationship Id="rId1180" Type="http://schemas.openxmlformats.org/officeDocument/2006/relationships/hyperlink" Target="https://drive.google.com/file/d/1SxtG2OdOBp0YXb6vm1p03v8hQuZ8Nd3q/view?usp=sharing" TargetMode="External"/><Relationship Id="rId1401" Type="http://schemas.openxmlformats.org/officeDocument/2006/relationships/hyperlink" Target="https://drive.google.com/open?id=1ql5YdWCtXCwJSW-m84QBYNkG9NDRoJ4o&amp;usp=drive_fs" TargetMode="External"/><Relationship Id="rId203" Type="http://schemas.openxmlformats.org/officeDocument/2006/relationships/hyperlink" Target="https://drive.google.com/file/d/1NZZ3hVYHNTV954H5kgUZuoVAv65NBPa3/view?usp=share_link" TargetMode="External"/><Relationship Id="rId648" Type="http://schemas.openxmlformats.org/officeDocument/2006/relationships/hyperlink" Target="https://drive.google.com/file/d/1uT6irBww582s2Chqj5MgHBlgD4kBsHc_/view?usp=share_link" TargetMode="External"/><Relationship Id="rId855" Type="http://schemas.openxmlformats.org/officeDocument/2006/relationships/hyperlink" Target="https://drive.google.com/file/d/1epGOEo7EtAfw0Q85MGVfMkIJmSDcGxDU/view?usp=share_link" TargetMode="External"/><Relationship Id="rId1040" Type="http://schemas.openxmlformats.org/officeDocument/2006/relationships/hyperlink" Target="https://drive.google.com/file/d/1mDKbwcX5VOXEE8vsAA1z3UWSnbJQH97w/view?usp=share_link" TargetMode="External"/><Relationship Id="rId1278" Type="http://schemas.openxmlformats.org/officeDocument/2006/relationships/hyperlink" Target="https://drive.google.com/file/d/1FL3HGKlDWoFg__ZOZ8fgoUYGZcFAu-pw/view?usp=sharing" TargetMode="External"/><Relationship Id="rId1485" Type="http://schemas.openxmlformats.org/officeDocument/2006/relationships/hyperlink" Target="https://drive.google.com/open?id=18GBGUavinIOw2_RufCHVriJ168-oWUxS&amp;usp=drive_fs" TargetMode="External"/><Relationship Id="rId287" Type="http://schemas.openxmlformats.org/officeDocument/2006/relationships/hyperlink" Target="https://drive.google.com/file/d/1YT0pyPi6PU_eTcVtyyGyq7iHsRvtSPV6/view?usp=share_link" TargetMode="External"/><Relationship Id="rId410" Type="http://schemas.openxmlformats.org/officeDocument/2006/relationships/hyperlink" Target="https://drive.google.com/file/d/17EaIsRZdCoVZtyITdEcXoFws6cXmJN9L/view?usp=share_link" TargetMode="External"/><Relationship Id="rId494" Type="http://schemas.openxmlformats.org/officeDocument/2006/relationships/hyperlink" Target="https://drive.google.com/file/d/1n58BwS7_fGPMqJZwA00nWRXgrc39lGLM/view?usp=share_link" TargetMode="External"/><Relationship Id="rId508" Type="http://schemas.openxmlformats.org/officeDocument/2006/relationships/hyperlink" Target="https://drive.google.com/file/d/14v3qxM05S0PctXJ8BFq6PYrxsqqIJsUk/view?usp=share_link" TargetMode="External"/><Relationship Id="rId715" Type="http://schemas.openxmlformats.org/officeDocument/2006/relationships/hyperlink" Target="https://drive.google.com/file/d/1QL4Kl-dF-un6MscKAlIKKuW6Jn7OavnM/view?usp=share_link" TargetMode="External"/><Relationship Id="rId922" Type="http://schemas.openxmlformats.org/officeDocument/2006/relationships/hyperlink" Target="https://drive.google.com/file/d/19idzsxpqwbbg5C0r9w1IYlcP6hN5q0JF/view?usp=share_link" TargetMode="External"/><Relationship Id="rId1138" Type="http://schemas.openxmlformats.org/officeDocument/2006/relationships/hyperlink" Target="https://drive.google.com/file/d/104lMs-2ThOEnf0oIT6NwM9WY3HRbnOxP/view?usp=share_link" TargetMode="External"/><Relationship Id="rId1345" Type="http://schemas.openxmlformats.org/officeDocument/2006/relationships/hyperlink" Target="https://drive.google.com/open?id=11Oq9HS_5N9RzKH6MBcxm-BJq_cQDMsXi&amp;usp=drive_fs" TargetMode="External"/><Relationship Id="rId147" Type="http://schemas.openxmlformats.org/officeDocument/2006/relationships/hyperlink" Target="https://drive.google.com/file/d/1orSPz4ffTyNVmFb9Yyt6wuywRwtlbqac/view?usp=sharing" TargetMode="External"/><Relationship Id="rId354" Type="http://schemas.openxmlformats.org/officeDocument/2006/relationships/hyperlink" Target="https://drive.google.com/file/d/1XCdz0Q7IPQBDNljgjEQL2GarcQsbqgMl/view?usp=share_link" TargetMode="External"/><Relationship Id="rId799" Type="http://schemas.openxmlformats.org/officeDocument/2006/relationships/hyperlink" Target="https://drive.google.com/file/d/1OzxRRx2d_K4sEd71b4nFJ8OT4S5W_wMm/view?usp=share_link" TargetMode="External"/><Relationship Id="rId1191" Type="http://schemas.openxmlformats.org/officeDocument/2006/relationships/hyperlink" Target="https://drive.google.com/file/d/1jiqIwpOVNoxGGo1LwFQkTq_4OBcpUx0q/view?usp=sharing" TargetMode="External"/><Relationship Id="rId1205" Type="http://schemas.openxmlformats.org/officeDocument/2006/relationships/hyperlink" Target="https://drive.google.com/file/d/1CLXhAhfGWfaahIXB3-jiPX_NZxdIdK3T/view?usp=sharing" TargetMode="External"/><Relationship Id="rId51" Type="http://schemas.openxmlformats.org/officeDocument/2006/relationships/hyperlink" Target="https://drive.google.com/file/d/1t0OpVpigiAe0fvaZ6vw_Z-SjiUNa-F6o/view?usp=sharing" TargetMode="External"/><Relationship Id="rId561" Type="http://schemas.openxmlformats.org/officeDocument/2006/relationships/hyperlink" Target="https://drive.google.com/file/d/1C0FNstAnsshfw7JwfXQl8US3q5oGNg2L/view?usp=share_link" TargetMode="External"/><Relationship Id="rId659" Type="http://schemas.openxmlformats.org/officeDocument/2006/relationships/hyperlink" Target="https://drive.google.com/file/d/1Xpp8ZVkLzRNiO3-GMKgexRKR_Vgfa0bg/view?usp=share_link" TargetMode="External"/><Relationship Id="rId866" Type="http://schemas.openxmlformats.org/officeDocument/2006/relationships/hyperlink" Target="https://drive.google.com/file/d/1IQEXFg_7GUU6E03_o-5oF2DQZ7TDn72C/view?usp=share_link" TargetMode="External"/><Relationship Id="rId1289" Type="http://schemas.openxmlformats.org/officeDocument/2006/relationships/hyperlink" Target="https://drive.google.com/file/d/1G4smoYp7DY6ZmBcc71G5yx1B9Qyqh84C/view?usp=sharing" TargetMode="External"/><Relationship Id="rId1412" Type="http://schemas.openxmlformats.org/officeDocument/2006/relationships/hyperlink" Target="https://drive.google.com/open?id=1qLNwsH9OJh4eBeK0733aYWR0LfWa8YIK&amp;usp=drive_fs" TargetMode="External"/><Relationship Id="rId214" Type="http://schemas.openxmlformats.org/officeDocument/2006/relationships/hyperlink" Target="https://drive.google.com/file/d/1UXcUNdtzFAmF6oO4o0s8DVi1eWWaFGBS/view?usp=share_link" TargetMode="External"/><Relationship Id="rId298" Type="http://schemas.openxmlformats.org/officeDocument/2006/relationships/hyperlink" Target="https://drive.google.com/file/d/1ivTydqeJKOJSw1X0l7D3LsCOQN2-5tuT/view?usp=share_link" TargetMode="External"/><Relationship Id="rId421" Type="http://schemas.openxmlformats.org/officeDocument/2006/relationships/hyperlink" Target="https://drive.google.com/file/d/1DpLiHawG8wspVMoegYrSPbzW48X9jsSK/view?usp=share_link" TargetMode="External"/><Relationship Id="rId519" Type="http://schemas.openxmlformats.org/officeDocument/2006/relationships/hyperlink" Target="https://drive.google.com/file/d/1jclVR24mvEK8MgTOJveRzEmbENfugjg6/view?usp=share_link" TargetMode="External"/><Relationship Id="rId1051" Type="http://schemas.openxmlformats.org/officeDocument/2006/relationships/hyperlink" Target="https://drive.google.com/file/d/1gaGzXu70T44zBTzaHji_uGdpPvvT7gjb/view?usp=sharing" TargetMode="External"/><Relationship Id="rId1149" Type="http://schemas.openxmlformats.org/officeDocument/2006/relationships/hyperlink" Target="https://drive.google.com/file/d/10BmHkWcdWLSrQ1vjbXEvvoFAE1drsAFo/view?usp=share_link" TargetMode="External"/><Relationship Id="rId1356" Type="http://schemas.openxmlformats.org/officeDocument/2006/relationships/hyperlink" Target="https://drive.google.com/open?id=17BplNJNTw7KGB_AOHrhWewD_S1M2A78Q&amp;usp=drive_fs" TargetMode="External"/><Relationship Id="rId158" Type="http://schemas.openxmlformats.org/officeDocument/2006/relationships/hyperlink" Target="https://drive.google.com/file/d/1ZbM7l-Qjf63Z9PyWaHlenN4RLkIdISzz/view?usp=sharing" TargetMode="External"/><Relationship Id="rId726" Type="http://schemas.openxmlformats.org/officeDocument/2006/relationships/hyperlink" Target="https://drive.google.com/file/d/1llDdP4P4R2BIWOZrhPJryI4ensaGGHXJ/view?usp=share_link" TargetMode="External"/><Relationship Id="rId933" Type="http://schemas.openxmlformats.org/officeDocument/2006/relationships/hyperlink" Target="https://drive.google.com/file/d/1235FTCuDzpnUV2pNeBhYIeVzVVGTzZ_s/view?usp=share_link" TargetMode="External"/><Relationship Id="rId1009" Type="http://schemas.openxmlformats.org/officeDocument/2006/relationships/hyperlink" Target="https://drive.google.com/file/d/1Q2VPBmhZm1g_26Qj2aVqAH-w2tSATS-c/view?usp=share_link" TargetMode="External"/><Relationship Id="rId62" Type="http://schemas.openxmlformats.org/officeDocument/2006/relationships/hyperlink" Target="https://drive.google.com/file/d/1PeCeOrdsbunRJHZzpU176D-LUAVhmgIb/view?usp=sharing" TargetMode="External"/><Relationship Id="rId365" Type="http://schemas.openxmlformats.org/officeDocument/2006/relationships/hyperlink" Target="https://drive.google.com/file/d/1YTdjqd-16C-73QsM2RGoTvxIMF71ymI7/view?usp=share_link" TargetMode="External"/><Relationship Id="rId572" Type="http://schemas.openxmlformats.org/officeDocument/2006/relationships/hyperlink" Target="https://drive.google.com/file/d/1V0Od56hHfRwporjTwfbRFpj2O6UGW4Rc/view?usp=share_link" TargetMode="External"/><Relationship Id="rId1216" Type="http://schemas.openxmlformats.org/officeDocument/2006/relationships/hyperlink" Target="https://drive.google.com/file/d/1XFyLXZ-1cs1Mvd8jdCK5RQEvj3E7iIYm/view?usp=sharing" TargetMode="External"/><Relationship Id="rId1423" Type="http://schemas.openxmlformats.org/officeDocument/2006/relationships/hyperlink" Target="https://drive.google.com/open?id=1HSL8zBLimA44sM7i-XFFdEo31QFlHqbS&amp;usp=drive_fs" TargetMode="External"/><Relationship Id="rId225" Type="http://schemas.openxmlformats.org/officeDocument/2006/relationships/hyperlink" Target="https://drive.google.com/file/d/1i_Yy-z4s_gZ2xMJR-0hijshEB3-goPdF/view?usp=share_link" TargetMode="External"/><Relationship Id="rId432" Type="http://schemas.openxmlformats.org/officeDocument/2006/relationships/hyperlink" Target="https://drive.google.com/file/d/1SipMHOXu-I4i4u4T96Te19myD8LkoNGV/view?usp=share_link" TargetMode="External"/><Relationship Id="rId877" Type="http://schemas.openxmlformats.org/officeDocument/2006/relationships/hyperlink" Target="https://drive.google.com/file/d/1yDn64dCBfao8NJOI0B7BaDEOzY0DV0pg/view?usp=share_link" TargetMode="External"/><Relationship Id="rId1062" Type="http://schemas.openxmlformats.org/officeDocument/2006/relationships/hyperlink" Target="https://drive.google.com/file/d/1OKiQAXhJtX54t8RsqCpLq648oeD4F7Bg/view?usp=sharing" TargetMode="External"/><Relationship Id="rId737" Type="http://schemas.openxmlformats.org/officeDocument/2006/relationships/hyperlink" Target="https://drive.google.com/file/d/1xM9nk5EfCr9VfRR-5hn5x4_FiZ5vtmYY/view?usp=share_link" TargetMode="External"/><Relationship Id="rId944" Type="http://schemas.openxmlformats.org/officeDocument/2006/relationships/hyperlink" Target="https://drive.google.com/file/d/1h7T549QTxDy3coJqY9wRq2qI6LB650Jn/view?usp=share_link" TargetMode="External"/><Relationship Id="rId1367" Type="http://schemas.openxmlformats.org/officeDocument/2006/relationships/hyperlink" Target="https://drive.google.com/open?id=18wtOzbSN2xlOrHVSwMkHU2FCI6bMtFCu&amp;usp=drive_fs" TargetMode="External"/><Relationship Id="rId73" Type="http://schemas.openxmlformats.org/officeDocument/2006/relationships/hyperlink" Target="https://drive.google.com/file/d/1zxJQTgG2_L_1uFTTzqA_qb2jQIBTHhu8/view?usp=sharing" TargetMode="External"/><Relationship Id="rId169" Type="http://schemas.openxmlformats.org/officeDocument/2006/relationships/hyperlink" Target="https://drive.google.com/file/d/1bi2q2STHTytNn7-r51HMlYDaERfkxj1o/view?usp=sharing" TargetMode="External"/><Relationship Id="rId376" Type="http://schemas.openxmlformats.org/officeDocument/2006/relationships/hyperlink" Target="https://drive.google.com/file/d/1UTJesIcW9EllCKrcU-9QPZwyVyMejrjv/view?usp=share_link" TargetMode="External"/><Relationship Id="rId583" Type="http://schemas.openxmlformats.org/officeDocument/2006/relationships/hyperlink" Target="https://drive.google.com/file/d/1RH4D200qKzdg3nlZ5oMtwPma1UZ60lkJ/view?usp=share_link" TargetMode="External"/><Relationship Id="rId790" Type="http://schemas.openxmlformats.org/officeDocument/2006/relationships/hyperlink" Target="https://drive.google.com/file/d/1kw3LxAh21oqhlNMmn-bvZk1I6r9-Yxp6/view?usp=share_link" TargetMode="External"/><Relationship Id="rId804" Type="http://schemas.openxmlformats.org/officeDocument/2006/relationships/hyperlink" Target="https://drive.google.com/file/d/1HfMbd8EnchoNU3fvN0w1Hr0OaSryu4de/view?usp=share_link" TargetMode="External"/><Relationship Id="rId1227" Type="http://schemas.openxmlformats.org/officeDocument/2006/relationships/hyperlink" Target="https://drive.google.com/file/d/1CIHi4uO87Vs2c9btRZuECV2SwAUMukY3/view?usp=sharing" TargetMode="External"/><Relationship Id="rId1434" Type="http://schemas.openxmlformats.org/officeDocument/2006/relationships/hyperlink" Target="https://drive.google.com/open?id=1HnFehh3YUWDH4vn3FeUU_IaurJQVYfIh&amp;usp=drive_fs" TargetMode="External"/><Relationship Id="rId4" Type="http://schemas.openxmlformats.org/officeDocument/2006/relationships/hyperlink" Target="https://drive.google.com/file/d/16HzbT2-uuP_AfyQwv5eYIel6iaJaQQSI/view?usp=sharing" TargetMode="External"/><Relationship Id="rId236" Type="http://schemas.openxmlformats.org/officeDocument/2006/relationships/hyperlink" Target="https://drive.google.com/file/d/1R8Ep11JBaHkQXdrEPHW31vKxX6yqgEbm/view?usp=share_link" TargetMode="External"/><Relationship Id="rId443" Type="http://schemas.openxmlformats.org/officeDocument/2006/relationships/hyperlink" Target="https://drive.google.com/file/d/1fTUbWygpeA0Cur0g92q7MDb01YAzNNsF/view?usp=share_link" TargetMode="External"/><Relationship Id="rId650" Type="http://schemas.openxmlformats.org/officeDocument/2006/relationships/hyperlink" Target="https://drive.google.com/file/d/1LHcLWb02xA4Gqb3iuZvfGCvAWNdh3744/view?usp=share_link" TargetMode="External"/><Relationship Id="rId888" Type="http://schemas.openxmlformats.org/officeDocument/2006/relationships/hyperlink" Target="https://drive.google.com/file/d/1otdvI75nPhEXn7HNUl3vgFtXf24hF_gH/view?usp=share_link" TargetMode="External"/><Relationship Id="rId1073" Type="http://schemas.openxmlformats.org/officeDocument/2006/relationships/hyperlink" Target="https://drive.google.com/file/d/1XsTWUz-PD2HDblBuIhFai4Fj5MTlg7bx/view?usp=share_link" TargetMode="External"/><Relationship Id="rId1280" Type="http://schemas.openxmlformats.org/officeDocument/2006/relationships/hyperlink" Target="https://drive.google.com/file/d/1FQJFu_2MmCxfE65iz6PYeSO3xfpzHnEp/view?usp=sharing" TargetMode="External"/><Relationship Id="rId303" Type="http://schemas.openxmlformats.org/officeDocument/2006/relationships/hyperlink" Target="https://drive.google.com/file/d/1ilyqCkuWwZYdAwJKB2T3adGKZunwgegV/view?usp=share_link" TargetMode="External"/><Relationship Id="rId748" Type="http://schemas.openxmlformats.org/officeDocument/2006/relationships/hyperlink" Target="https://drive.google.com/file/d/1ATv2TfOqhWgQ9BDMXrqsJlEuy4wdrd9b/view?usp=share_link" TargetMode="External"/><Relationship Id="rId955" Type="http://schemas.openxmlformats.org/officeDocument/2006/relationships/hyperlink" Target="https://drive.google.com/file/d/1pZo4Zn7rHddz9v-9-030f33wGYPgwA0Z/view?usp=share_link" TargetMode="External"/><Relationship Id="rId1140" Type="http://schemas.openxmlformats.org/officeDocument/2006/relationships/hyperlink" Target="https://drive.google.com/file/d/10IZNBGrptgmpBWnOVjwkRRh69IGrXJbH/view?usp=share_link" TargetMode="External"/><Relationship Id="rId1378" Type="http://schemas.openxmlformats.org/officeDocument/2006/relationships/hyperlink" Target="https://drive.google.com/open?id=13Wi-nyqfyyrmxXz1JGKZTvOU1qeqv0VA&amp;usp=drive_fs" TargetMode="External"/><Relationship Id="rId84" Type="http://schemas.openxmlformats.org/officeDocument/2006/relationships/hyperlink" Target="https://drive.google.com/file/d/1xT5iP_TXZOA8m5F1XbE1xdIvePEXngx-/view?usp=sharing" TargetMode="External"/><Relationship Id="rId387" Type="http://schemas.openxmlformats.org/officeDocument/2006/relationships/hyperlink" Target="https://drive.google.com/file/d/1w-DPSGSsLj51Zn-7BxyM7rLfNXRc5BuR/view?usp=share_link" TargetMode="External"/><Relationship Id="rId510" Type="http://schemas.openxmlformats.org/officeDocument/2006/relationships/hyperlink" Target="https://drive.google.com/file/d/1kupjHm9ku1K242OBF2D_kcvVRIlui-ye/view?usp=share_link" TargetMode="External"/><Relationship Id="rId594" Type="http://schemas.openxmlformats.org/officeDocument/2006/relationships/hyperlink" Target="https://drive.google.com/file/d/1_2gb6P0Zfa7VzIU4e0NRUnqvtXXj2eKe/view?usp=share_link" TargetMode="External"/><Relationship Id="rId608" Type="http://schemas.openxmlformats.org/officeDocument/2006/relationships/hyperlink" Target="https://drive.google.com/file/d/1MVAtQXoElPZm7yePZp7vLhtFbtEiKHJH/view?usp=share_link" TargetMode="External"/><Relationship Id="rId815" Type="http://schemas.openxmlformats.org/officeDocument/2006/relationships/hyperlink" Target="https://drive.google.com/file/d/1D56qJ8dWzJYz_kbkqF3Kw2kr8cYdnoZr/view?usp=share_link" TargetMode="External"/><Relationship Id="rId1238" Type="http://schemas.openxmlformats.org/officeDocument/2006/relationships/hyperlink" Target="https://drive.google.com/file/d/1CtwfpTVr1h0nLDr-O7g72aS6Vr8ikOCi/view?usp=sharing" TargetMode="External"/><Relationship Id="rId1445" Type="http://schemas.openxmlformats.org/officeDocument/2006/relationships/hyperlink" Target="https://drive.google.com/open?id=1Hd1IJParm7p4jyKunbbhtkzrErxtnK_B&amp;usp=drive_fs" TargetMode="External"/><Relationship Id="rId247" Type="http://schemas.openxmlformats.org/officeDocument/2006/relationships/hyperlink" Target="https://drive.google.com/file/d/1gJQDs0PMz2Iz_r9Muc1D2_cfmytIYKbH/view?usp=share_link" TargetMode="External"/><Relationship Id="rId899" Type="http://schemas.openxmlformats.org/officeDocument/2006/relationships/hyperlink" Target="https://drive.google.com/file/d/1v0xhOqFK2nPVXeocCcpk5sZXVpqGYlWC/view?usp=share_link" TargetMode="External"/><Relationship Id="rId1000" Type="http://schemas.openxmlformats.org/officeDocument/2006/relationships/hyperlink" Target="https://drive.google.com/file/d/157lkNzWVz400oJBI6Ocn7Z2OcZMa4OQ9/view?usp=share_link" TargetMode="External"/><Relationship Id="rId1084" Type="http://schemas.openxmlformats.org/officeDocument/2006/relationships/hyperlink" Target="https://drive.google.com/file/d/1Aab5FR5JxdEqQNEQCIgcCUIN4TX50rws/view?usp=share_link" TargetMode="External"/><Relationship Id="rId1305" Type="http://schemas.openxmlformats.org/officeDocument/2006/relationships/hyperlink" Target="https://drive.google.com/file/d/1EP2a7glGzWSiZ1dDBzm0XDG0ky_UhHkv/view?usp=drive_link" TargetMode="External"/><Relationship Id="rId107" Type="http://schemas.openxmlformats.org/officeDocument/2006/relationships/hyperlink" Target="https://drive.google.com/file/d/1jXGmt6p4DFRNKoKK14sPuxuJq4zN4m4J/view?usp=sharing" TargetMode="External"/><Relationship Id="rId454" Type="http://schemas.openxmlformats.org/officeDocument/2006/relationships/hyperlink" Target="https://drive.google.com/file/d/1vs40YLaENNA2rX_gBFOgo-9vqibS-3Hj/view?usp=share_link" TargetMode="External"/><Relationship Id="rId661" Type="http://schemas.openxmlformats.org/officeDocument/2006/relationships/hyperlink" Target="https://drive.google.com/file/d/1QJgTBGFrnzSRJfm7_ye5CWBAq2ojQnUX/view?usp=share_link" TargetMode="External"/><Relationship Id="rId759" Type="http://schemas.openxmlformats.org/officeDocument/2006/relationships/hyperlink" Target="https://drive.google.com/file/d/1lqRCxiPfdGRWD7VQVFd40OIo1DFTGW7J/view?usp=share_link" TargetMode="External"/><Relationship Id="rId966" Type="http://schemas.openxmlformats.org/officeDocument/2006/relationships/hyperlink" Target="https://drive.google.com/file/d/1W1bcrims3fcRJLYPtmkZ_dUf86UhHTqx/view?usp=share_link" TargetMode="External"/><Relationship Id="rId1291" Type="http://schemas.openxmlformats.org/officeDocument/2006/relationships/hyperlink" Target="https://drive.google.com/file/d/1GDtHJqMf6LZ6CNsmQK21_ekvJHdq-bmQ/view?usp=sharing" TargetMode="External"/><Relationship Id="rId1389" Type="http://schemas.openxmlformats.org/officeDocument/2006/relationships/hyperlink" Target="https://drive.google.com/open?id=1qpByPEBASKRPF_kH9LjCdUKJWRnaOh32&amp;usp=drive_fs" TargetMode="External"/><Relationship Id="rId11" Type="http://schemas.openxmlformats.org/officeDocument/2006/relationships/hyperlink" Target="https://drive.google.com/file/d/1c1iQxz_04DG3uR3Xv6Kvdl_Jr5_9YhLS/view?usp=sharing" TargetMode="External"/><Relationship Id="rId314" Type="http://schemas.openxmlformats.org/officeDocument/2006/relationships/hyperlink" Target="https://drive.google.com/file/d/19LR-AO5U2ZghkyXeZ4n3CwrjboitlFIO/view?usp=share_link" TargetMode="External"/><Relationship Id="rId398" Type="http://schemas.openxmlformats.org/officeDocument/2006/relationships/hyperlink" Target="https://drive.google.com/file/d/1GO8QeLnN-7wo30YQZDygHcrs-ZT8I6FK/view?usp=share_link" TargetMode="External"/><Relationship Id="rId521" Type="http://schemas.openxmlformats.org/officeDocument/2006/relationships/hyperlink" Target="https://drive.google.com/file/d/1CTNcyDvuI6z2X-xCU9TRU4l8s4ex7JLb/view?usp=share_link" TargetMode="External"/><Relationship Id="rId619" Type="http://schemas.openxmlformats.org/officeDocument/2006/relationships/hyperlink" Target="https://drive.google.com/file/d/1i3tYeWJzL-Rbg082FIdzno6QubA_FZaX/view?usp=share_link" TargetMode="External"/><Relationship Id="rId1151" Type="http://schemas.openxmlformats.org/officeDocument/2006/relationships/hyperlink" Target="https://drive.google.com/file/d/115TtM2E3yMXmHu415_Uzzb6xOO1n335I/view?usp=drive_link" TargetMode="External"/><Relationship Id="rId1249" Type="http://schemas.openxmlformats.org/officeDocument/2006/relationships/hyperlink" Target="https://drive.google.com/file/d/165sylN-tFeU-3RfPe7r0b8fLUSNNV3lr/view?usp=sharing" TargetMode="External"/><Relationship Id="rId95" Type="http://schemas.openxmlformats.org/officeDocument/2006/relationships/hyperlink" Target="https://drive.google.com/file/d/1eFrUj-6X9lOYwXigFbGeA4btxlaTBOcc/view?usp=sharing" TargetMode="External"/><Relationship Id="rId160" Type="http://schemas.openxmlformats.org/officeDocument/2006/relationships/hyperlink" Target="https://drive.google.com/file/d/1i6XkxJct9WvY0JaK2VzEnAONQIcIo8ac/view?usp=sharing" TargetMode="External"/><Relationship Id="rId826" Type="http://schemas.openxmlformats.org/officeDocument/2006/relationships/hyperlink" Target="https://drive.google.com/file/d/16LtUsdWBSDpg3KZ1RbTBkpamqKWCGoVT/view?usp=share_link" TargetMode="External"/><Relationship Id="rId1011" Type="http://schemas.openxmlformats.org/officeDocument/2006/relationships/hyperlink" Target="https://drive.google.com/file/d/1D_olBpbnWHc-65mXrcYqxYgL6q_tvLis/view?usp=share_link" TargetMode="External"/><Relationship Id="rId1109" Type="http://schemas.openxmlformats.org/officeDocument/2006/relationships/hyperlink" Target="https://drive.google.com/file/d/1tc8YqdJuY-oRsngTatNaBLnohALK5X4V/view?usp=share_link" TargetMode="External"/><Relationship Id="rId1456" Type="http://schemas.openxmlformats.org/officeDocument/2006/relationships/hyperlink" Target="https://drive.google.com/open?id=1h2PmpEg919ogREIi7fn5HUxJQSVY8gzD&amp;usp=drive_fs" TargetMode="External"/><Relationship Id="rId258" Type="http://schemas.openxmlformats.org/officeDocument/2006/relationships/hyperlink" Target="https://drive.google.com/file/d/1yMr8sNvdSDHR85jdulFHiBUJgey62F2s/view?usp=share_link" TargetMode="External"/><Relationship Id="rId465" Type="http://schemas.openxmlformats.org/officeDocument/2006/relationships/hyperlink" Target="https://drive.google.com/file/d/1_sqDqruMA5z9yk8tNHpRw6wlTIZ0QAlF/view?usp=share_link" TargetMode="External"/><Relationship Id="rId672" Type="http://schemas.openxmlformats.org/officeDocument/2006/relationships/hyperlink" Target="https://drive.google.com/file/d/1myhQoKZqSXrIfC_hiVuhKvPZEcrqkIJ2/view?usp=share_link" TargetMode="External"/><Relationship Id="rId1095" Type="http://schemas.openxmlformats.org/officeDocument/2006/relationships/hyperlink" Target="https://drive.google.com/file/d/1ly3yrojt74ZnNc3WlZI3RXhrswDOBuOi/view?usp=share_link" TargetMode="External"/><Relationship Id="rId1316" Type="http://schemas.openxmlformats.org/officeDocument/2006/relationships/hyperlink" Target="https://drive.google.com/file/d/1k0heZpYLKV3yg8uaK7WveaCTpCdMfz40/view?usp=drive_link" TargetMode="External"/><Relationship Id="rId22" Type="http://schemas.openxmlformats.org/officeDocument/2006/relationships/hyperlink" Target="https://drive.google.com/file/d/1C4WuILuBwFv8voBqFwEvE8Fu-zffiGus/view?usp=sharing" TargetMode="External"/><Relationship Id="rId118" Type="http://schemas.openxmlformats.org/officeDocument/2006/relationships/hyperlink" Target="https://drive.google.com/file/d/13Q3LcN1K35CCQgF0EpVqj2-Mg17hz9cd/view?usp=sharing" TargetMode="External"/><Relationship Id="rId325" Type="http://schemas.openxmlformats.org/officeDocument/2006/relationships/hyperlink" Target="https://drive.google.com/file/d/1nLphZ1yvtzQHtFbXnAhwpOdyzOrWKine/view?usp=share_link" TargetMode="External"/><Relationship Id="rId532" Type="http://schemas.openxmlformats.org/officeDocument/2006/relationships/hyperlink" Target="https://drive.google.com/file/d/1nAYncWvaiynSkpuaJVl2toqSx49M_Gtg/view?usp=share_link" TargetMode="External"/><Relationship Id="rId977" Type="http://schemas.openxmlformats.org/officeDocument/2006/relationships/hyperlink" Target="https://drive.google.com/file/d/15P-prOzhKdeWMI2otRn7Qp9F4vXU65Nm/view?usp=share_link" TargetMode="External"/><Relationship Id="rId1162" Type="http://schemas.openxmlformats.org/officeDocument/2006/relationships/hyperlink" Target="https://drive.google.com/file/d/1Xo5rP8ST4EfD8zOfQLdECd03JIBYjsmp/view?usp=share_link" TargetMode="External"/><Relationship Id="rId171" Type="http://schemas.openxmlformats.org/officeDocument/2006/relationships/hyperlink" Target="https://drive.google.com/file/d/1ehlHzxAVzo9EfGr0mX9hl8Wzocmmrxst/view?usp=sharing" TargetMode="External"/><Relationship Id="rId837" Type="http://schemas.openxmlformats.org/officeDocument/2006/relationships/hyperlink" Target="https://drive.google.com/file/d/1jP4wtL0A33zbLtdvAkk22RoFDvuvdQHj/view?usp=share_link" TargetMode="External"/><Relationship Id="rId1022" Type="http://schemas.openxmlformats.org/officeDocument/2006/relationships/hyperlink" Target="https://drive.google.com/file/d/1UQgie9S7xuhGDU4jt7KjTY6O4h9Cxhxx/view?usp=share_link" TargetMode="External"/><Relationship Id="rId1467" Type="http://schemas.openxmlformats.org/officeDocument/2006/relationships/hyperlink" Target="https://drive.google.com/open?id=1p0AgPkSwjuto5tbLEJbmaKx-DGrxgO0c&amp;usp=drive_fs" TargetMode="External"/><Relationship Id="rId269" Type="http://schemas.openxmlformats.org/officeDocument/2006/relationships/hyperlink" Target="https://drive.google.com/file/d/1x3j3sVuoZJ7KV9QHR4977cX3sb1uPjaX/view?usp=share_link" TargetMode="External"/><Relationship Id="rId476" Type="http://schemas.openxmlformats.org/officeDocument/2006/relationships/hyperlink" Target="https://drive.google.com/file/d/1BofSuk--JxdghacEFEwUk-gS-ZchgtZR/view?usp=share_link" TargetMode="External"/><Relationship Id="rId683" Type="http://schemas.openxmlformats.org/officeDocument/2006/relationships/hyperlink" Target="https://drive.google.com/file/d/1abcbt67WodDlwxpV41uJSfIcAswDNfX-/view?usp=share_link" TargetMode="External"/><Relationship Id="rId890" Type="http://schemas.openxmlformats.org/officeDocument/2006/relationships/hyperlink" Target="https://drive.google.com/file/d/1sww2bvpreCqtNZDDDeLVBgm4m8wjEVsN/view?usp=share_link" TargetMode="External"/><Relationship Id="rId904" Type="http://schemas.openxmlformats.org/officeDocument/2006/relationships/hyperlink" Target="https://drive.google.com/file/d/1eBiIx5cUovOzzTmSNEoEuZm4k_mmMgVY/view?usp=share_link" TargetMode="External"/><Relationship Id="rId1327" Type="http://schemas.openxmlformats.org/officeDocument/2006/relationships/hyperlink" Target="https://drive.google.com/file/d/1jdZ5Mys8CpYdqY-hpMUGnd2mvNIFRYo4/view?usp=drive_link" TargetMode="External"/><Relationship Id="rId33" Type="http://schemas.openxmlformats.org/officeDocument/2006/relationships/hyperlink" Target="https://drive.google.com/file/d/1VhVu3UKrYXlxXRY9Hfk6PILwiI8njnte/view?usp=sharing" TargetMode="External"/><Relationship Id="rId129" Type="http://schemas.openxmlformats.org/officeDocument/2006/relationships/hyperlink" Target="https://drive.google.com/file/d/1daRpxRG0uP6lMSsGB_RBQWVseifDdd1G/view?usp=sharing" TargetMode="External"/><Relationship Id="rId336" Type="http://schemas.openxmlformats.org/officeDocument/2006/relationships/hyperlink" Target="https://drive.google.com/file/d/1JUV7eC1xPJQpsdFKbzOPLvDbRrx0GIxw/view?usp=share_link" TargetMode="External"/><Relationship Id="rId543" Type="http://schemas.openxmlformats.org/officeDocument/2006/relationships/hyperlink" Target="https://drive.google.com/file/d/1qVQ5mDC3Tw641abU9v50ANH6dvFGRjyg/view?usp=share_link" TargetMode="External"/><Relationship Id="rId988" Type="http://schemas.openxmlformats.org/officeDocument/2006/relationships/hyperlink" Target="https://drive.google.com/file/d/17yv7WpWSS1tohW3STGVQG5klZ4vrykgZ/view?usp=share_link" TargetMode="External"/><Relationship Id="rId1173" Type="http://schemas.openxmlformats.org/officeDocument/2006/relationships/hyperlink" Target="https://drive.google.com/file/d/1lCAc0VICKti21zG1Q4OMej7cPtay9ipk/view?usp=sharing" TargetMode="External"/><Relationship Id="rId1380" Type="http://schemas.openxmlformats.org/officeDocument/2006/relationships/hyperlink" Target="https://drive.google.com/file/d/166HwbL7C7Id_26XOIuLN3hydm7kXEld7/view?usp=sharing" TargetMode="External"/><Relationship Id="rId182" Type="http://schemas.openxmlformats.org/officeDocument/2006/relationships/hyperlink" Target="https://drive.google.com/file/d/1PkoxTtDXMyldNM8FxJto_JaGhWW3XiTo/view?usp=sharing" TargetMode="External"/><Relationship Id="rId403" Type="http://schemas.openxmlformats.org/officeDocument/2006/relationships/hyperlink" Target="https://drive.google.com/file/d/1nx4AqZOVDic1YWk1dtvUMZQvpnSvZG9O/view?usp=share_link" TargetMode="External"/><Relationship Id="rId750" Type="http://schemas.openxmlformats.org/officeDocument/2006/relationships/hyperlink" Target="https://drive.google.com/file/d/1oU643ty5v1oTaz4RUDLmeykMRRdYao-R/view?usp=share_link" TargetMode="External"/><Relationship Id="rId848" Type="http://schemas.openxmlformats.org/officeDocument/2006/relationships/hyperlink" Target="https://drive.google.com/file/d/16n070BZtJ86jsfSlCOMdd8QeGDlw4eAe/view?usp=share_link" TargetMode="External"/><Relationship Id="rId1033" Type="http://schemas.openxmlformats.org/officeDocument/2006/relationships/hyperlink" Target="https://drive.google.com/file/d/1qba1ILxqqSpxpTIciJH3_8J_Xu_wF7AL/view?usp=share_link" TargetMode="External"/><Relationship Id="rId1478" Type="http://schemas.openxmlformats.org/officeDocument/2006/relationships/hyperlink" Target="https://drive.google.com/open?id=19AqhtV2xcdOOoSZYPTKpvX1q0rtSn8US&amp;usp=drive_fs" TargetMode="External"/><Relationship Id="rId487" Type="http://schemas.openxmlformats.org/officeDocument/2006/relationships/hyperlink" Target="https://drive.google.com/file/d/1YZ6RymbU-7UzPzo_OWDC5Nt2bqaCtxAV/view?usp=share_link" TargetMode="External"/><Relationship Id="rId610" Type="http://schemas.openxmlformats.org/officeDocument/2006/relationships/hyperlink" Target="https://drive.google.com/file/d/1Vu1HbQRB-eRr7RWMi_P35-sKxLGugj-x/view?usp=share_link" TargetMode="External"/><Relationship Id="rId694" Type="http://schemas.openxmlformats.org/officeDocument/2006/relationships/hyperlink" Target="https://drive.google.com/file/d/1ISAA9ha6YKDjs1de_Arg4CKrmXsUhsvB/view?usp=share_link" TargetMode="External"/><Relationship Id="rId708" Type="http://schemas.openxmlformats.org/officeDocument/2006/relationships/hyperlink" Target="https://drive.google.com/file/d/1IebRAjyEDHaK8bwST-vn_-RF2CR-YXlE/view?usp=share_link" TargetMode="External"/><Relationship Id="rId915" Type="http://schemas.openxmlformats.org/officeDocument/2006/relationships/hyperlink" Target="https://drive.google.com/file/d/1Kk0OXR34U_LYoN4_VcYSmli0LAd4NJRZ/view?usp=share_link" TargetMode="External"/><Relationship Id="rId1240" Type="http://schemas.openxmlformats.org/officeDocument/2006/relationships/hyperlink" Target="https://drive.google.com/file/d/1DeVOlOzhhuyyqBiDb1Jl_rvOv4lJbimm/view?usp=sharing" TargetMode="External"/><Relationship Id="rId1338" Type="http://schemas.openxmlformats.org/officeDocument/2006/relationships/hyperlink" Target="https://drive.google.com/open?id=102JhdUPhhbYuP7OonOhJnrjEjZf-WySU&amp;usp=drive_fs" TargetMode="External"/><Relationship Id="rId347" Type="http://schemas.openxmlformats.org/officeDocument/2006/relationships/hyperlink" Target="https://drive.google.com/file/d/1JxaqeC3waWcTC6MfAwu7DbhJXFQ52aM5/view?usp=share_link" TargetMode="External"/><Relationship Id="rId999" Type="http://schemas.openxmlformats.org/officeDocument/2006/relationships/hyperlink" Target="https://drive.google.com/file/d/1p_H0s1Nn3KBqRmLRJasWZuYdFWbRyXlO/view?usp=share_link" TargetMode="External"/><Relationship Id="rId1100" Type="http://schemas.openxmlformats.org/officeDocument/2006/relationships/hyperlink" Target="https://drive.google.com/file/d/1QFrfj7oAqH4m2Rk9luoyhcSuw_VR8fm_/view?usp=share_link" TargetMode="External"/><Relationship Id="rId1184" Type="http://schemas.openxmlformats.org/officeDocument/2006/relationships/hyperlink" Target="https://drive.google.com/file/d/1Xn0VSgnl1ZXRrW6vc8mVVBrLHz0RjqHl/view?usp=sharing" TargetMode="External"/><Relationship Id="rId1405" Type="http://schemas.openxmlformats.org/officeDocument/2006/relationships/hyperlink" Target="https://drive.google.com/open?id=10j_3sNN1mSRjbldaqwnT9CST0tSNk7Iz&amp;usp=drive_fs" TargetMode="External"/><Relationship Id="rId44" Type="http://schemas.openxmlformats.org/officeDocument/2006/relationships/hyperlink" Target="https://drive.google.com/file/d/1zb3pTzZyb4NaLk_P6j7zDFps9_2FfCTl/view?usp=sharing" TargetMode="External"/><Relationship Id="rId554" Type="http://schemas.openxmlformats.org/officeDocument/2006/relationships/hyperlink" Target="https://drive.google.com/file/d/14xz3mMgLmxogbPkSHsRSmaY1fA_oRlF9/view?usp=share_link" TargetMode="External"/><Relationship Id="rId761" Type="http://schemas.openxmlformats.org/officeDocument/2006/relationships/hyperlink" Target="https://drive.google.com/file/d/10ce6nC7CG7zFDSEK2hdGcZKcALgFU6aD/view?usp=share_link" TargetMode="External"/><Relationship Id="rId859" Type="http://schemas.openxmlformats.org/officeDocument/2006/relationships/hyperlink" Target="https://drive.google.com/file/d/1fz8yDhlQ_IkYkkFkZE1eqQPCYGQqZ408/view?usp=share_link" TargetMode="External"/><Relationship Id="rId1391" Type="http://schemas.openxmlformats.org/officeDocument/2006/relationships/hyperlink" Target="https://drive.google.com/open?id=1J72DGc_NHgKtvUKoQMoSLiAGMQdrgfUf&amp;usp=drive_fs" TargetMode="External"/><Relationship Id="rId1489" Type="http://schemas.openxmlformats.org/officeDocument/2006/relationships/hyperlink" Target="https://drive.google.com/open?id=1_ZqD3wC6e7EonZ8d85oBCbTALqCilN_6&amp;usp=drive_fs" TargetMode="External"/><Relationship Id="rId193" Type="http://schemas.openxmlformats.org/officeDocument/2006/relationships/hyperlink" Target="https://drive.google.com/file/d/1Mluzn2c-er81xVrhjjg53X7cNMWwEbdp/view?usp=share_link" TargetMode="External"/><Relationship Id="rId207" Type="http://schemas.openxmlformats.org/officeDocument/2006/relationships/hyperlink" Target="https://drive.google.com/file/d/1DICagdDwBVSYae0S7jb0v9cvQT-JXcWp/view?usp=share_link" TargetMode="External"/><Relationship Id="rId414" Type="http://schemas.openxmlformats.org/officeDocument/2006/relationships/hyperlink" Target="https://drive.google.com/file/d/1we4jRphvxWniXmuhoNvRf5ogFoInDkvG/view?usp=share_link" TargetMode="External"/><Relationship Id="rId498" Type="http://schemas.openxmlformats.org/officeDocument/2006/relationships/hyperlink" Target="https://drive.google.com/file/d/1kigI7lofWGG8MQVwQaaviDZncoEsBVzw/view?usp=share_link" TargetMode="External"/><Relationship Id="rId621" Type="http://schemas.openxmlformats.org/officeDocument/2006/relationships/hyperlink" Target="https://drive.google.com/file/d/1sn5gcmiKaWkssz2-WIr8dLflA0o2OJZg/view?usp=share_link" TargetMode="External"/><Relationship Id="rId1044" Type="http://schemas.openxmlformats.org/officeDocument/2006/relationships/hyperlink" Target="https://drive.google.com/file/d/1wBm2GDL-6lkpjWh8OKCTYO9KM-UqEBgl/view?usp=sharing" TargetMode="External"/><Relationship Id="rId1251" Type="http://schemas.openxmlformats.org/officeDocument/2006/relationships/hyperlink" Target="https://drive.google.com/file/d/161mZdbK10_eNY_J0JiPCnocrn4pMqCvK/view?usp=sharing" TargetMode="External"/><Relationship Id="rId1349" Type="http://schemas.openxmlformats.org/officeDocument/2006/relationships/hyperlink" Target="https://drive.google.com/open?id=13BSMiLc26NSjJTAtj2OqrarxbCKgIXv7&amp;usp=drive_fs" TargetMode="External"/><Relationship Id="rId260" Type="http://schemas.openxmlformats.org/officeDocument/2006/relationships/hyperlink" Target="https://drive.google.com/file/d/1szeT0QWdWUqxFgQAUBym_Zyd0yaym18C/view?usp=share_link" TargetMode="External"/><Relationship Id="rId719" Type="http://schemas.openxmlformats.org/officeDocument/2006/relationships/hyperlink" Target="https://drive.google.com/file/d/1faZEoCE8w43GXNeLei-R2quHHGESe1mQ/view?usp=share_link" TargetMode="External"/><Relationship Id="rId926" Type="http://schemas.openxmlformats.org/officeDocument/2006/relationships/hyperlink" Target="https://drive.google.com/file/d/1YFLiVHtD3GZMesNd_qGCt36ebQS-DaWC/view?usp=share_link" TargetMode="External"/><Relationship Id="rId1111" Type="http://schemas.openxmlformats.org/officeDocument/2006/relationships/hyperlink" Target="https://drive.google.com/file/d/1JOLFscYrSw0sDnpXgtO5R0VLdWCezoAS/view?usp=share_link" TargetMode="External"/><Relationship Id="rId55" Type="http://schemas.openxmlformats.org/officeDocument/2006/relationships/hyperlink" Target="https://drive.google.com/file/d/18VQP9loMi2cnH1JFGuJMjmHYkxJhunYw/view?usp=sharing" TargetMode="External"/><Relationship Id="rId120" Type="http://schemas.openxmlformats.org/officeDocument/2006/relationships/hyperlink" Target="https://drive.google.com/file/d/1uPrYWOaV2639vWbpah7HF-0Q53Sjmhoy/view?usp=sharing" TargetMode="External"/><Relationship Id="rId358" Type="http://schemas.openxmlformats.org/officeDocument/2006/relationships/hyperlink" Target="https://drive.google.com/file/d/1lxoiXU_03u2R1bRgHXWvNfnH0rySYeJe/view?usp=share_link" TargetMode="External"/><Relationship Id="rId565" Type="http://schemas.openxmlformats.org/officeDocument/2006/relationships/hyperlink" Target="https://drive.google.com/file/d/1Wk5ZDla8dT-TKPF9_MO2Su3lg3FZt84O/view?usp=share_link" TargetMode="External"/><Relationship Id="rId772" Type="http://schemas.openxmlformats.org/officeDocument/2006/relationships/hyperlink" Target="https://drive.google.com/file/d/1bJrqcSiV1wuMtjryTU7zYxKcppQKgm2y/view?usp=share_link" TargetMode="External"/><Relationship Id="rId1195" Type="http://schemas.openxmlformats.org/officeDocument/2006/relationships/hyperlink" Target="https://drive.google.com/file/d/1nJwoqAn9UAaDNKQnCzFhju4DzeSRi4c6/view?usp=sharing" TargetMode="External"/><Relationship Id="rId1209" Type="http://schemas.openxmlformats.org/officeDocument/2006/relationships/hyperlink" Target="https://drive.google.com/file/d/1pd6vP9NV_nra4hBYguGKLRhNGe61GSIi/view?usp=sharing" TargetMode="External"/><Relationship Id="rId1416" Type="http://schemas.openxmlformats.org/officeDocument/2006/relationships/hyperlink" Target="https://drive.google.com/open?id=11Vkr3GWvHdS45PqnqiabxH1xJXHUGwv7&amp;usp=drive_fs" TargetMode="External"/><Relationship Id="rId218" Type="http://schemas.openxmlformats.org/officeDocument/2006/relationships/hyperlink" Target="https://drive.google.com/file/d/1uIDsXJ-fNQ8hRIGIzH1L0AnvrIaGOfSP/view?usp=share_link" TargetMode="External"/><Relationship Id="rId425" Type="http://schemas.openxmlformats.org/officeDocument/2006/relationships/hyperlink" Target="https://drive.google.com/file/d/1PqyTL79UTfiWLIVuLKypK_Uyu0KezVni/view?usp=share_link" TargetMode="External"/><Relationship Id="rId632" Type="http://schemas.openxmlformats.org/officeDocument/2006/relationships/hyperlink" Target="https://drive.google.com/file/d/1z7MSC1TUbh9lFdpo6i1L_BAq_QM8-cwK/view?usp=share_link" TargetMode="External"/><Relationship Id="rId1055" Type="http://schemas.openxmlformats.org/officeDocument/2006/relationships/hyperlink" Target="https://drive.google.com/file/d/1wxbgzyqpMUq5uknqERC30HtsrxGfz2tP/view?usp=sharing" TargetMode="External"/><Relationship Id="rId1262" Type="http://schemas.openxmlformats.org/officeDocument/2006/relationships/hyperlink" Target="https://drive.google.com/file/d/18wSBGMCSH_QcexB2-7DuT8NWt4Ov08w6/view?usp=sharing" TargetMode="External"/><Relationship Id="rId271" Type="http://schemas.openxmlformats.org/officeDocument/2006/relationships/hyperlink" Target="https://drive.google.com/file/d/1SFKlxNmXPtUADh8nnPIVSeMZVvjVRrcm/view?usp=share_link" TargetMode="External"/><Relationship Id="rId937" Type="http://schemas.openxmlformats.org/officeDocument/2006/relationships/hyperlink" Target="https://drive.google.com/file/d/1Hq4O6IAi1ITj4gTfoCKBWPAUlhTTM5Nu/view?usp=share_link" TargetMode="External"/><Relationship Id="rId1122" Type="http://schemas.openxmlformats.org/officeDocument/2006/relationships/hyperlink" Target="https://drive.google.com/file/d/1N7_e3_eq1bQsG98UUMheNZpRo0qDsW4-/view?usp=share_link" TargetMode="External"/><Relationship Id="rId66" Type="http://schemas.openxmlformats.org/officeDocument/2006/relationships/hyperlink" Target="https://drive.google.com/file/d/1xIONVZjFbm6vHDQRV9W8KkYh1ymXE4gM/view?usp=sharing" TargetMode="External"/><Relationship Id="rId131" Type="http://schemas.openxmlformats.org/officeDocument/2006/relationships/hyperlink" Target="https://drive.google.com/file/d/13rMOZKjyvYB7W6QtLjjZvJLACVn531-8/view?usp=sharing" TargetMode="External"/><Relationship Id="rId369" Type="http://schemas.openxmlformats.org/officeDocument/2006/relationships/hyperlink" Target="https://drive.google.com/file/d/1KvKHUAPkUkUOvJRfkJc998cc43i-35Hn/view?usp=share_link" TargetMode="External"/><Relationship Id="rId576" Type="http://schemas.openxmlformats.org/officeDocument/2006/relationships/hyperlink" Target="https://drive.google.com/file/d/1XPF-TQvQAzdWa-fOaW01bk969Pq5F81G/view?usp=share_link" TargetMode="External"/><Relationship Id="rId783" Type="http://schemas.openxmlformats.org/officeDocument/2006/relationships/hyperlink" Target="https://drive.google.com/file/d/1MtMkPfH_-Y4x0OkWaoYm4htdSkOqnjWB/view?usp=share_link" TargetMode="External"/><Relationship Id="rId990" Type="http://schemas.openxmlformats.org/officeDocument/2006/relationships/hyperlink" Target="https://drive.google.com/file/d/1abWYAvoGQoZa_Mf2AmPfB1lHCnoLYr2L/view?usp=share_link" TargetMode="External"/><Relationship Id="rId1427" Type="http://schemas.openxmlformats.org/officeDocument/2006/relationships/hyperlink" Target="https://drive.google.com/open?id=1IdAVQYPeJ3kidzg7jUiY5JikJqDFH0MK&amp;usp=drive_fs" TargetMode="External"/><Relationship Id="rId229" Type="http://schemas.openxmlformats.org/officeDocument/2006/relationships/hyperlink" Target="https://drive.google.com/file/d/1ZXwVQSuNJK6B8llr-ZklVA1OpSyzCpxW/view?usp=share_link" TargetMode="External"/><Relationship Id="rId436" Type="http://schemas.openxmlformats.org/officeDocument/2006/relationships/hyperlink" Target="https://drive.google.com/file/d/1JSsuSsqhCYyiTlIqPWE8xGwLNgSKC3r3/view?usp=share_link" TargetMode="External"/><Relationship Id="rId643" Type="http://schemas.openxmlformats.org/officeDocument/2006/relationships/hyperlink" Target="https://drive.google.com/file/d/1L7ZphkKs5_MKrfQ7eL83nbzULoUJYUbO/view?usp=share_link" TargetMode="External"/><Relationship Id="rId1066" Type="http://schemas.openxmlformats.org/officeDocument/2006/relationships/hyperlink" Target="https://drive.google.com/file/d/1ztrlcmPjAYV9ZjVpC4jHstmVjJJLD6Pl/view?usp=share_link" TargetMode="External"/><Relationship Id="rId1273" Type="http://schemas.openxmlformats.org/officeDocument/2006/relationships/hyperlink" Target="https://drive.google.com/file/d/1DwSDFFRcJ7GUpyrDSuDPyOphyYytSoyD/view?usp=sharing" TargetMode="External"/><Relationship Id="rId1480" Type="http://schemas.openxmlformats.org/officeDocument/2006/relationships/hyperlink" Target="https://drive.google.com/file/d/1gYeaux598PxrZL6HR7qoCkWbWBu1QzoB/view?usp=share_link" TargetMode="External"/><Relationship Id="rId850" Type="http://schemas.openxmlformats.org/officeDocument/2006/relationships/hyperlink" Target="https://drive.google.com/file/d/19t3KYhDZxbgRKc9LWL_41QNsBhVqnBSo/view?usp=share_link" TargetMode="External"/><Relationship Id="rId948" Type="http://schemas.openxmlformats.org/officeDocument/2006/relationships/hyperlink" Target="https://drive.google.com/file/d/1T0fUN67ETuIkLiWsu6zATYiS8SFcI0-0/view?usp=share_link" TargetMode="External"/><Relationship Id="rId1133" Type="http://schemas.openxmlformats.org/officeDocument/2006/relationships/hyperlink" Target="https://drive.google.com/file/d/1-MCVF-Ae42qV1vRlkva3EQTSqcAdhOHo/view?usp=sharing" TargetMode="External"/><Relationship Id="rId77" Type="http://schemas.openxmlformats.org/officeDocument/2006/relationships/hyperlink" Target="https://drive.google.com/file/d/1Z7szJYLpUSKpLWfMyhAra4f5R97RNALr/view?usp=sharing" TargetMode="External"/><Relationship Id="rId282" Type="http://schemas.openxmlformats.org/officeDocument/2006/relationships/hyperlink" Target="https://drive.google.com/file/d/1bthhB0VfgnH3Kf5MG4pCMPaBoP0U5Gkp/view?usp=share_link" TargetMode="External"/><Relationship Id="rId503" Type="http://schemas.openxmlformats.org/officeDocument/2006/relationships/hyperlink" Target="https://drive.google.com/file/d/1dKBYFHOuUseD26Gs-oExSfNXmI4zB8XI/view?usp=share_link" TargetMode="External"/><Relationship Id="rId587" Type="http://schemas.openxmlformats.org/officeDocument/2006/relationships/hyperlink" Target="https://drive.google.com/file/d/1NyWkDHXzpxZVgaZa4efvuWlLpJLzVRKn/view?usp=share_link" TargetMode="External"/><Relationship Id="rId710" Type="http://schemas.openxmlformats.org/officeDocument/2006/relationships/hyperlink" Target="https://drive.google.com/file/d/1k6D2niQzzaLuGr508xVWEo00r_ZfTGt2/view?usp=share_link" TargetMode="External"/><Relationship Id="rId808" Type="http://schemas.openxmlformats.org/officeDocument/2006/relationships/hyperlink" Target="https://drive.google.com/file/d/1F3qYfxair2eL1BrI9jvZQlUgArRZLt9H/view?usp=share_link" TargetMode="External"/><Relationship Id="rId1340" Type="http://schemas.openxmlformats.org/officeDocument/2006/relationships/hyperlink" Target="https://drive.google.com/open?id=10dtJdquRc0AmUab66gXYvevBg2I35o_-&amp;usp=drive_fs" TargetMode="External"/><Relationship Id="rId1438" Type="http://schemas.openxmlformats.org/officeDocument/2006/relationships/hyperlink" Target="https://drive.google.com/open?id=1QSdCmYyBPTEem5ZtGjhCVnaMSXfeA0M8&amp;usp=drive_fs" TargetMode="External"/><Relationship Id="rId8" Type="http://schemas.openxmlformats.org/officeDocument/2006/relationships/hyperlink" Target="https://drive.google.com/file/d/1NgEiGyub9ZS1JnM5R0vYznG83N3gxacv/view?usp=sharing" TargetMode="External"/><Relationship Id="rId142" Type="http://schemas.openxmlformats.org/officeDocument/2006/relationships/hyperlink" Target="https://drive.google.com/file/d/178koo1-5z4ZDtZwOjfnN5qapC7QO6Qa3/view?usp=sharing" TargetMode="External"/><Relationship Id="rId447" Type="http://schemas.openxmlformats.org/officeDocument/2006/relationships/hyperlink" Target="https://drive.google.com/file/d/1-4nUrcV87SkJH2zuaFdorycRGogg5TL0/view?usp=share_link" TargetMode="External"/><Relationship Id="rId794" Type="http://schemas.openxmlformats.org/officeDocument/2006/relationships/hyperlink" Target="https://drive.google.com/file/d/1RKhZl7c4dEtw-q1KkId44um4Q8OzMAhZ/view?usp=share_link" TargetMode="External"/><Relationship Id="rId1077" Type="http://schemas.openxmlformats.org/officeDocument/2006/relationships/hyperlink" Target="https://drive.google.com/file/d/1T93uBWbDzPf918OfT68xO_i_Cp9nccTm/view?usp=share_link" TargetMode="External"/><Relationship Id="rId1200" Type="http://schemas.openxmlformats.org/officeDocument/2006/relationships/hyperlink" Target="https://drive.google.com/file/d/12KCcq6i7oTu1v9XzbU_yz3GiKJ4_uEiE/view?usp=sharing" TargetMode="External"/><Relationship Id="rId654" Type="http://schemas.openxmlformats.org/officeDocument/2006/relationships/hyperlink" Target="https://drive.google.com/file/d/1XbU4p4y64kU0K28omzD-Lgee3UCFrx0C/view?usp=share_link" TargetMode="External"/><Relationship Id="rId861" Type="http://schemas.openxmlformats.org/officeDocument/2006/relationships/hyperlink" Target="https://drive.google.com/file/d/10qTf5mGYGaZuGxDbGC6rBSgQccNnpUbH/view?usp=share_link" TargetMode="External"/><Relationship Id="rId959" Type="http://schemas.openxmlformats.org/officeDocument/2006/relationships/hyperlink" Target="https://drive.google.com/file/d/1syBRn6FZVwbBp6w0F_eBl47HzRrxJ7BT/view?usp=share_link" TargetMode="External"/><Relationship Id="rId1284" Type="http://schemas.openxmlformats.org/officeDocument/2006/relationships/hyperlink" Target="https://drive.google.com/file/d/1F_sDnw62QiXnbeN5yw69rL9NQ3hWVYqh/view?usp=sharing" TargetMode="External"/><Relationship Id="rId1491" Type="http://schemas.openxmlformats.org/officeDocument/2006/relationships/hyperlink" Target="https://drive.google.com/open?id=15kVdSUs-y27pGbNlsaCNFaky-4W9WjTv&amp;usp=drive_fs" TargetMode="External"/><Relationship Id="rId293" Type="http://schemas.openxmlformats.org/officeDocument/2006/relationships/hyperlink" Target="https://drive.google.com/file/d/1mMHizwQ_FjEZQ9B4Mgv8fZ_0_XVO3zCI/view?usp=share_link" TargetMode="External"/><Relationship Id="rId307" Type="http://schemas.openxmlformats.org/officeDocument/2006/relationships/hyperlink" Target="https://drive.google.com/file/d/1z_tjFdAeWuUNVJ9lbHYinGGD8dMYLQZ1/view?usp=share_link" TargetMode="External"/><Relationship Id="rId514" Type="http://schemas.openxmlformats.org/officeDocument/2006/relationships/hyperlink" Target="https://drive.google.com/file/d/1XkYergx2Uwbo-7sBKEHvO0ozeAqIcBR1/view?usp=share_link" TargetMode="External"/><Relationship Id="rId721" Type="http://schemas.openxmlformats.org/officeDocument/2006/relationships/hyperlink" Target="https://drive.google.com/file/d/1jvXMy9sbYUYhw3dNbpq1NJM5kzto944b/view?usp=share_link" TargetMode="External"/><Relationship Id="rId1144" Type="http://schemas.openxmlformats.org/officeDocument/2006/relationships/hyperlink" Target="https://drive.google.com/file/d/10YuIK8LpQVEag7h50E1HQRvddzmFfe6k/view?usp=share_link" TargetMode="External"/><Relationship Id="rId1351" Type="http://schemas.openxmlformats.org/officeDocument/2006/relationships/hyperlink" Target="https://drive.google.com/open?id=14HvBLputnba-wVb3r9OrH7o4etjdjKDT&amp;usp=drive_fs" TargetMode="External"/><Relationship Id="rId1449" Type="http://schemas.openxmlformats.org/officeDocument/2006/relationships/hyperlink" Target="https://drive.google.com/file/d/1jVM0fuf0nR1gsfH3-xnodGEbKKvUIJUQ/view?usp=sharing" TargetMode="External"/><Relationship Id="rId88" Type="http://schemas.openxmlformats.org/officeDocument/2006/relationships/hyperlink" Target="https://drive.google.com/file/d/1ovI_V3O5IG65Qrdgt36l_pPUq4PzOrzQ/view?usp=sharing" TargetMode="External"/><Relationship Id="rId153" Type="http://schemas.openxmlformats.org/officeDocument/2006/relationships/hyperlink" Target="https://drive.google.com/file/d/16OxHkeLlUUqlSm_Av4P74jqmuxQeeUvx/view?usp=sharing" TargetMode="External"/><Relationship Id="rId360" Type="http://schemas.openxmlformats.org/officeDocument/2006/relationships/hyperlink" Target="https://drive.google.com/file/d/1LFtFkM58bHUrZvmcsm10vIhkfmTFFfIm/view?usp=share_link" TargetMode="External"/><Relationship Id="rId598" Type="http://schemas.openxmlformats.org/officeDocument/2006/relationships/hyperlink" Target="https://drive.google.com/file/d/1f1J_INF8tBWME4IhyZs-D9EuoOKYcrXd/view?usp=share_link" TargetMode="External"/><Relationship Id="rId819" Type="http://schemas.openxmlformats.org/officeDocument/2006/relationships/hyperlink" Target="https://drive.google.com/file/d/1CLTE1UGJnJt1hwv31hr5WONfaeOQZhiK/view?usp=share_link" TargetMode="External"/><Relationship Id="rId1004" Type="http://schemas.openxmlformats.org/officeDocument/2006/relationships/hyperlink" Target="https://drive.google.com/file/d/1Qfx8ALt-rcY8vmI2l6-6g5i79M_Oy_B1/view?usp=share_link" TargetMode="External"/><Relationship Id="rId1211" Type="http://schemas.openxmlformats.org/officeDocument/2006/relationships/hyperlink" Target="https://drive.google.com/file/d/1APFHAygEFEgfnoXgmERL-Y3Q_fIgj-J0/view?usp=sharing" TargetMode="External"/><Relationship Id="rId220" Type="http://schemas.openxmlformats.org/officeDocument/2006/relationships/hyperlink" Target="https://drive.google.com/file/d/1VeQwLvb1Vu1CTdTTL5rbBEJJKIpnXhe1/view?usp=share_link" TargetMode="External"/><Relationship Id="rId458" Type="http://schemas.openxmlformats.org/officeDocument/2006/relationships/hyperlink" Target="https://drive.google.com/file/d/1K3JDpbaZWuYSIi8ryUb_IFZOxw7LNILA/view?usp=share_link" TargetMode="External"/><Relationship Id="rId665" Type="http://schemas.openxmlformats.org/officeDocument/2006/relationships/hyperlink" Target="https://drive.google.com/file/d/1_4ki0B-_F3SlgOv_cMHwKCemTWOtjNMO/view?usp=share_link" TargetMode="External"/><Relationship Id="rId872" Type="http://schemas.openxmlformats.org/officeDocument/2006/relationships/hyperlink" Target="https://drive.google.com/file/d/127k4HnKv7ZcBJUWnAUuTaI8GJQ6gVcJD/view?usp=share_link" TargetMode="External"/><Relationship Id="rId1088" Type="http://schemas.openxmlformats.org/officeDocument/2006/relationships/hyperlink" Target="https://drive.google.com/file/d/1umSOqdFNrlJFnIVyRIfi3Ezje7pmbJTz/view?usp=share_link" TargetMode="External"/><Relationship Id="rId1295" Type="http://schemas.openxmlformats.org/officeDocument/2006/relationships/hyperlink" Target="https://drive.google.com/file/d/1fClKJlbn4loXhumIxUFUhJ6P4gXaaMKV/view?usp=sharing" TargetMode="External"/><Relationship Id="rId1309" Type="http://schemas.openxmlformats.org/officeDocument/2006/relationships/hyperlink" Target="https://drive.google.com/file/d/1E7shyFDKWMXWBa_a18dmQ7LU530jZAF7/view?usp=drive_link" TargetMode="External"/><Relationship Id="rId15" Type="http://schemas.openxmlformats.org/officeDocument/2006/relationships/hyperlink" Target="https://drive.google.com/file/d/1c-OEeNXamxQJJVMnGANHf1JQbbJgBDKh/view?usp=sharing" TargetMode="External"/><Relationship Id="rId318" Type="http://schemas.openxmlformats.org/officeDocument/2006/relationships/hyperlink" Target="https://drive.google.com/file/d/1CVFoR_aqquX7bCJXmo1GU6nr6ulOHf4Y/view?usp=share_link" TargetMode="External"/><Relationship Id="rId525" Type="http://schemas.openxmlformats.org/officeDocument/2006/relationships/hyperlink" Target="https://drive.google.com/file/d/1iR7yMZuTjFhA6r5VokpmPvETr1BlmTTc/view?usp=share_link" TargetMode="External"/><Relationship Id="rId732" Type="http://schemas.openxmlformats.org/officeDocument/2006/relationships/hyperlink" Target="https://drive.google.com/file/d/1cR7vpjVspCpYn0iyvTXpSFpu_aUGzkft/view?usp=share_link" TargetMode="External"/><Relationship Id="rId1155" Type="http://schemas.openxmlformats.org/officeDocument/2006/relationships/hyperlink" Target="https://drive.google.com/file/d/1EYMNPNFqZnw6jbo9GHYY5xiuh8Zjtc6X/view?usp=drive_link" TargetMode="External"/><Relationship Id="rId1362" Type="http://schemas.openxmlformats.org/officeDocument/2006/relationships/hyperlink" Target="https://drive.google.com/open?id=186cqIwed_Fs_8ocAyb5Wf81fhvBE7IhL&amp;usp=drive_fs" TargetMode="External"/><Relationship Id="rId99" Type="http://schemas.openxmlformats.org/officeDocument/2006/relationships/hyperlink" Target="https://drive.google.com/file/d/1zKamkG7i7Nk-pDfoqUbRs7gdg-EDYofP/view?usp=sharing" TargetMode="External"/><Relationship Id="rId164" Type="http://schemas.openxmlformats.org/officeDocument/2006/relationships/hyperlink" Target="https://drive.google.com/file/d/1-DJw7UwiS1RMmUtDXHwwxT8jppgGpsA1/view?usp=sharing" TargetMode="External"/><Relationship Id="rId371" Type="http://schemas.openxmlformats.org/officeDocument/2006/relationships/hyperlink" Target="https://drive.google.com/file/d/1m_RzWcYFz9Yy2KqlLvoQZJ6Aja-MKQ_M/view?usp=sharing" TargetMode="External"/><Relationship Id="rId1015" Type="http://schemas.openxmlformats.org/officeDocument/2006/relationships/hyperlink" Target="https://drive.google.com/file/d/1g4UyC_x9KIaVeeARkR8AQ7jLMnT6aUHV/view?usp=share_link" TargetMode="External"/><Relationship Id="rId1222" Type="http://schemas.openxmlformats.org/officeDocument/2006/relationships/hyperlink" Target="https://drive.google.com/file/d/1C_vKjZL4nf09-0I8FRi6buAbo-m7mFLl/view?usp=sharing" TargetMode="External"/><Relationship Id="rId469" Type="http://schemas.openxmlformats.org/officeDocument/2006/relationships/hyperlink" Target="https://drive.google.com/file/d/1a-yedUGmWzVCKby1WIyYmmp0NIxyCXcP/view?usp=share_link" TargetMode="External"/><Relationship Id="rId676" Type="http://schemas.openxmlformats.org/officeDocument/2006/relationships/hyperlink" Target="https://drive.google.com/file/d/1w57FKOwu2c84yNv7xZ3dzjmxOTGM7sBT/view?usp=share_link" TargetMode="External"/><Relationship Id="rId883" Type="http://schemas.openxmlformats.org/officeDocument/2006/relationships/hyperlink" Target="https://drive.google.com/file/d/1GPVZO6qU9BrPZ6_VnEfIgEM2TJGa7rZn/view?usp=share_link" TargetMode="External"/><Relationship Id="rId1099" Type="http://schemas.openxmlformats.org/officeDocument/2006/relationships/hyperlink" Target="https://drive.google.com/file/d/1oXFZ7k1glMKFv1GLZJR9IgWG42ekiV5f/view?usp=share_link" TargetMode="External"/><Relationship Id="rId26" Type="http://schemas.openxmlformats.org/officeDocument/2006/relationships/hyperlink" Target="https://drive.google.com/file/d/1GKxM43UY7pQs0IHVwByXyZF3Zoo5nO5r/view?usp=sharing" TargetMode="External"/><Relationship Id="rId231" Type="http://schemas.openxmlformats.org/officeDocument/2006/relationships/hyperlink" Target="https://drive.google.com/file/d/1Rhh8wQxvhTA0EGy5Ohepe_U8FMbNtQSg/view?usp=share_link" TargetMode="External"/><Relationship Id="rId329" Type="http://schemas.openxmlformats.org/officeDocument/2006/relationships/hyperlink" Target="https://drive.google.com/file/d/196ja4UedlXtizuMx0iwbnH0GuUdbgVBN/view?usp=share_link" TargetMode="External"/><Relationship Id="rId536" Type="http://schemas.openxmlformats.org/officeDocument/2006/relationships/hyperlink" Target="https://drive.google.com/file/d/1VBXN1U4cjIWgj3SBBh01Z4PG_ZV_lJYb/view?usp=share_link" TargetMode="External"/><Relationship Id="rId1166" Type="http://schemas.openxmlformats.org/officeDocument/2006/relationships/hyperlink" Target="https://drive.google.com/file/d/1_QwrqMOsd5ec-AFK5ANL2lNcUxZF2dQ3/view?usp=sharing" TargetMode="External"/><Relationship Id="rId1373" Type="http://schemas.openxmlformats.org/officeDocument/2006/relationships/hyperlink" Target="https://drive.google.com/open?id=1CUHiG6umCrAEj0ewryvX3Y0yUtvmfsms&amp;usp=drive_fs" TargetMode="External"/><Relationship Id="rId175" Type="http://schemas.openxmlformats.org/officeDocument/2006/relationships/hyperlink" Target="https://drive.google.com/file/d/142wlZYEj0K1tsKZ-cgZTy-EYsUHY_eIf/view?usp=sharing" TargetMode="External"/><Relationship Id="rId743" Type="http://schemas.openxmlformats.org/officeDocument/2006/relationships/hyperlink" Target="https://drive.google.com/file/d/1IExzQmQ_aRN47m8NeZ8D52jEQb_5amlQ/view?usp=share_link" TargetMode="External"/><Relationship Id="rId950" Type="http://schemas.openxmlformats.org/officeDocument/2006/relationships/hyperlink" Target="https://drive.google.com/file/d/1FH_vGmlr-iUkJiZ9e8dKIAxiiy7cdUUD/view?usp=share_link" TargetMode="External"/><Relationship Id="rId1026" Type="http://schemas.openxmlformats.org/officeDocument/2006/relationships/hyperlink" Target="https://drive.google.com/file/d/1HLlD5Kye3rlfwUO_xnRQtZmO0V-1QIeY/view?usp=share_link" TargetMode="External"/><Relationship Id="rId382" Type="http://schemas.openxmlformats.org/officeDocument/2006/relationships/hyperlink" Target="https://drive.google.com/file/d/10TI1vnnMpGLiDR_62qA2Lx7ZbAlWkbcZ/view?usp=share_link" TargetMode="External"/><Relationship Id="rId603" Type="http://schemas.openxmlformats.org/officeDocument/2006/relationships/hyperlink" Target="https://drive.google.com/file/d/16uzmJQZPB4KD04nkd_yqM1BZiEu_B4oB/view?usp=share_link" TargetMode="External"/><Relationship Id="rId687" Type="http://schemas.openxmlformats.org/officeDocument/2006/relationships/hyperlink" Target="https://drive.google.com/file/d/1adce7kKvSS0bOOU-aieHBcjInuHzolp_/view?usp=share_link" TargetMode="External"/><Relationship Id="rId810" Type="http://schemas.openxmlformats.org/officeDocument/2006/relationships/hyperlink" Target="https://drive.google.com/file/d/1rIi3_7dJOPNlmnge4-HscyZMiMF7a4ov/view?usp=share_link" TargetMode="External"/><Relationship Id="rId908" Type="http://schemas.openxmlformats.org/officeDocument/2006/relationships/hyperlink" Target="https://drive.google.com/file/d/1_yrY9ZWr-lDwgZiwDpVg8z03hDzACTW7/view?usp=share_link" TargetMode="External"/><Relationship Id="rId1233" Type="http://schemas.openxmlformats.org/officeDocument/2006/relationships/hyperlink" Target="https://drive.google.com/file/d/1BpRbVbVyv7otTFMAm5xvZqfiQ7gq3PBc/view?usp=sharing" TargetMode="External"/><Relationship Id="rId1440" Type="http://schemas.openxmlformats.org/officeDocument/2006/relationships/hyperlink" Target="https://drive.google.com/open?id=1ImN5DNBYDnCDBZOFL_ueGnN6Des7BESt&amp;usp=drive_fs" TargetMode="External"/><Relationship Id="rId242" Type="http://schemas.openxmlformats.org/officeDocument/2006/relationships/hyperlink" Target="https://drive.google.com/file/d/1qAje3cBDniU56oWlzXStEA_z-wsFCZQc/view?usp=share_link" TargetMode="External"/><Relationship Id="rId894" Type="http://schemas.openxmlformats.org/officeDocument/2006/relationships/hyperlink" Target="https://drive.google.com/file/d/1RqMe3KR4Y9KWeOyp13LOb3LXoq1Y13N1/view?usp=share_link" TargetMode="External"/><Relationship Id="rId1177" Type="http://schemas.openxmlformats.org/officeDocument/2006/relationships/hyperlink" Target="https://drive.google.com/file/d/1kdYQ1p5nPZ3bPxOWTU3dNYcuWWNrARdX/view?usp=sharing" TargetMode="External"/><Relationship Id="rId1300" Type="http://schemas.openxmlformats.org/officeDocument/2006/relationships/hyperlink" Target="https://drive.google.com/file/d/11frLEijHvDpPubKEkE7F4kCNkbOcdJh0/view?usp=sharing" TargetMode="External"/><Relationship Id="rId37" Type="http://schemas.openxmlformats.org/officeDocument/2006/relationships/hyperlink" Target="https://drive.google.com/file/d/13xTQ5YemWkb-N5ktbxULjIRVqqCclZEZ/view?usp=sharing" TargetMode="External"/><Relationship Id="rId102" Type="http://schemas.openxmlformats.org/officeDocument/2006/relationships/hyperlink" Target="https://drive.google.com/file/d/1PLZScQ4t8UOExyjrcxTVCvmjHA_WtV6F/view?usp=sharing" TargetMode="External"/><Relationship Id="rId547" Type="http://schemas.openxmlformats.org/officeDocument/2006/relationships/hyperlink" Target="https://drive.google.com/file/d/1Gh-brUIerydS3LmH-OhVcScDHlvOiYXj/view?usp=share_link" TargetMode="External"/><Relationship Id="rId754" Type="http://schemas.openxmlformats.org/officeDocument/2006/relationships/hyperlink" Target="https://drive.google.com/file/d/1vw_Bxh_4Xk8BiSNWJ3bBaoavN24xvr5r/view?usp=share_link" TargetMode="External"/><Relationship Id="rId961" Type="http://schemas.openxmlformats.org/officeDocument/2006/relationships/hyperlink" Target="https://drive.google.com/file/d/1Zy9MELWThLyq_kCLDCTxPek-bteI8nli/view?usp=share_link" TargetMode="External"/><Relationship Id="rId1384" Type="http://schemas.openxmlformats.org/officeDocument/2006/relationships/hyperlink" Target="https://drive.google.com/open?id=1GXcjwWod-GVamRzUqiAhgFJo8F2DZ2qV&amp;usp=drive_fs" TargetMode="External"/><Relationship Id="rId90" Type="http://schemas.openxmlformats.org/officeDocument/2006/relationships/hyperlink" Target="https://drive.google.com/file/d/1ET3M0uYDvky06-kA3NdotMIedsmpLEIB/view?usp=sharing" TargetMode="External"/><Relationship Id="rId186" Type="http://schemas.openxmlformats.org/officeDocument/2006/relationships/hyperlink" Target="https://drive.google.com/file/d/1woUqwgOJqualhGkWYM0o90N4YkbEhefD/view?usp=sharing" TargetMode="External"/><Relationship Id="rId393" Type="http://schemas.openxmlformats.org/officeDocument/2006/relationships/hyperlink" Target="https://drive.google.com/file/d/1N7zF_cihgN15gTOqRVZa7psbSES0KOaF/view?usp=share_link" TargetMode="External"/><Relationship Id="rId407" Type="http://schemas.openxmlformats.org/officeDocument/2006/relationships/hyperlink" Target="https://drive.google.com/file/d/1XVinad7ZIyrUJvOIatMiUKOsOtCkyIIJ/view?usp=share_link" TargetMode="External"/><Relationship Id="rId614" Type="http://schemas.openxmlformats.org/officeDocument/2006/relationships/hyperlink" Target="https://drive.google.com/file/d/1zvUCxkBkT2vQ88qIgDNuh8tSe9bsUu9F/view?usp=share_link" TargetMode="External"/><Relationship Id="rId821" Type="http://schemas.openxmlformats.org/officeDocument/2006/relationships/hyperlink" Target="https://drive.google.com/file/d/15XBUVMhFk5CZrfCxOZjW3TZeL6Wlhzd5/view?usp=share_link" TargetMode="External"/><Relationship Id="rId1037" Type="http://schemas.openxmlformats.org/officeDocument/2006/relationships/hyperlink" Target="https://drive.google.com/file/d/1QQ7cpSuUgQ3tmlu-lSHQaig5WwDX1OYQ/view?usp=share_link" TargetMode="External"/><Relationship Id="rId1244" Type="http://schemas.openxmlformats.org/officeDocument/2006/relationships/hyperlink" Target="https://drive.google.com/file/d/1DRCS3nyuww99w2uzBuQbDP0_Zi2bIHBZ/view?usp=sharing" TargetMode="External"/><Relationship Id="rId1451" Type="http://schemas.openxmlformats.org/officeDocument/2006/relationships/hyperlink" Target="https://drive.google.com/file/d/1kIqp4v3JL-n_eER1d8soXUgSdlZdfpx4/view?usp=sharing" TargetMode="External"/><Relationship Id="rId253" Type="http://schemas.openxmlformats.org/officeDocument/2006/relationships/hyperlink" Target="https://drive.google.com/file/d/1YSAht76tFMGMvs0iHhwM5IJz41I3IGOQ/view?usp=share_link" TargetMode="External"/><Relationship Id="rId460" Type="http://schemas.openxmlformats.org/officeDocument/2006/relationships/hyperlink" Target="https://drive.google.com/file/d/1WPwSdOjzL6Js18JKnzyTJdtPtkoxBASV/view?usp=share_link" TargetMode="External"/><Relationship Id="rId698" Type="http://schemas.openxmlformats.org/officeDocument/2006/relationships/hyperlink" Target="https://drive.google.com/file/d/1ZugYEcuwyNK0S0SdJyQjxvEcA6Yoco6m/view?usp=share_link" TargetMode="External"/><Relationship Id="rId919" Type="http://schemas.openxmlformats.org/officeDocument/2006/relationships/hyperlink" Target="https://drive.google.com/file/d/1lkTl8UOdo5R_LdEIupiTPKdS3sKP4HTI/view?usp=share_link" TargetMode="External"/><Relationship Id="rId1090" Type="http://schemas.openxmlformats.org/officeDocument/2006/relationships/hyperlink" Target="https://drive.google.com/file/d/1g6h7-PbuHStBl7T-1-MLCKyvtZ2TqGGk/view?usp=share_link" TargetMode="External"/><Relationship Id="rId1104" Type="http://schemas.openxmlformats.org/officeDocument/2006/relationships/hyperlink" Target="https://drive.google.com/file/d/1Yi3XSxQQSbN7UzkUnEJD5IYssWvdgsVL/view?usp=sharing" TargetMode="External"/><Relationship Id="rId1311" Type="http://schemas.openxmlformats.org/officeDocument/2006/relationships/hyperlink" Target="https://drive.google.com/file/d/1Eu0bw_T4w66eE8y_Ge_x7yXtcLZ1zYyk/view?usp=drive_link" TargetMode="External"/><Relationship Id="rId48" Type="http://schemas.openxmlformats.org/officeDocument/2006/relationships/hyperlink" Target="https://drive.google.com/file/d/136e2rDL6C5uRug344pNhnnOozqSEdhqc/view?usp=sharing" TargetMode="External"/><Relationship Id="rId113" Type="http://schemas.openxmlformats.org/officeDocument/2006/relationships/hyperlink" Target="https://drive.google.com/file/d/1LYfO4uxAFtL1TOLzTlyIVS9r3jL2_rni/view?usp=sharing" TargetMode="External"/><Relationship Id="rId320" Type="http://schemas.openxmlformats.org/officeDocument/2006/relationships/hyperlink" Target="https://drive.google.com/file/d/1BYg7N58le_3zJg8VB5vnG9whraKkXaKf/view?usp=share_link" TargetMode="External"/><Relationship Id="rId558" Type="http://schemas.openxmlformats.org/officeDocument/2006/relationships/hyperlink" Target="https://drive.google.com/file/d/150T9illvFM5SEz_siXZVOZRgB2gDTU0U/view?usp=share_link" TargetMode="External"/><Relationship Id="rId765" Type="http://schemas.openxmlformats.org/officeDocument/2006/relationships/hyperlink" Target="https://drive.google.com/file/d/1a3YrlbdCeqynGYrPYFSKf9i__83ejsxT/view?usp=share_link" TargetMode="External"/><Relationship Id="rId972" Type="http://schemas.openxmlformats.org/officeDocument/2006/relationships/hyperlink" Target="https://drive.google.com/file/d/1K1883WN7WLTa70zfWs4f8syZiph93n-K/view?usp=share_link" TargetMode="External"/><Relationship Id="rId1188" Type="http://schemas.openxmlformats.org/officeDocument/2006/relationships/hyperlink" Target="https://drive.google.com/file/d/1VNuZsCVjDkBZFssmqIXpGfr0kMhZhL50/view?usp=sharing" TargetMode="External"/><Relationship Id="rId1395" Type="http://schemas.openxmlformats.org/officeDocument/2006/relationships/hyperlink" Target="https://drive.google.com/open?id=1rc__-J-aebEZYYxAOowPaOyzfVxm3UCr&amp;usp=drive_fs" TargetMode="External"/><Relationship Id="rId1409" Type="http://schemas.openxmlformats.org/officeDocument/2006/relationships/hyperlink" Target="https://drive.google.com/open?id=14FauSKR9DhSgch808wo2egcbi47nGk7i&amp;usp=drive_fs" TargetMode="External"/><Relationship Id="rId197" Type="http://schemas.openxmlformats.org/officeDocument/2006/relationships/hyperlink" Target="https://drive.google.com/file/d/17d9G7glQI0EvQ7wCJoFhhjniinerl3SY/view?usp=share_link" TargetMode="External"/><Relationship Id="rId418" Type="http://schemas.openxmlformats.org/officeDocument/2006/relationships/hyperlink" Target="https://drive.google.com/file/d/1kz5D8rnGXDo63_uKyiXitMVRHxc4ZKoI/view?usp=share_link" TargetMode="External"/><Relationship Id="rId625" Type="http://schemas.openxmlformats.org/officeDocument/2006/relationships/hyperlink" Target="https://drive.google.com/file/d/11sxLSHf1sqpYzD2fhfpDWGY3mNUov7WO/view?usp=share_link" TargetMode="External"/><Relationship Id="rId832" Type="http://schemas.openxmlformats.org/officeDocument/2006/relationships/hyperlink" Target="https://drive.google.com/file/d/1zqBsRIox00sVNNCamxa6lSnvpbyEs40o/view?usp=share_link" TargetMode="External"/><Relationship Id="rId1048" Type="http://schemas.openxmlformats.org/officeDocument/2006/relationships/hyperlink" Target="https://drive.google.com/file/d/1f74l2umZ4-8I_woxWqzEmbBEFJZ-cWF6/view?usp=sharing" TargetMode="External"/><Relationship Id="rId1255" Type="http://schemas.openxmlformats.org/officeDocument/2006/relationships/hyperlink" Target="https://drive.google.com/file/d/17J7Ukb_im14KB5UAuh7GKpIgq7Q0QPFJ/view?usp=sharing" TargetMode="External"/><Relationship Id="rId1462" Type="http://schemas.openxmlformats.org/officeDocument/2006/relationships/hyperlink" Target="https://drive.google.com/file/d/1i-7eZdNF5DPBcUC8Pud2QQNV5KD1JAQg/view?usp=share_link" TargetMode="External"/><Relationship Id="rId264" Type="http://schemas.openxmlformats.org/officeDocument/2006/relationships/hyperlink" Target="https://drive.google.com/file/d/1jOkZep1yKHw09AzsYU4YKBTNC9fjvMZJ/view?usp=share_link" TargetMode="External"/><Relationship Id="rId471" Type="http://schemas.openxmlformats.org/officeDocument/2006/relationships/hyperlink" Target="https://drive.google.com/file/d/1CO97tokOnOhyN76spq8VkzfB4GSMKhOW/view?usp=share_link" TargetMode="External"/><Relationship Id="rId1115" Type="http://schemas.openxmlformats.org/officeDocument/2006/relationships/hyperlink" Target="https://drive.google.com/file/d/1GHtddUz4NGIDA8flZcy_NwWel_5qlEhf/view?usp=share_link" TargetMode="External"/><Relationship Id="rId1322" Type="http://schemas.openxmlformats.org/officeDocument/2006/relationships/hyperlink" Target="https://drive.google.com/file/d/1kIJfpKnJBX7hetFvaMc2k2KDUHh2uKj0/view?usp=sharing" TargetMode="External"/><Relationship Id="rId59" Type="http://schemas.openxmlformats.org/officeDocument/2006/relationships/hyperlink" Target="https://drive.google.com/file/d/1r6DzDJ4DQ0q1Mq-nDg9alKw6zibKu1P2/view?usp=sharing" TargetMode="External"/><Relationship Id="rId124" Type="http://schemas.openxmlformats.org/officeDocument/2006/relationships/hyperlink" Target="https://drive.google.com/file/d/17zm0XRYlVfcyGOtXjC9eNrQdm6kHzn1a/view?usp=sharing" TargetMode="External"/><Relationship Id="rId569" Type="http://schemas.openxmlformats.org/officeDocument/2006/relationships/hyperlink" Target="https://drive.google.com/file/d/1kiwhyCK1KcP4BSNajq1uCsXVY3qDtBVo/view?usp=share_link" TargetMode="External"/><Relationship Id="rId776" Type="http://schemas.openxmlformats.org/officeDocument/2006/relationships/hyperlink" Target="https://drive.google.com/file/d/1ODU0M6cHLVXqLg_yPJI3lsOVAA8qA-EZ/view?usp=share_link" TargetMode="External"/><Relationship Id="rId983" Type="http://schemas.openxmlformats.org/officeDocument/2006/relationships/hyperlink" Target="https://drive.google.com/file/d/1Vs0gN8iOsg6vjEX6poQVoEeq9ImRvs4S/view?usp=share_link" TargetMode="External"/><Relationship Id="rId1199" Type="http://schemas.openxmlformats.org/officeDocument/2006/relationships/hyperlink" Target="https://drive.google.com/file/d/1mcCAPguGUgv4giDO6OagNysYaWyHWEb5/view?usp=sharing" TargetMode="External"/><Relationship Id="rId331" Type="http://schemas.openxmlformats.org/officeDocument/2006/relationships/hyperlink" Target="https://drive.google.com/file/d/1JxwgG4qwxZV15yQJRs9gEp3ujm16HcoY/view?usp=share_link" TargetMode="External"/><Relationship Id="rId429" Type="http://schemas.openxmlformats.org/officeDocument/2006/relationships/hyperlink" Target="https://drive.google.com/file/d/1jhOMqKYgkpXrhyAXcqR8n1krsen2wkpJ/view?usp=share_link" TargetMode="External"/><Relationship Id="rId636" Type="http://schemas.openxmlformats.org/officeDocument/2006/relationships/hyperlink" Target="https://drive.google.com/file/d/1PTgqphS_x4Kki3WY5EdiUzzQBWaNMxjR/view?usp=share_link" TargetMode="External"/><Relationship Id="rId1059" Type="http://schemas.openxmlformats.org/officeDocument/2006/relationships/hyperlink" Target="https://drive.google.com/file/d/16TJYD3b38YEXMqbpjKbu9UuAQ3KUNhDQ/view?usp=share_link" TargetMode="External"/><Relationship Id="rId1266" Type="http://schemas.openxmlformats.org/officeDocument/2006/relationships/hyperlink" Target="https://drive.google.com/file/d/18TZzEjcyjODuSEepnlVZMPZ5qlcxV5AD/view?usp=sharing" TargetMode="External"/><Relationship Id="rId1473" Type="http://schemas.openxmlformats.org/officeDocument/2006/relationships/hyperlink" Target="https://drive.google.com/open?id=1ceLWxEfIDQcu4ODayLslouMuWD38ptba&amp;usp=drive_fs" TargetMode="External"/><Relationship Id="rId843" Type="http://schemas.openxmlformats.org/officeDocument/2006/relationships/hyperlink" Target="https://drive.google.com/file/d/1eSVnQe2duewGgd8AcxzYCZ00tKOeVEVC/view?usp=share_link" TargetMode="External"/><Relationship Id="rId1126" Type="http://schemas.openxmlformats.org/officeDocument/2006/relationships/hyperlink" Target="https://drive.google.com/file/d/186BKCfA41IG_PHjU_GNr10ZYXhx5rxGh/view?usp=share_link" TargetMode="External"/><Relationship Id="rId275" Type="http://schemas.openxmlformats.org/officeDocument/2006/relationships/hyperlink" Target="https://drive.google.com/file/d/1dJfOMT_ERBtU4z79dqx06UPRZPCxtgE-/view?usp=share_link" TargetMode="External"/><Relationship Id="rId482" Type="http://schemas.openxmlformats.org/officeDocument/2006/relationships/hyperlink" Target="https://drive.google.com/file/d/1CvbfyraBqrPeaFQqXYVfBDI61Km1fIc4/view?usp=share_link" TargetMode="External"/><Relationship Id="rId703" Type="http://schemas.openxmlformats.org/officeDocument/2006/relationships/hyperlink" Target="https://drive.google.com/file/d/1glDMLtG9kpe7Bk87rsE8vL1OXsG1DxbO/view?usp=share_link" TargetMode="External"/><Relationship Id="rId910" Type="http://schemas.openxmlformats.org/officeDocument/2006/relationships/hyperlink" Target="https://drive.google.com/file/d/1wEkMO01mVA8B0m4hZSQMedCW4O20r6Rl/view?usp=share_link" TargetMode="External"/><Relationship Id="rId1333" Type="http://schemas.openxmlformats.org/officeDocument/2006/relationships/hyperlink" Target="https://drive.google.com/file/d/1ObrFPZzLW0AwSigK2Cw8koMXb7A2y6I3/view?usp=share_link" TargetMode="External"/><Relationship Id="rId135" Type="http://schemas.openxmlformats.org/officeDocument/2006/relationships/hyperlink" Target="https://drive.google.com/file/d/1WKE0UMGxx_sgkpKu2bEbtF1nw7fe4KYG/view?usp=sharing" TargetMode="External"/><Relationship Id="rId342" Type="http://schemas.openxmlformats.org/officeDocument/2006/relationships/hyperlink" Target="https://drive.google.com/file/d/1sJPN4UGQSItugz4TqMnQZwQEr_7f7OqS/view?usp=share_link" TargetMode="External"/><Relationship Id="rId787" Type="http://schemas.openxmlformats.org/officeDocument/2006/relationships/hyperlink" Target="https://drive.google.com/file/d/1wCoDY2CX1eCeA_Di3h7RZ8r7Y81MAg4m/view?usp=share_link" TargetMode="External"/><Relationship Id="rId994" Type="http://schemas.openxmlformats.org/officeDocument/2006/relationships/hyperlink" Target="https://drive.google.com/file/d/1L4kZH_hghFpU4M7ur3ksqsYxY96MzpvN/view?usp=share_link" TargetMode="External"/><Relationship Id="rId1400" Type="http://schemas.openxmlformats.org/officeDocument/2006/relationships/hyperlink" Target="https://drive.google.com/open?id=1qgh_0H-PER0i7pGEIYLZZvzRSLuI_3fA&amp;usp=drive_fs" TargetMode="External"/><Relationship Id="rId202" Type="http://schemas.openxmlformats.org/officeDocument/2006/relationships/hyperlink" Target="https://drive.google.com/file/d/1XBUmraaCn8CQdny607hUSGy2P_7HE0qX/view?usp=share_link" TargetMode="External"/><Relationship Id="rId647" Type="http://schemas.openxmlformats.org/officeDocument/2006/relationships/hyperlink" Target="https://drive.google.com/file/d/1SGeLdrlCsVHPGCmKKof22OjUBpe7gqEX/view?usp=share_link" TargetMode="External"/><Relationship Id="rId854" Type="http://schemas.openxmlformats.org/officeDocument/2006/relationships/hyperlink" Target="https://drive.google.com/file/d/1ajqH8x_atiqUQ9MUiRHEycATn-JLXW1Q/view?usp=share_link" TargetMode="External"/><Relationship Id="rId1277" Type="http://schemas.openxmlformats.org/officeDocument/2006/relationships/hyperlink" Target="https://drive.google.com/file/d/1FBfCmw3YckNLN1-C0vV1vHcGzdRD_LBO/view?usp=sharing" TargetMode="External"/><Relationship Id="rId1484" Type="http://schemas.openxmlformats.org/officeDocument/2006/relationships/hyperlink" Target="https://drive.google.com/open?id=1EzFPlwEoXo1oAlwDlEYHZU0SvAqDRyvP&amp;usp=drive_fs" TargetMode="External"/><Relationship Id="rId286" Type="http://schemas.openxmlformats.org/officeDocument/2006/relationships/hyperlink" Target="https://drive.google.com/file/d/17iTquq4-PwRuc5Aw3xBwxwSfOUPQBCDl/view?usp=share_link" TargetMode="External"/><Relationship Id="rId493" Type="http://schemas.openxmlformats.org/officeDocument/2006/relationships/hyperlink" Target="https://drive.google.com/file/d/1bKuXRYn0wGXCr4_8YUQJJth41kXr1kqi/view?usp=sharing" TargetMode="External"/><Relationship Id="rId507" Type="http://schemas.openxmlformats.org/officeDocument/2006/relationships/hyperlink" Target="https://drive.google.com/file/d/14bhR_9LjC3-vQO4SaJ0Pw8WkZ_xAfIgS/view?usp=share_link" TargetMode="External"/><Relationship Id="rId714" Type="http://schemas.openxmlformats.org/officeDocument/2006/relationships/hyperlink" Target="https://drive.google.com/file/d/1Fr1jZBsmPiz2P-NoGoMbAIdb8j2lmr1E/view?usp=share_link" TargetMode="External"/><Relationship Id="rId921" Type="http://schemas.openxmlformats.org/officeDocument/2006/relationships/hyperlink" Target="https://drive.google.com/file/d/1Kt2SI4LAGmGLwFiLUlCoHFZabsqb_VZh/view?usp=share_link" TargetMode="External"/><Relationship Id="rId1137" Type="http://schemas.openxmlformats.org/officeDocument/2006/relationships/hyperlink" Target="https://drive.google.com/file/d/1-p0PG-4Mkr5bWN5Yav3pgnYWsCPWl0bu/view?usp=sharing" TargetMode="External"/><Relationship Id="rId1344" Type="http://schemas.openxmlformats.org/officeDocument/2006/relationships/hyperlink" Target="https://drive.google.com/open?id=10qzrwAfiG1zS1BThy-8086asIG80Xl0W&amp;usp=drive_fs" TargetMode="External"/><Relationship Id="rId50" Type="http://schemas.openxmlformats.org/officeDocument/2006/relationships/hyperlink" Target="https://drive.google.com/file/d/1qMKYqiUkKjac3L1bsGudLw2UI13cvF1n/view?usp=sharing" TargetMode="External"/><Relationship Id="rId146" Type="http://schemas.openxmlformats.org/officeDocument/2006/relationships/hyperlink" Target="https://drive.google.com/file/d/1dcYqyr8SvQOydA-rcxv3U6GnprnPmkx_/view?usp=sharing" TargetMode="External"/><Relationship Id="rId353" Type="http://schemas.openxmlformats.org/officeDocument/2006/relationships/hyperlink" Target="https://drive.google.com/file/d/1WhvrmUYlRFFS-ovI284gcRSnEATZ_Ra2/view?usp=share_link" TargetMode="External"/><Relationship Id="rId560" Type="http://schemas.openxmlformats.org/officeDocument/2006/relationships/hyperlink" Target="https://drive.google.com/file/d/1suRP-3-Y195HQuMuBAwZuFNuDm_lye_9/view?usp=share_link" TargetMode="External"/><Relationship Id="rId798" Type="http://schemas.openxmlformats.org/officeDocument/2006/relationships/hyperlink" Target="https://drive.google.com/file/d/18Wio2G5QLKr_kj-Bkirb-_ZQIYdZ3Wi5/view?usp=share_link" TargetMode="External"/><Relationship Id="rId1190" Type="http://schemas.openxmlformats.org/officeDocument/2006/relationships/hyperlink" Target="https://drive.google.com/file/d/1L37ziZLFqM26WY1rDFu9lg5Ucmae-Nwe/view?usp=share_link" TargetMode="External"/><Relationship Id="rId1204" Type="http://schemas.openxmlformats.org/officeDocument/2006/relationships/hyperlink" Target="https://drive.google.com/file/d/1A5uhGFfX-Q6cVxKz4NeFxwviGv9wQbhS/view?usp=sharing" TargetMode="External"/><Relationship Id="rId1411" Type="http://schemas.openxmlformats.org/officeDocument/2006/relationships/hyperlink" Target="https://drive.google.com/open?id=143GI3e_w4DIxyLSal_bkEgVg7LcO_B04&amp;usp=drive_fs" TargetMode="External"/><Relationship Id="rId213" Type="http://schemas.openxmlformats.org/officeDocument/2006/relationships/hyperlink" Target="https://drive.google.com/file/d/1fmjDoKhRSWJRy1R2s0BzsA4qGx9nEOCx/view?usp=share_link" TargetMode="External"/><Relationship Id="rId420" Type="http://schemas.openxmlformats.org/officeDocument/2006/relationships/hyperlink" Target="https://drive.google.com/file/d/1WHzrLBG4FoACyv86teGiFjz6tYOZIw0A/view?usp=share_link" TargetMode="External"/><Relationship Id="rId658" Type="http://schemas.openxmlformats.org/officeDocument/2006/relationships/hyperlink" Target="https://drive.google.com/file/d/1n5tk466ckC3ogxOJCtsrW6OM1LZ8MtKl/view?usp=share_link" TargetMode="External"/><Relationship Id="rId865" Type="http://schemas.openxmlformats.org/officeDocument/2006/relationships/hyperlink" Target="https://drive.google.com/file/d/1YpSJj6Cx-Yt6h5uJF3C0UUsij7Yf6jo_/view?usp=share_link" TargetMode="External"/><Relationship Id="rId1050" Type="http://schemas.openxmlformats.org/officeDocument/2006/relationships/hyperlink" Target="https://drive.google.com/file/d/1Swt_zUJh5MNeRvURu2p0gtt1wvAxXob2/view?usp=sharing" TargetMode="External"/><Relationship Id="rId1288" Type="http://schemas.openxmlformats.org/officeDocument/2006/relationships/hyperlink" Target="https://drive.google.com/file/d/1G4sejN9J_3Bwr5Zfh9fM9gq0Xgjnn5Kv/view?usp=sharing" TargetMode="External"/><Relationship Id="rId1495" Type="http://schemas.openxmlformats.org/officeDocument/2006/relationships/table" Target="../tables/table1.xml"/><Relationship Id="rId297" Type="http://schemas.openxmlformats.org/officeDocument/2006/relationships/hyperlink" Target="https://drive.google.com/file/d/1vdA2D5nhGXntXPf4bCcmdyb0EUtp-FY_/view?usp=share_link" TargetMode="External"/><Relationship Id="rId518" Type="http://schemas.openxmlformats.org/officeDocument/2006/relationships/hyperlink" Target="https://drive.google.com/file/d/10JBmpZSX_vDq_Ta8UhChdt7hZ2w8NQ7N/view?usp=share_link" TargetMode="External"/><Relationship Id="rId725" Type="http://schemas.openxmlformats.org/officeDocument/2006/relationships/hyperlink" Target="https://drive.google.com/file/d/1NUDblLZAcMsg0w8PCl9nvncHUWAwu7CU/view?usp=share_link" TargetMode="External"/><Relationship Id="rId932" Type="http://schemas.openxmlformats.org/officeDocument/2006/relationships/hyperlink" Target="https://drive.google.com/file/d/1rEzsqAD50u2O0a03SmiD8KHOdue-_nX0/view?usp=share_link" TargetMode="External"/><Relationship Id="rId1148" Type="http://schemas.openxmlformats.org/officeDocument/2006/relationships/hyperlink" Target="https://drive.google.com/file/d/10mR7gA4Kgqt_ZiISjV6TNLm9OBuEtxhG/view?usp=share_link" TargetMode="External"/><Relationship Id="rId1355" Type="http://schemas.openxmlformats.org/officeDocument/2006/relationships/hyperlink" Target="https://drive.google.com/open?id=158f5YEYOt8IBaiahaSWmsPF7ASJvEqat&amp;usp=drive_fs" TargetMode="External"/><Relationship Id="rId157" Type="http://schemas.openxmlformats.org/officeDocument/2006/relationships/hyperlink" Target="https://drive.google.com/file/d/1S5zHXCRRm1fLXDwbioWFpxMvRkl6diJL/view?usp=sharing" TargetMode="External"/><Relationship Id="rId364" Type="http://schemas.openxmlformats.org/officeDocument/2006/relationships/hyperlink" Target="https://drive.google.com/file/d/1L8_hm0Clc1stYMUzQQDnDN2yxYgkDuGj/view?usp=share_link" TargetMode="External"/><Relationship Id="rId1008" Type="http://schemas.openxmlformats.org/officeDocument/2006/relationships/hyperlink" Target="https://drive.google.com/file/d/1hgMu8wtIrDJS-sofXpERnbKVKp6q2cVt/view?usp=share_link" TargetMode="External"/><Relationship Id="rId1215" Type="http://schemas.openxmlformats.org/officeDocument/2006/relationships/hyperlink" Target="https://drive.google.com/file/d/1BVx0Ji53d70-gjAC9ZpLAG7vXZXhKcSb/view?usp=sharing" TargetMode="External"/><Relationship Id="rId1422" Type="http://schemas.openxmlformats.org/officeDocument/2006/relationships/hyperlink" Target="https://drive.google.com/open?id=1I7XEaaDoCe5V-7b3SJhF-lqr9IQPyhxd&amp;usp=drive_fs" TargetMode="External"/><Relationship Id="rId61" Type="http://schemas.openxmlformats.org/officeDocument/2006/relationships/hyperlink" Target="https://drive.google.com/file/d/1n-vfqLSBDtzFdYJMQncMGmPxT1J95n-a/view?usp=sharing" TargetMode="External"/><Relationship Id="rId571" Type="http://schemas.openxmlformats.org/officeDocument/2006/relationships/hyperlink" Target="https://drive.google.com/file/d/1vvcQi3kfZPSxH45lfRpQLiT108JBaA77/view?usp=share_link" TargetMode="External"/><Relationship Id="rId669" Type="http://schemas.openxmlformats.org/officeDocument/2006/relationships/hyperlink" Target="https://drive.google.com/file/d/1Sn5UBy6cQaPonU-_qmT-B2wMkVJmi6A2/view?usp=share_link" TargetMode="External"/><Relationship Id="rId876" Type="http://schemas.openxmlformats.org/officeDocument/2006/relationships/hyperlink" Target="https://drive.google.com/file/d/1SUB-QnC_BIZCasJzLLWqBJOw500N2JfQ/view?usp=share_link" TargetMode="External"/><Relationship Id="rId1299" Type="http://schemas.openxmlformats.org/officeDocument/2006/relationships/hyperlink" Target="https://drive.google.com/file/d/11jqVMYKbvSmMG-eA01u4m-QCQK1TmMv8/view?usp=sharing" TargetMode="External"/><Relationship Id="rId19" Type="http://schemas.openxmlformats.org/officeDocument/2006/relationships/hyperlink" Target="https://drive.google.com/file/d/1CFC7m_nJV5eLxwksf1DAQiKuJHZdwtMa/view?usp=sharing" TargetMode="External"/><Relationship Id="rId224" Type="http://schemas.openxmlformats.org/officeDocument/2006/relationships/hyperlink" Target="https://drive.google.com/file/d/1x6LypfWbwvrFa9xNsrWC_kFny9iUfXBw/view?usp=share_link" TargetMode="External"/><Relationship Id="rId431" Type="http://schemas.openxmlformats.org/officeDocument/2006/relationships/hyperlink" Target="https://drive.google.com/file/d/17rhdIUngnVvKTCyH235z5hDHomQ75P0H/view?usp=share_link" TargetMode="External"/><Relationship Id="rId529" Type="http://schemas.openxmlformats.org/officeDocument/2006/relationships/hyperlink" Target="https://drive.google.com/file/d/1dmU3sr6pe_I_5XtqW6kzYzTV7BfF44j3/view?usp=share_link" TargetMode="External"/><Relationship Id="rId736" Type="http://schemas.openxmlformats.org/officeDocument/2006/relationships/hyperlink" Target="https://drive.google.com/file/d/173W_qzse_BmZdG1TsYyLv1uOOqBuyeDO/view?usp=share_link" TargetMode="External"/><Relationship Id="rId1061" Type="http://schemas.openxmlformats.org/officeDocument/2006/relationships/hyperlink" Target="https://drive.google.com/file/d/1xq53cDJGW-XMkpknz03a7k4mkJIeYJ_U/view?usp=share_link" TargetMode="External"/><Relationship Id="rId1159" Type="http://schemas.openxmlformats.org/officeDocument/2006/relationships/hyperlink" Target="https://drive.google.com/file/d/1ZYX2CaGGurricu5e_T49jKWtkQPVeLQy/view?usp=sharing" TargetMode="External"/><Relationship Id="rId1366" Type="http://schemas.openxmlformats.org/officeDocument/2006/relationships/hyperlink" Target="https://drive.google.com/open?id=18uK_MGV-fivw1mi2G1iUchAemJfJjh4g&amp;usp=drive_fs" TargetMode="External"/><Relationship Id="rId168" Type="http://schemas.openxmlformats.org/officeDocument/2006/relationships/hyperlink" Target="https://drive.google.com/file/d/1SfyZI72mdtsj6SVUC5cUmwQpOh89JMOr/view?usp=sharing" TargetMode="External"/><Relationship Id="rId943" Type="http://schemas.openxmlformats.org/officeDocument/2006/relationships/hyperlink" Target="https://drive.google.com/file/d/1It28A1Q8C-EdN40h8nToCQq1FKWZEpkS/view?usp=share_link" TargetMode="External"/><Relationship Id="rId1019" Type="http://schemas.openxmlformats.org/officeDocument/2006/relationships/hyperlink" Target="https://drive.google.com/file/d/1tTD6o9I9mtBeRj4BufyieTL-2p1BByHD/view?usp=share_link" TargetMode="External"/><Relationship Id="rId72" Type="http://schemas.openxmlformats.org/officeDocument/2006/relationships/hyperlink" Target="https://drive.google.com/file/d/1r45wYHtI-r4fPIbaBHUqMMdf4mcjRlH_/view?usp=sharing" TargetMode="External"/><Relationship Id="rId375" Type="http://schemas.openxmlformats.org/officeDocument/2006/relationships/hyperlink" Target="https://drive.google.com/file/d/1EdE70NISDq1QcDljJZVF3N5XNmWnCQuP/view?usp=share_link" TargetMode="External"/><Relationship Id="rId582" Type="http://schemas.openxmlformats.org/officeDocument/2006/relationships/hyperlink" Target="https://drive.google.com/file/d/1nLxe1qkWAI9wuDDJQbuJLIUVMgdzkD4A/view?usp=share_link" TargetMode="External"/><Relationship Id="rId803" Type="http://schemas.openxmlformats.org/officeDocument/2006/relationships/hyperlink" Target="https://drive.google.com/file/d/1vJrP5HjJD2ZqBrr-aPACQXalwEzl0Ba4/view?usp=share_link" TargetMode="External"/><Relationship Id="rId1226" Type="http://schemas.openxmlformats.org/officeDocument/2006/relationships/hyperlink" Target="https://drive.google.com/file/d/1CPIJQ9ypvcf6Ma8cQaxp9iZJWigbmfz_/view?usp=sharing" TargetMode="External"/><Relationship Id="rId1433" Type="http://schemas.openxmlformats.org/officeDocument/2006/relationships/hyperlink" Target="https://drive.google.com/open?id=1HrgRYG1uVksnziXpxAgSORlgmF6wnfSF&amp;usp=drive_fs" TargetMode="External"/><Relationship Id="rId3" Type="http://schemas.openxmlformats.org/officeDocument/2006/relationships/hyperlink" Target="https://drive.google.com/file/d/1Ja6FiBUG1k6XDffF4HUsvS1zgUS_BFPS/view?usp=sharing" TargetMode="External"/><Relationship Id="rId235" Type="http://schemas.openxmlformats.org/officeDocument/2006/relationships/hyperlink" Target="https://drive.google.com/file/d/1L0hbHNDVRotPnNGk2mROIeWWqEKqNaUr/view?usp=share_link" TargetMode="External"/><Relationship Id="rId442" Type="http://schemas.openxmlformats.org/officeDocument/2006/relationships/hyperlink" Target="https://drive.google.com/file/d/1aDHG1CsoDXEtWk6JZ1kGnc3jX5_BPbnx/view?usp=share_link" TargetMode="External"/><Relationship Id="rId887" Type="http://schemas.openxmlformats.org/officeDocument/2006/relationships/hyperlink" Target="https://drive.google.com/file/d/1znzcpR3EAhJRh6rdCXzWZRFaXkgK24nx/view?usp=share_link" TargetMode="External"/><Relationship Id="rId1072" Type="http://schemas.openxmlformats.org/officeDocument/2006/relationships/hyperlink" Target="https://drive.google.com/file/d/1D5t0-qCLw6ppk8cEp8UGMv-5aG1K602q/view?usp=share_link" TargetMode="External"/><Relationship Id="rId302" Type="http://schemas.openxmlformats.org/officeDocument/2006/relationships/hyperlink" Target="https://drive.google.com/file/d/1r7QzIwfmTR2K8R-8fpOiOYJjH3wrEYQi/view?usp=share_link" TargetMode="External"/><Relationship Id="rId747" Type="http://schemas.openxmlformats.org/officeDocument/2006/relationships/hyperlink" Target="https://drive.google.com/file/d/17aMLAOFxGRa-BDxaA3MW2A7a-14g_ik5/view?usp=share_link" TargetMode="External"/><Relationship Id="rId954" Type="http://schemas.openxmlformats.org/officeDocument/2006/relationships/hyperlink" Target="https://drive.google.com/file/d/1w9m5E_vNmeGkzhciQDYpnaXqzcJfS4zf/view?usp=share_link" TargetMode="External"/><Relationship Id="rId1377" Type="http://schemas.openxmlformats.org/officeDocument/2006/relationships/hyperlink" Target="https://drive.google.com/open?id=1DLDw5rrLVIvzYv-fI6FhlqKDXJNYvJxP&amp;usp=drive_fs" TargetMode="External"/><Relationship Id="rId83" Type="http://schemas.openxmlformats.org/officeDocument/2006/relationships/hyperlink" Target="https://drive.google.com/file/d/1w9PTpxEJ2OGEQEh4daGcYJWW2Kf17Pz-/view?usp=sharing" TargetMode="External"/><Relationship Id="rId179" Type="http://schemas.openxmlformats.org/officeDocument/2006/relationships/hyperlink" Target="https://drive.google.com/file/d/1rlYlnVyNC6WsGcqoVX_cN-a4wlZO8Sp7/view?usp=sharing" TargetMode="External"/><Relationship Id="rId386" Type="http://schemas.openxmlformats.org/officeDocument/2006/relationships/hyperlink" Target="https://drive.google.com/file/d/13hmIsoswwWD6PauWOORWG65KJJ7jsnDT/view?usp=share_link" TargetMode="External"/><Relationship Id="rId593" Type="http://schemas.openxmlformats.org/officeDocument/2006/relationships/hyperlink" Target="https://drive.google.com/file/d/1VjlF33mJzKp1I7XYvHwg0UBs_o7QQS6a/view?usp=share_link" TargetMode="External"/><Relationship Id="rId607" Type="http://schemas.openxmlformats.org/officeDocument/2006/relationships/hyperlink" Target="https://drive.google.com/file/d/1x1HbmJ8JVNPKVbK8vjCygucbqqcXgK4y/view?usp=share_link" TargetMode="External"/><Relationship Id="rId814" Type="http://schemas.openxmlformats.org/officeDocument/2006/relationships/hyperlink" Target="https://drive.google.com/file/d/1qqF4oezTG8yoL012BlNCwlSY1Zscx3Up/view?usp=share_link" TargetMode="External"/><Relationship Id="rId1237" Type="http://schemas.openxmlformats.org/officeDocument/2006/relationships/hyperlink" Target="https://drive.google.com/file/d/1D3nvmGvmCkbLaHLHcS3kxv2qCT8nfGxK/view?usp=sharing" TargetMode="External"/><Relationship Id="rId1444" Type="http://schemas.openxmlformats.org/officeDocument/2006/relationships/hyperlink" Target="https://drive.google.com/open?id=1H_hYtPhmMQyUXvIz9ulO6vLHe6mZRe_r&amp;usp=drive_fs" TargetMode="External"/><Relationship Id="rId246" Type="http://schemas.openxmlformats.org/officeDocument/2006/relationships/hyperlink" Target="https://drive.google.com/file/d/1RH1D319dVDFM8m-R6l-BR4vjE8eg9GLc/view?usp=share_link" TargetMode="External"/><Relationship Id="rId453" Type="http://schemas.openxmlformats.org/officeDocument/2006/relationships/hyperlink" Target="https://drive.google.com/file/d/10QXcry2YIPGSiaRXzkG9pKdXVgYpMN-_/view?usp=share_link" TargetMode="External"/><Relationship Id="rId660" Type="http://schemas.openxmlformats.org/officeDocument/2006/relationships/hyperlink" Target="https://drive.google.com/file/d/1VapGAYARd2wCqmIblHFBnymiTb_hXcbQ/view?usp=share_link" TargetMode="External"/><Relationship Id="rId898" Type="http://schemas.openxmlformats.org/officeDocument/2006/relationships/hyperlink" Target="https://drive.google.com/file/d/1y2fDAjWcBqG-_zIP0_DWag-whVwUNwcd/view?usp=share_link" TargetMode="External"/><Relationship Id="rId1083" Type="http://schemas.openxmlformats.org/officeDocument/2006/relationships/hyperlink" Target="https://drive.google.com/file/d/1kUgC7HEBgIkw9YoXoJBIImQXk34C4tOa/view?usp=share_link" TargetMode="External"/><Relationship Id="rId1290" Type="http://schemas.openxmlformats.org/officeDocument/2006/relationships/hyperlink" Target="https://drive.google.com/file/d/1GA8_n1Q0z-x20YboTI5DBpwKehWt4UQz/view?usp=sharing" TargetMode="External"/><Relationship Id="rId1304" Type="http://schemas.openxmlformats.org/officeDocument/2006/relationships/hyperlink" Target="https://drive.google.com/file/d/11BMNypqdJ5eE4TofpzE4RJat53I30enQ/view?usp=drive_link" TargetMode="External"/><Relationship Id="rId106" Type="http://schemas.openxmlformats.org/officeDocument/2006/relationships/hyperlink" Target="https://drive.google.com/file/d/1_MSE3AI68t300-Z5NcwKn8C7FU21V_J5/view?usp=sharing" TargetMode="External"/><Relationship Id="rId313" Type="http://schemas.openxmlformats.org/officeDocument/2006/relationships/hyperlink" Target="https://drive.google.com/file/d/1zUNt-3fx6N7rgo12NQWQdOkSlMZvth0g/view?usp=share_link" TargetMode="External"/><Relationship Id="rId758" Type="http://schemas.openxmlformats.org/officeDocument/2006/relationships/hyperlink" Target="https://drive.google.com/file/d/1Djmm48z_QB7L7MQ73EgtiO_VVZgorHH-/view?usp=share_link" TargetMode="External"/><Relationship Id="rId965" Type="http://schemas.openxmlformats.org/officeDocument/2006/relationships/hyperlink" Target="https://drive.google.com/file/d/1SuYPCp6B7475f3v_8YBrcfDSZc5yD-9D/view?usp=share_link" TargetMode="External"/><Relationship Id="rId1150" Type="http://schemas.openxmlformats.org/officeDocument/2006/relationships/hyperlink" Target="https://drive.google.com/file/d/1CLXhAhfGWfaahIXB3-jiPX_NZxdIdK3T/view?usp=sharing" TargetMode="External"/><Relationship Id="rId1388" Type="http://schemas.openxmlformats.org/officeDocument/2006/relationships/hyperlink" Target="https://drive.google.com/open?id=1apfWpIuBj26GXBK2MXofZbhmTscgBt_R&amp;usp=drive_fs" TargetMode="External"/><Relationship Id="rId10" Type="http://schemas.openxmlformats.org/officeDocument/2006/relationships/hyperlink" Target="https://drive.google.com/file/d/1v2pe8gLNtAMeJb3EG5sw_Uq3jEna-Iu8/view?usp=sharing" TargetMode="External"/><Relationship Id="rId94" Type="http://schemas.openxmlformats.org/officeDocument/2006/relationships/hyperlink" Target="https://drive.google.com/file/d/1nBlpBkLbbTVVoghpU5Qsbf8B6MK3bcYh/view?usp=sharing" TargetMode="External"/><Relationship Id="rId397" Type="http://schemas.openxmlformats.org/officeDocument/2006/relationships/hyperlink" Target="https://drive.google.com/file/d/11H0RjlguHRvect4ubYH8UoKkEIlwgX19/view?usp=share_link" TargetMode="External"/><Relationship Id="rId520" Type="http://schemas.openxmlformats.org/officeDocument/2006/relationships/hyperlink" Target="https://drive.google.com/file/d/153IgWtZm1TBQY0YDV0v4RitqVXGOlhUy/view?usp=share_link" TargetMode="External"/><Relationship Id="rId618" Type="http://schemas.openxmlformats.org/officeDocument/2006/relationships/hyperlink" Target="https://drive.google.com/file/d/1yTfHVKGGgzH7nAS1QxfruzCWkT3smlHe/view?usp=share_link" TargetMode="External"/><Relationship Id="rId825" Type="http://schemas.openxmlformats.org/officeDocument/2006/relationships/hyperlink" Target="https://drive.google.com/file/d/1cBMp_6wjJg_FvuPjR4Bf0ucV1T2O0Eax/view?usp=share_link" TargetMode="External"/><Relationship Id="rId1248" Type="http://schemas.openxmlformats.org/officeDocument/2006/relationships/hyperlink" Target="https://drive.google.com/file/d/16MR1l_A2zHT--v_km8pVSfPuPKdn-Pa0/view?usp=sharing" TargetMode="External"/><Relationship Id="rId1455" Type="http://schemas.openxmlformats.org/officeDocument/2006/relationships/hyperlink" Target="https://drive.google.com/open?id=1bQut8J49T4-HqK_9IerFCECZEhAWbWOJ&amp;usp=drive_fs" TargetMode="External"/><Relationship Id="rId257" Type="http://schemas.openxmlformats.org/officeDocument/2006/relationships/hyperlink" Target="https://drive.google.com/file/d/1j7B2LRjMktdtZOTMBDogEEQTgsI_IyRn/view?usp=share_link" TargetMode="External"/><Relationship Id="rId464" Type="http://schemas.openxmlformats.org/officeDocument/2006/relationships/hyperlink" Target="https://drive.google.com/file/d/1J3PYMUTlI5dzXWefJhHI2BxkH0YTxnFQ/view?usp=share_link" TargetMode="External"/><Relationship Id="rId1010" Type="http://schemas.openxmlformats.org/officeDocument/2006/relationships/hyperlink" Target="https://drive.google.com/file/d/1selCp5SncyFnigb6ClCH7yLiE4SjkKE-/view?usp=share_link" TargetMode="External"/><Relationship Id="rId1094" Type="http://schemas.openxmlformats.org/officeDocument/2006/relationships/hyperlink" Target="https://drive.google.com/file/d/1_HkjlM04k_IS8lH-_X9evUhEky-SPF7d/view?usp=share_link" TargetMode="External"/><Relationship Id="rId1108" Type="http://schemas.openxmlformats.org/officeDocument/2006/relationships/hyperlink" Target="https://drive.google.com/file/d/1-CuNs_1BUBzKSL4tQi9BP080v1L9IiD8/view?usp=share_link" TargetMode="External"/><Relationship Id="rId1315" Type="http://schemas.openxmlformats.org/officeDocument/2006/relationships/hyperlink" Target="https://drive.google.com/file/d/1japodpO4VDgOHZzKqYoZ6evQUFGxCcPT/view?usp=drive_link" TargetMode="External"/><Relationship Id="rId117" Type="http://schemas.openxmlformats.org/officeDocument/2006/relationships/hyperlink" Target="https://drive.google.com/file/d/1xSu7Fjxnx8WFI0EbZa0FHnlY4CW-YsQj/view?usp=sharing" TargetMode="External"/><Relationship Id="rId671" Type="http://schemas.openxmlformats.org/officeDocument/2006/relationships/hyperlink" Target="https://drive.google.com/file/d/1QssCZvh1kDRjx1CsZW2rUaXpkPrtnhVg/view?usp=share_link" TargetMode="External"/><Relationship Id="rId769" Type="http://schemas.openxmlformats.org/officeDocument/2006/relationships/hyperlink" Target="https://drive.google.com/file/d/11vybC2DozsE8Xy1SM7D-ZDDV5FNWMVZD/view?usp=share_link" TargetMode="External"/><Relationship Id="rId976" Type="http://schemas.openxmlformats.org/officeDocument/2006/relationships/hyperlink" Target="https://drive.google.com/file/d/1zT3BeLd85BBjJ3J1Yeox54m8YFbNXuX3/view?usp=share_link" TargetMode="External"/><Relationship Id="rId1399" Type="http://schemas.openxmlformats.org/officeDocument/2006/relationships/hyperlink" Target="https://drive.google.com/open?id=1-7s3NNRPQjutz4bbObxguHWNPHhal1zu&amp;usp=drive_fs" TargetMode="External"/><Relationship Id="rId324" Type="http://schemas.openxmlformats.org/officeDocument/2006/relationships/hyperlink" Target="https://drive.google.com/file/d/1FnjvC81Ad9INryK53HRBgVQNvYRYD07D/view?usp=share_link" TargetMode="External"/><Relationship Id="rId531" Type="http://schemas.openxmlformats.org/officeDocument/2006/relationships/hyperlink" Target="https://drive.google.com/file/d/1a4mM-P9TlGqfqM31l3UtXgTY4UKt1b1v/view?usp=share_link" TargetMode="External"/><Relationship Id="rId629" Type="http://schemas.openxmlformats.org/officeDocument/2006/relationships/hyperlink" Target="https://drive.google.com/file/d/116jLi8bB9pUqQ1utGpmSgv3gHrFkRmjz/view?usp=share_link" TargetMode="External"/><Relationship Id="rId1161" Type="http://schemas.openxmlformats.org/officeDocument/2006/relationships/hyperlink" Target="https://drive.google.com/file/d/1EP575jSub_kgvwBvU_c9D2YiQXxLPtSG/view?usp=drive_link" TargetMode="External"/><Relationship Id="rId1259" Type="http://schemas.openxmlformats.org/officeDocument/2006/relationships/hyperlink" Target="https://drive.google.com/file/d/16Xh9lueqS-F1oBs6VMa_g8Leoxzj2JCb/view?usp=sharing" TargetMode="External"/><Relationship Id="rId1466" Type="http://schemas.openxmlformats.org/officeDocument/2006/relationships/hyperlink" Target="https://drive.google.com/open?id=19xCYTzzh_obHYIAlJlbU31JDEKNT2ZYU&amp;usp=drive_fs" TargetMode="External"/><Relationship Id="rId836" Type="http://schemas.openxmlformats.org/officeDocument/2006/relationships/hyperlink" Target="https://drive.google.com/file/d/1-ldmCtuVk7r-BWB6m_AnDG0QQ6sKDHnD/view?usp=share_link" TargetMode="External"/><Relationship Id="rId1021" Type="http://schemas.openxmlformats.org/officeDocument/2006/relationships/hyperlink" Target="https://drive.google.com/file/d/1MYCQyeiaGmJ1MRGwkiGHM3xPXhE5xfHj/view?usp=share_link" TargetMode="External"/><Relationship Id="rId1119" Type="http://schemas.openxmlformats.org/officeDocument/2006/relationships/hyperlink" Target="https://drive.google.com/file/d/14y3TBhUejQOBTSizcLa5OU5C8QiBgs7B/view?usp=share_link" TargetMode="External"/><Relationship Id="rId903" Type="http://schemas.openxmlformats.org/officeDocument/2006/relationships/hyperlink" Target="https://drive.google.com/file/d/1fyiinKygARt_bq2QhXG_FKXTiw0LMR7F/view?usp=share_link" TargetMode="External"/><Relationship Id="rId1326" Type="http://schemas.openxmlformats.org/officeDocument/2006/relationships/hyperlink" Target="https://drive.google.com/file/d/1jXU68mLTM9B-lAL3z04L6UopZDlyATTh/view?usp=drive_link" TargetMode="External"/><Relationship Id="rId32" Type="http://schemas.openxmlformats.org/officeDocument/2006/relationships/hyperlink" Target="https://drive.google.com/file/d/1z79aOyvbB5KWWuRxS04EUVvnBoohyUWy/view?usp=sharing" TargetMode="External"/><Relationship Id="rId181" Type="http://schemas.openxmlformats.org/officeDocument/2006/relationships/hyperlink" Target="https://drive.google.com/file/d/1ojyY6s-e3S2XcZOg2tYXkao6TJwVMNZm/view?usp=sharing" TargetMode="External"/><Relationship Id="rId279" Type="http://schemas.openxmlformats.org/officeDocument/2006/relationships/hyperlink" Target="https://drive.google.com/file/d/1pTbXLbh6X6CsPLGOwZtM48v0p1yUYMON/view?usp=share_link" TargetMode="External"/><Relationship Id="rId486" Type="http://schemas.openxmlformats.org/officeDocument/2006/relationships/hyperlink" Target="https://drive.google.com/file/d/1rkqlESxPV-P4aUrtHOpKLyoPz-3wrBEq/view?usp=share_link" TargetMode="External"/><Relationship Id="rId693" Type="http://schemas.openxmlformats.org/officeDocument/2006/relationships/hyperlink" Target="https://drive.google.com/file/d/1BkGJ3feFk56-nuqjLh6i8zFoD1AGnBc1/view?usp=share_link" TargetMode="External"/><Relationship Id="rId139" Type="http://schemas.openxmlformats.org/officeDocument/2006/relationships/hyperlink" Target="https://drive.google.com/file/d/1y82eF-XhgLQzAsIShPlRSSqMg26InVut/view?usp=sharing" TargetMode="External"/><Relationship Id="rId346" Type="http://schemas.openxmlformats.org/officeDocument/2006/relationships/hyperlink" Target="https://drive.google.com/file/d/1wxJrsLntdGDvc3DcNMIUK1Y3t6na8t52/view?usp=share_link" TargetMode="External"/><Relationship Id="rId553" Type="http://schemas.openxmlformats.org/officeDocument/2006/relationships/hyperlink" Target="https://drive.google.com/file/d/1wunUYIqarosTrwfwrpu3LMfZUVw32mr0/view?usp=share_link" TargetMode="External"/><Relationship Id="rId760" Type="http://schemas.openxmlformats.org/officeDocument/2006/relationships/hyperlink" Target="https://drive.google.com/file/d/1Nscdp0uikEGGP4Ub0VX6SSPq8zonYeFz/view?usp=share_link" TargetMode="External"/><Relationship Id="rId998" Type="http://schemas.openxmlformats.org/officeDocument/2006/relationships/hyperlink" Target="https://drive.google.com/file/d/1PMfeTE4d9bILrywczciEGIElHQFS0OmK/view?usp=share_link" TargetMode="External"/><Relationship Id="rId1183" Type="http://schemas.openxmlformats.org/officeDocument/2006/relationships/hyperlink" Target="https://drive.google.com/file/d/1DdBnrTk0wB_yPtyjfJT1NQm7hLykx8e6/view?usp=sharing" TargetMode="External"/><Relationship Id="rId1390" Type="http://schemas.openxmlformats.org/officeDocument/2006/relationships/hyperlink" Target="https://drive.google.com/open?id=1IyxRyYf_yZmgpuI9V5lvLNIEBlZvVfuB&amp;usp=drive_fs" TargetMode="External"/><Relationship Id="rId206" Type="http://schemas.openxmlformats.org/officeDocument/2006/relationships/hyperlink" Target="https://drive.google.com/file/d/1Kz0FbEnrwZT3-ANWRbSYUvzOo0asEr0U/view?usp=share_link" TargetMode="External"/><Relationship Id="rId413" Type="http://schemas.openxmlformats.org/officeDocument/2006/relationships/hyperlink" Target="https://drive.google.com/file/d/14genQp1XYB0VwWuyeG0lkvTobxCRvqtx/view?usp=share_link" TargetMode="External"/><Relationship Id="rId858" Type="http://schemas.openxmlformats.org/officeDocument/2006/relationships/hyperlink" Target="https://drive.google.com/file/d/1Z-pIfXSwWpaU2tu-_exqXJksUoW2LJmN/view?usp=share_link" TargetMode="External"/><Relationship Id="rId1043" Type="http://schemas.openxmlformats.org/officeDocument/2006/relationships/hyperlink" Target="https://drive.google.com/file/d/1ArFJtIsO8HB5Kv3tFP4awpPtvIpyGN4J/view?usp=sharing" TargetMode="External"/><Relationship Id="rId1488" Type="http://schemas.openxmlformats.org/officeDocument/2006/relationships/hyperlink" Target="https://drive.google.com/file/d/1-slcjXrNdnNQbtC7tq2cYHk3r-BbA5SO/view?usp=share_link" TargetMode="External"/><Relationship Id="rId620" Type="http://schemas.openxmlformats.org/officeDocument/2006/relationships/hyperlink" Target="https://drive.google.com/file/d/14sBLplh2n2qIXRBUCOOhsofmyK-Nz3za/view?usp=share_link" TargetMode="External"/><Relationship Id="rId718" Type="http://schemas.openxmlformats.org/officeDocument/2006/relationships/hyperlink" Target="https://drive.google.com/file/d/1I30TkwTYKWEkGhbmj1aM7grNlcCpFPmj/view?usp=share_link" TargetMode="External"/><Relationship Id="rId925" Type="http://schemas.openxmlformats.org/officeDocument/2006/relationships/hyperlink" Target="https://drive.google.com/file/d/12HBJ0gRby7kFX3v1ndtp4tLBMJ4F1HUF/view?usp=share_link" TargetMode="External"/><Relationship Id="rId1250" Type="http://schemas.openxmlformats.org/officeDocument/2006/relationships/hyperlink" Target="https://drive.google.com/file/d/165fLve63G9sH_SEOXyXTXdhlQ-jGeJ3X/view?usp=sharing" TargetMode="External"/><Relationship Id="rId1348" Type="http://schemas.openxmlformats.org/officeDocument/2006/relationships/hyperlink" Target="https://drive.google.com/open?id=137GXqPap6f7CBz9UU78jnTHVD3Lu796F&amp;usp=drive_fs" TargetMode="External"/><Relationship Id="rId1110" Type="http://schemas.openxmlformats.org/officeDocument/2006/relationships/hyperlink" Target="https://drive.google.com/file/d/1yxdA6NuXhp4pQfhW_E5R_ctLqd-d6Jwx/view?usp=share_link" TargetMode="External"/><Relationship Id="rId1208" Type="http://schemas.openxmlformats.org/officeDocument/2006/relationships/hyperlink" Target="https://drive.google.com/file/d/1B1WYGx8pcqzRPq1xG-bSYdHO05WdA9xq/view?usp=sharing" TargetMode="External"/><Relationship Id="rId1415" Type="http://schemas.openxmlformats.org/officeDocument/2006/relationships/hyperlink" Target="https://drive.google.com/open?id=11Ueh7W-krsyguyhjBG_DmWcTo0tVJSwI&amp;usp=drive_fs" TargetMode="External"/><Relationship Id="rId54" Type="http://schemas.openxmlformats.org/officeDocument/2006/relationships/hyperlink" Target="https://drive.google.com/file/d/1Dgggu6TdDShfcZjJYRolsCmvOez1-3fA/view?usp=sharing" TargetMode="External"/><Relationship Id="rId270" Type="http://schemas.openxmlformats.org/officeDocument/2006/relationships/hyperlink" Target="https://drive.google.com/file/d/1OeNH4Ba_ig9sBwGj4meL1a41juI5MF13/view?usp=share_link" TargetMode="External"/><Relationship Id="rId130" Type="http://schemas.openxmlformats.org/officeDocument/2006/relationships/hyperlink" Target="https://drive.google.com/file/d/1S4Wu6DPD8MlrEW8RhHpUdhvgdHfRDuJv/view?usp=sharing" TargetMode="External"/><Relationship Id="rId368" Type="http://schemas.openxmlformats.org/officeDocument/2006/relationships/hyperlink" Target="https://drive.google.com/file/d/1bWMEZULEVXDkhCMCygh9RCstJIqKdiSR/view?usp=share_link" TargetMode="External"/><Relationship Id="rId575" Type="http://schemas.openxmlformats.org/officeDocument/2006/relationships/hyperlink" Target="https://drive.google.com/file/d/1hHxU9G6QZVcmRQ4SrK1c0UOxGlrE0Syx/view?usp=share_link" TargetMode="External"/><Relationship Id="rId782" Type="http://schemas.openxmlformats.org/officeDocument/2006/relationships/hyperlink" Target="https://drive.google.com/file/d/1l1ByBnxnApN6fHA9hJMcspm8YBrx1_kd/view?usp=share_link" TargetMode="External"/><Relationship Id="rId228" Type="http://schemas.openxmlformats.org/officeDocument/2006/relationships/hyperlink" Target="https://drive.google.com/file/d/1UGIF8jbNQT0DW4_lhacTNr_aYWqC3wbN/view?usp=share_link" TargetMode="External"/><Relationship Id="rId435" Type="http://schemas.openxmlformats.org/officeDocument/2006/relationships/hyperlink" Target="https://drive.google.com/file/d/1u_a08WExldVTRu5DuHUk5WSV2pRIiT5E/view?usp=share_link" TargetMode="External"/><Relationship Id="rId642" Type="http://schemas.openxmlformats.org/officeDocument/2006/relationships/hyperlink" Target="https://drive.google.com/file/d/1jLMeMSm3PxsPUzeViLHpZtF0_ZPYCSSu/view?usp=share_link" TargetMode="External"/><Relationship Id="rId1065" Type="http://schemas.openxmlformats.org/officeDocument/2006/relationships/hyperlink" Target="https://drive.google.com/file/d/1QWlb1iEp8AbkWRgTuAECtKWmFo2-KtBG/view?usp=sharing" TargetMode="External"/><Relationship Id="rId1272" Type="http://schemas.openxmlformats.org/officeDocument/2006/relationships/hyperlink" Target="https://drive.google.com/file/d/10XBVnLi2FeMLaWSF5eVhBrHhyfl72OsI/view?usp=sharing" TargetMode="External"/><Relationship Id="rId502" Type="http://schemas.openxmlformats.org/officeDocument/2006/relationships/hyperlink" Target="https://drive.google.com/file/d/1lM5rTdjf-xy9FqvnqZ4mQVz7pcVgKm1A/view?usp=sharing" TargetMode="External"/><Relationship Id="rId947" Type="http://schemas.openxmlformats.org/officeDocument/2006/relationships/hyperlink" Target="https://drive.google.com/file/d/1pnInuJi_6HcUsRb6e-pDvfm-rJDLx_aV/view?usp=share_link" TargetMode="External"/><Relationship Id="rId1132" Type="http://schemas.openxmlformats.org/officeDocument/2006/relationships/hyperlink" Target="https://drive.google.com/file/d/1-ICy6qgatuOJvporw6oyqV09suXwq73S/view?usp=share_link" TargetMode="External"/><Relationship Id="rId76" Type="http://schemas.openxmlformats.org/officeDocument/2006/relationships/hyperlink" Target="https://drive.google.com/file/d/1cIGP6aWbT03fYfM0TwVKyl--Ax3qobiq/view?usp=sharing" TargetMode="External"/><Relationship Id="rId807" Type="http://schemas.openxmlformats.org/officeDocument/2006/relationships/hyperlink" Target="https://drive.google.com/file/d/1gV9lyruDM99uJBKuYaBLrcgNmdDB7zxd/view?usp=share_link" TargetMode="External"/><Relationship Id="rId1437" Type="http://schemas.openxmlformats.org/officeDocument/2006/relationships/hyperlink" Target="https://drive.google.com/open?id=1Q_boHhyPmNIC2hihtesL08csdSaMP92r&amp;usp=drive_fs" TargetMode="External"/><Relationship Id="rId292" Type="http://schemas.openxmlformats.org/officeDocument/2006/relationships/hyperlink" Target="https://drive.google.com/file/d/1MYCL5lPJSJE2u5QtBoyRvj8a1RtTsSou/view?usp=share_link" TargetMode="External"/><Relationship Id="rId597" Type="http://schemas.openxmlformats.org/officeDocument/2006/relationships/hyperlink" Target="https://drive.google.com/file/d/1KhaM3D-Aq2_GN1wbj3qVUKSb3iv2JPWX/view?usp=share_link" TargetMode="External"/><Relationship Id="rId152" Type="http://schemas.openxmlformats.org/officeDocument/2006/relationships/hyperlink" Target="https://drive.google.com/file/d/14BpQL2ZyAp_vZvoE9yiqkbiMrFaeLcwc/view?usp=sharing" TargetMode="External"/><Relationship Id="rId457" Type="http://schemas.openxmlformats.org/officeDocument/2006/relationships/hyperlink" Target="https://drive.google.com/file/d/1r-iTBke_xi8dskYoYFu0mn8iSYPIMQnL/view?usp=share_link" TargetMode="External"/><Relationship Id="rId1087" Type="http://schemas.openxmlformats.org/officeDocument/2006/relationships/hyperlink" Target="https://drive.google.com/file/d/1QMdDEGgxKc-XZdmWdQ8pDvAcRUHo3Kym/view?usp=share_link" TargetMode="External"/><Relationship Id="rId1294" Type="http://schemas.openxmlformats.org/officeDocument/2006/relationships/hyperlink" Target="https://drive.google.com/file/d/1U9KsPLE_tewR41E5fX8YzarHERU3cUKb/view?usp=sharing" TargetMode="External"/><Relationship Id="rId664" Type="http://schemas.openxmlformats.org/officeDocument/2006/relationships/hyperlink" Target="https://drive.google.com/file/d/1VfP2AT5PYdQ21ZoyEF8P_Hi7WDX4nfSw/view?usp=share_link" TargetMode="External"/><Relationship Id="rId871" Type="http://schemas.openxmlformats.org/officeDocument/2006/relationships/hyperlink" Target="https://drive.google.com/file/d/1C363ol-3CB-RWBatKDYymLyFIdYNc53k/view?usp=share_link" TargetMode="External"/><Relationship Id="rId969" Type="http://schemas.openxmlformats.org/officeDocument/2006/relationships/hyperlink" Target="https://drive.google.com/file/d/1OpxrCyCKYuJ_89W6MUEh7ZISwUWsriKg/view?usp=share_link" TargetMode="External"/><Relationship Id="rId317" Type="http://schemas.openxmlformats.org/officeDocument/2006/relationships/hyperlink" Target="https://drive.google.com/file/d/1jI3jIZHCNVZ89Wew67vnssqJroP9alND/view?usp=share_link" TargetMode="External"/><Relationship Id="rId524" Type="http://schemas.openxmlformats.org/officeDocument/2006/relationships/hyperlink" Target="https://drive.google.com/file/d/1epU_ef2uYMLE3Mvd75WQXKn6wwXJId_1/view?usp=share_link" TargetMode="External"/><Relationship Id="rId731" Type="http://schemas.openxmlformats.org/officeDocument/2006/relationships/hyperlink" Target="https://drive.google.com/file/d/19-T77G-ZrgufY21f8V6dZsMRbWEh-_wh/view?usp=share_link" TargetMode="External"/><Relationship Id="rId1154" Type="http://schemas.openxmlformats.org/officeDocument/2006/relationships/hyperlink" Target="https://drive.google.com/file/d/1EQzq_YzZnfDeAU0BOOLhGvVzG9nRKX0A/view?usp=drive_link" TargetMode="External"/><Relationship Id="rId1361" Type="http://schemas.openxmlformats.org/officeDocument/2006/relationships/hyperlink" Target="https://drive.google.com/open?id=17GnsHi90yjGq6m5EE4yYFbXXqD1gHIc3&amp;usp=drive_fs" TargetMode="External"/><Relationship Id="rId1459" Type="http://schemas.openxmlformats.org/officeDocument/2006/relationships/hyperlink" Target="https://drive.google.com/open?id=1rt1dBDhO6Z2eNRMiSbD02rE_SHpwMuYM&amp;usp=drive_fs" TargetMode="External"/><Relationship Id="rId98" Type="http://schemas.openxmlformats.org/officeDocument/2006/relationships/hyperlink" Target="https://drive.google.com/file/d/1eGjm3OBGmlxWjtj1fJ9ynowf9VvL_Gz3/view?usp=sharing" TargetMode="External"/><Relationship Id="rId829" Type="http://schemas.openxmlformats.org/officeDocument/2006/relationships/hyperlink" Target="https://drive.google.com/file/d/1S81osV2_0aLBUhp2wvowfNnDI3zQyOQ9/view?usp=share_link" TargetMode="External"/><Relationship Id="rId1014" Type="http://schemas.openxmlformats.org/officeDocument/2006/relationships/hyperlink" Target="https://drive.google.com/file/d/1D4nWostiybenHRdQQGioFy2KhK-46u5p/view?usp=share_link" TargetMode="External"/><Relationship Id="rId1221" Type="http://schemas.openxmlformats.org/officeDocument/2006/relationships/hyperlink" Target="https://drive.google.com/file/d/1CcC28r2mM9Ph8tKxMIwGC_okvBiGV3_c/view?usp=sharing" TargetMode="External"/><Relationship Id="rId1319" Type="http://schemas.openxmlformats.org/officeDocument/2006/relationships/hyperlink" Target="https://drive.google.com/file/d/1kBDXLvGiTAJlgIHXXIp5woybq44IpXip/view?usp=drive_link" TargetMode="External"/><Relationship Id="rId25" Type="http://schemas.openxmlformats.org/officeDocument/2006/relationships/hyperlink" Target="https://drive.google.com/file/d/1uzKhpPsA0Y606m0xJyObQec5sB36gztB/view?usp=sharing" TargetMode="External"/><Relationship Id="rId174" Type="http://schemas.openxmlformats.org/officeDocument/2006/relationships/hyperlink" Target="https://drive.google.com/file/d/1x8K5i-moMDiJkUQZV6NGQM0E6rvgUjI-/view?usp=sharing" TargetMode="External"/><Relationship Id="rId381" Type="http://schemas.openxmlformats.org/officeDocument/2006/relationships/hyperlink" Target="https://drive.google.com/file/d/1F-75MYC2hh8j-0lWvfUQSe7-BbHQIf9f/view?usp=share_link" TargetMode="External"/><Relationship Id="rId241" Type="http://schemas.openxmlformats.org/officeDocument/2006/relationships/hyperlink" Target="https://drive.google.com/file/d/1-heBwDFCrGO0elBHKzuBSFAm05ZmfT8P/view?usp=share_link" TargetMode="External"/><Relationship Id="rId479" Type="http://schemas.openxmlformats.org/officeDocument/2006/relationships/hyperlink" Target="https://drive.google.com/file/d/1QRyY387DcvzWIjAtKhuez2jOWoIPZRgj/view?usp=share_link" TargetMode="External"/><Relationship Id="rId686" Type="http://schemas.openxmlformats.org/officeDocument/2006/relationships/hyperlink" Target="https://drive.google.com/file/d/1MuloFef8GXNTT6X4GL7xldo5-LrE9l1t/view?usp=share_link" TargetMode="External"/><Relationship Id="rId893" Type="http://schemas.openxmlformats.org/officeDocument/2006/relationships/hyperlink" Target="https://drive.google.com/file/d/1Yk01ChZGOYxb7mnYTE7897R8JsMQSx9Q/view?usp=share_link" TargetMode="External"/><Relationship Id="rId339" Type="http://schemas.openxmlformats.org/officeDocument/2006/relationships/hyperlink" Target="https://drive.google.com/file/d/13YsoAvDDgMh1RuWGegtCwHQynbXAK09V/view?usp=share_link" TargetMode="External"/><Relationship Id="rId546" Type="http://schemas.openxmlformats.org/officeDocument/2006/relationships/hyperlink" Target="https://drive.google.com/file/d/18IBAIQ2JHx3b4IoXGP7oIfRevhvT9sqs/view?usp=share_link" TargetMode="External"/><Relationship Id="rId753" Type="http://schemas.openxmlformats.org/officeDocument/2006/relationships/hyperlink" Target="https://drive.google.com/file/d/1ldUV6XgQLSx0R0A9PdOlvgFu_VtYom5c/view?usp=share_link" TargetMode="External"/><Relationship Id="rId1176" Type="http://schemas.openxmlformats.org/officeDocument/2006/relationships/hyperlink" Target="https://drive.google.com/file/d/1_2HK94XgYCDgzKVoJD7HcDVH8EEvu9Oh/view?usp=sharing" TargetMode="External"/><Relationship Id="rId1383" Type="http://schemas.openxmlformats.org/officeDocument/2006/relationships/hyperlink" Target="https://drive.google.com/open?id=1GRnrzlnyxT4j0rUBjxne728mFSu3P1b2&amp;usp=drive_fs" TargetMode="External"/><Relationship Id="rId101" Type="http://schemas.openxmlformats.org/officeDocument/2006/relationships/hyperlink" Target="https://drive.google.com/file/d/15wrfCpQn3h5BrNBFcpXE1xr0--ruRQuU/view?usp=sharing" TargetMode="External"/><Relationship Id="rId406" Type="http://schemas.openxmlformats.org/officeDocument/2006/relationships/hyperlink" Target="https://drive.google.com/file/d/1c33kno6tX9adeowUXa1RHo7XWTax-z0a/view?usp=share_link" TargetMode="External"/><Relationship Id="rId960" Type="http://schemas.openxmlformats.org/officeDocument/2006/relationships/hyperlink" Target="https://drive.google.com/file/d/1ynt8FvTcRZEazVhJ81t3SQEpUP42EVUV/view?usp=share_link" TargetMode="External"/><Relationship Id="rId1036" Type="http://schemas.openxmlformats.org/officeDocument/2006/relationships/hyperlink" Target="https://drive.google.com/file/d/1IImeaEJSvjjvsHOtZKxDrrQlaKAhHT8c/view?usp=share_link" TargetMode="External"/><Relationship Id="rId1243" Type="http://schemas.openxmlformats.org/officeDocument/2006/relationships/hyperlink" Target="https://drive.google.com/file/d/1DZPnBJm2W0WskuN1ZE0-GV1RGlhKb6xq/view?usp=sharing" TargetMode="External"/><Relationship Id="rId613" Type="http://schemas.openxmlformats.org/officeDocument/2006/relationships/hyperlink" Target="https://drive.google.com/file/d/1HlXPjPUwRWspKhuFwGy10RAGRpJkMGeg/view?usp=share_link" TargetMode="External"/><Relationship Id="rId820" Type="http://schemas.openxmlformats.org/officeDocument/2006/relationships/hyperlink" Target="https://drive.google.com/file/d/1CDUZ7RIxpSo5SFKpWhQsBcyXcly0gEOq/view?usp=share_link" TargetMode="External"/><Relationship Id="rId918" Type="http://schemas.openxmlformats.org/officeDocument/2006/relationships/hyperlink" Target="https://drive.google.com/file/d/1V8JPr7zCeloq530ZDQ9p32SPigVd_OCj/view?usp=share_link" TargetMode="External"/><Relationship Id="rId1450" Type="http://schemas.openxmlformats.org/officeDocument/2006/relationships/hyperlink" Target="https://drive.google.com/file/d/1jmsLn20yo9e7no780Dt0P4gtXTjZRu9V/view?usp=drive_link" TargetMode="External"/><Relationship Id="rId1103" Type="http://schemas.openxmlformats.org/officeDocument/2006/relationships/hyperlink" Target="https://drive.google.com/file/d/15cCBHNF_pTYX9TQJm0pbiEc_dKTG7jb5/view?usp=sharing" TargetMode="External"/><Relationship Id="rId1310" Type="http://schemas.openxmlformats.org/officeDocument/2006/relationships/hyperlink" Target="https://drive.google.com/file/d/1E6FuUOA_moz-bb3IWFBM4u3MCdCrNVlP/view?usp=drive_link" TargetMode="External"/><Relationship Id="rId1408" Type="http://schemas.openxmlformats.org/officeDocument/2006/relationships/hyperlink" Target="https://drive.google.com/open?id=13kMeYIwWYO2A56bv-hxnhAPELuurN8ce&amp;usp=drive_fs" TargetMode="External"/><Relationship Id="rId47" Type="http://schemas.openxmlformats.org/officeDocument/2006/relationships/hyperlink" Target="https://drive.google.com/file/d/1ITXZZt33EgbwpgIofruIC_LuswkPPv50/view?usp=sharing" TargetMode="External"/><Relationship Id="rId196" Type="http://schemas.openxmlformats.org/officeDocument/2006/relationships/hyperlink" Target="https://drive.google.com/file/d/1DyT57GMAW8mMdu_4-E9gAijETNOjnZYA/view?usp=share_link" TargetMode="External"/><Relationship Id="rId263" Type="http://schemas.openxmlformats.org/officeDocument/2006/relationships/hyperlink" Target="https://drive.google.com/file/d/1AkCySbu1ASSIHwnlW2ZJAPcCNRXBQBCt/view?usp=share_link" TargetMode="External"/><Relationship Id="rId470" Type="http://schemas.openxmlformats.org/officeDocument/2006/relationships/hyperlink" Target="https://drive.google.com/file/d/1d3hruIu1NS_5UwVdwPGAn_zf81VrEMhK/view?usp=share_link" TargetMode="External"/><Relationship Id="rId123" Type="http://schemas.openxmlformats.org/officeDocument/2006/relationships/hyperlink" Target="https://drive.google.com/file/d/16oDF_jOhsMMv5FOt9TBnR6j9TYwxFyKB/view?usp=sharing" TargetMode="External"/><Relationship Id="rId330" Type="http://schemas.openxmlformats.org/officeDocument/2006/relationships/hyperlink" Target="https://drive.google.com/file/d/1qR6yvFryS41IzmFh3w4ufuCMTK5qnekW/view?usp=share_link" TargetMode="External"/><Relationship Id="rId568" Type="http://schemas.openxmlformats.org/officeDocument/2006/relationships/hyperlink" Target="https://drive.google.com/file/d/1S62ihVuOOkJ9pAV6Nbra5fIWcphb6PJp/view?usp=share_link" TargetMode="External"/><Relationship Id="rId775" Type="http://schemas.openxmlformats.org/officeDocument/2006/relationships/hyperlink" Target="https://drive.google.com/file/d/1BN0_gyv0p1Achy8lEU7G6Z-JPW_uvbxG/view?usp=share_link" TargetMode="External"/><Relationship Id="rId982" Type="http://schemas.openxmlformats.org/officeDocument/2006/relationships/hyperlink" Target="https://drive.google.com/file/d/1XdcectcjTu_CX6Nm0OpOYgtynEohXXXx/view?usp=share_link" TargetMode="External"/><Relationship Id="rId1198" Type="http://schemas.openxmlformats.org/officeDocument/2006/relationships/hyperlink" Target="https://drive.google.com/file/d/19O1-cO3DRJGB4AL4HKhvwalSHPusOeGL/view?usp=sharing" TargetMode="External"/><Relationship Id="rId428" Type="http://schemas.openxmlformats.org/officeDocument/2006/relationships/hyperlink" Target="https://drive.google.com/file/d/1u4xpUNrN9Q8J79RnD2TkqQeGTUo3clRz/view?usp=share_link" TargetMode="External"/><Relationship Id="rId635" Type="http://schemas.openxmlformats.org/officeDocument/2006/relationships/hyperlink" Target="https://drive.google.com/file/d/1dlbTO-gQ6v2vQGtldDzPOXxgBw3zZA1A/view?usp=share_link" TargetMode="External"/><Relationship Id="rId842" Type="http://schemas.openxmlformats.org/officeDocument/2006/relationships/hyperlink" Target="https://drive.google.com/file/d/1qGHDUhs34jWq2p_edTcpFdjVS2FMMocE/view?usp=share_link" TargetMode="External"/><Relationship Id="rId1058" Type="http://schemas.openxmlformats.org/officeDocument/2006/relationships/hyperlink" Target="https://drive.google.com/file/d/1yIUDhb6R--cJR1MVGL25ZqZ951mht-WS/view?usp=share_link" TargetMode="External"/><Relationship Id="rId1265" Type="http://schemas.openxmlformats.org/officeDocument/2006/relationships/hyperlink" Target="https://drive.google.com/file/d/18UpjukM3F55CYUO1WNnPPRVh34_XiCG-/view?usp=sharing" TargetMode="External"/><Relationship Id="rId1472" Type="http://schemas.openxmlformats.org/officeDocument/2006/relationships/hyperlink" Target="https://drive.google.com/open?id=14wz0J78h30Cn97QMWLomoA2WtC3cBoNM&amp;usp=drive_fs" TargetMode="External"/><Relationship Id="rId702" Type="http://schemas.openxmlformats.org/officeDocument/2006/relationships/hyperlink" Target="https://drive.google.com/file/d/1OX7DG5DtP-qId5jayaKvIxfBZvWIRs23/view?usp=share_link" TargetMode="External"/><Relationship Id="rId1125" Type="http://schemas.openxmlformats.org/officeDocument/2006/relationships/hyperlink" Target="https://drive.google.com/file/d/11bZEwmqc0G4YhONInYMKIjnKFwf4trim/view?usp=share_link" TargetMode="External"/><Relationship Id="rId1332" Type="http://schemas.openxmlformats.org/officeDocument/2006/relationships/hyperlink" Target="https://drive.google.com/file/d/1-P3hvsUhmSikWeW5MkvlucLNO74xYVam/view?usp=drive_link" TargetMode="External"/><Relationship Id="rId69" Type="http://schemas.openxmlformats.org/officeDocument/2006/relationships/hyperlink" Target="https://drive.google.com/file/d/12t9_Zelg0A2VN9C3kY2Oibp-crMfL8ZR/view?usp=sharing" TargetMode="External"/><Relationship Id="rId285" Type="http://schemas.openxmlformats.org/officeDocument/2006/relationships/hyperlink" Target="https://drive.google.com/file/d/13OST33cvdQMcNMBmq9IwuK09cRLw62sC/view?usp=share_link" TargetMode="External"/><Relationship Id="rId492" Type="http://schemas.openxmlformats.org/officeDocument/2006/relationships/hyperlink" Target="https://drive.google.com/file/d/1Dtjd4YDEwLUfVbCq-UJ4u_gJD_2VFjTo/view?usp=share_link" TargetMode="External"/><Relationship Id="rId797" Type="http://schemas.openxmlformats.org/officeDocument/2006/relationships/hyperlink" Target="https://drive.google.com/file/d/1TeOog7TUaYWvKR0ZqfMZadycaEgMX3cG/view?usp=share_link" TargetMode="External"/><Relationship Id="rId145" Type="http://schemas.openxmlformats.org/officeDocument/2006/relationships/hyperlink" Target="https://drive.google.com/file/d/18z3nBas-vk2w6NBn1ryK6GCWL-eoVLMj/view?usp=sharing" TargetMode="External"/><Relationship Id="rId352" Type="http://schemas.openxmlformats.org/officeDocument/2006/relationships/hyperlink" Target="https://drive.google.com/file/d/14MKdQkWcMBlNudYY82U2m3JYDt2D0eQ6/view?usp=share_link" TargetMode="External"/><Relationship Id="rId1287" Type="http://schemas.openxmlformats.org/officeDocument/2006/relationships/hyperlink" Target="https://drive.google.com/file/d/1G4VzobDR6j_bGMQiwxpB1Nk5x07m1MfN/view?usp=sharing" TargetMode="External"/><Relationship Id="rId212" Type="http://schemas.openxmlformats.org/officeDocument/2006/relationships/hyperlink" Target="https://drive.google.com/file/d/1jCn8cKWxjnrdc-bDOAoKOOTYGnUpzvgG/view?usp=share_link" TargetMode="External"/><Relationship Id="rId657" Type="http://schemas.openxmlformats.org/officeDocument/2006/relationships/hyperlink" Target="https://drive.google.com/file/d/1nNlkLRi47zqqlU3XG3RLg7V6y8FVVyP9/view?usp=share_link" TargetMode="External"/><Relationship Id="rId864" Type="http://schemas.openxmlformats.org/officeDocument/2006/relationships/hyperlink" Target="https://drive.google.com/file/d/1bb7VHRqwv07eUqWO9hb6lwlxJgHJ_OxO/view?usp=share_link" TargetMode="External"/><Relationship Id="rId1494" Type="http://schemas.openxmlformats.org/officeDocument/2006/relationships/printerSettings" Target="../printerSettings/printerSettings1.bin"/><Relationship Id="rId517" Type="http://schemas.openxmlformats.org/officeDocument/2006/relationships/hyperlink" Target="https://drive.google.com/file/d/1EonCdVnwddeTMyZooqSOMcA23ijy7kmq/view?usp=share_link" TargetMode="External"/><Relationship Id="rId724" Type="http://schemas.openxmlformats.org/officeDocument/2006/relationships/hyperlink" Target="https://drive.google.com/file/d/1UZ95G_s4aff2al2O-thqVKwk94koeP0f/view?usp=share_link" TargetMode="External"/><Relationship Id="rId931" Type="http://schemas.openxmlformats.org/officeDocument/2006/relationships/hyperlink" Target="https://drive.google.com/file/d/1TbDLGm4ZJv4QWVOevm8qCMNgB0rqdWtM/view?usp=share_link" TargetMode="External"/><Relationship Id="rId1147" Type="http://schemas.openxmlformats.org/officeDocument/2006/relationships/hyperlink" Target="https://drive.google.com/file/d/10jRAIicNxJUpyelyALdCwRN-Z3uYJDC2/view?usp=share_link" TargetMode="External"/><Relationship Id="rId1354" Type="http://schemas.openxmlformats.org/officeDocument/2006/relationships/hyperlink" Target="https://drive.google.com/open?id=14QStCEVm5dZSLq3kgLkfnDDt2M83xbFx&amp;usp=drive_fs" TargetMode="External"/><Relationship Id="rId60" Type="http://schemas.openxmlformats.org/officeDocument/2006/relationships/hyperlink" Target="https://drive.google.com/file/d/1Gq2O0PUzA1edmjU6kkXTEvkqpAHm0cql/view?usp=sharing" TargetMode="External"/><Relationship Id="rId1007" Type="http://schemas.openxmlformats.org/officeDocument/2006/relationships/hyperlink" Target="https://drive.google.com/file/d/19J5oQw_R3iBtBUuqSVt1b_e4Br-IPj6W/view?usp=share_link" TargetMode="External"/><Relationship Id="rId1214" Type="http://schemas.openxmlformats.org/officeDocument/2006/relationships/hyperlink" Target="https://drive.google.com/file/d/1BjrkmxrHY0K6p0Q-jaNtq6e5QEyQg1Jp/view?usp=sharing" TargetMode="External"/><Relationship Id="rId1421" Type="http://schemas.openxmlformats.org/officeDocument/2006/relationships/hyperlink" Target="https://drive.google.com/file/d/1E554BrRxYOcbmHh3ph3IJhm3SjZB4dTk/view?usp=share_link" TargetMode="External"/><Relationship Id="rId18" Type="http://schemas.openxmlformats.org/officeDocument/2006/relationships/hyperlink" Target="https://drive.google.com/file/d/1eULiB8q7jG9cIeslerrMbp9V7x-1EWmT/view?usp=sharing" TargetMode="External"/><Relationship Id="rId167" Type="http://schemas.openxmlformats.org/officeDocument/2006/relationships/hyperlink" Target="https://drive.google.com/file/d/1v-v1h6kgfdV7-yEzMsHL0oqseoyapwc8/view?usp=sharing" TargetMode="External"/><Relationship Id="rId374" Type="http://schemas.openxmlformats.org/officeDocument/2006/relationships/hyperlink" Target="https://drive.google.com/file/d/1sMJg0uNx5Z3hiN7Xv-n2JEdNoGMysFXl/view?usp=share_link" TargetMode="External"/><Relationship Id="rId581" Type="http://schemas.openxmlformats.org/officeDocument/2006/relationships/hyperlink" Target="https://drive.google.com/file/d/1aCM7UBy-qk6qIIUb6zbcatJHd7D08Yoz/view?usp=share_link" TargetMode="External"/><Relationship Id="rId234" Type="http://schemas.openxmlformats.org/officeDocument/2006/relationships/hyperlink" Target="https://drive.google.com/file/d/1e2InJl0gq4zNatHD2311Q9IoimbZLNl5/view?usp=share_link" TargetMode="External"/><Relationship Id="rId679" Type="http://schemas.openxmlformats.org/officeDocument/2006/relationships/hyperlink" Target="https://drive.google.com/file/d/1cyWic6f7EXWFitu8eIf97XLohZpML77G/view?usp=share_link" TargetMode="External"/><Relationship Id="rId886" Type="http://schemas.openxmlformats.org/officeDocument/2006/relationships/hyperlink" Target="https://drive.google.com/file/d/1M3deLXWvfec1Db6nsNKMdPqdJwRzSxa_/view?usp=share_link" TargetMode="External"/><Relationship Id="rId2" Type="http://schemas.openxmlformats.org/officeDocument/2006/relationships/hyperlink" Target="https://drive.google.com/file/d/1oMjCmPrHuR4DRU9lNcQtV4k1Jxt_VHIp/view?usp=sharing" TargetMode="External"/><Relationship Id="rId441" Type="http://schemas.openxmlformats.org/officeDocument/2006/relationships/hyperlink" Target="https://drive.google.com/file/d/1pErbvyIK4Frsj04NdKRKy5LAZeCZMN4o/view?usp=share_link" TargetMode="External"/><Relationship Id="rId539" Type="http://schemas.openxmlformats.org/officeDocument/2006/relationships/hyperlink" Target="https://drive.google.com/file/d/1ymMWhbqYxT4hgM56CJezo3tesO6MWpjz/view?usp=share_link" TargetMode="External"/><Relationship Id="rId746" Type="http://schemas.openxmlformats.org/officeDocument/2006/relationships/hyperlink" Target="https://drive.google.com/file/d/1BxtJrLblU3jo3E4uqYcNXZbJBv_4YPoo%7d/view?usp=share_link" TargetMode="External"/><Relationship Id="rId1071" Type="http://schemas.openxmlformats.org/officeDocument/2006/relationships/hyperlink" Target="https://drive.google.com/file/d/1Cmx3nHzzC5pyFuzXcV9ivEuLN1MQztuZ/view?usp=share_link" TargetMode="External"/><Relationship Id="rId1169" Type="http://schemas.openxmlformats.org/officeDocument/2006/relationships/hyperlink" Target="https://drive.google.com/file/d/1XuMfXDn9kd9TwdhdTPddV2JfbLwpTnVb/view?usp=sharing" TargetMode="External"/><Relationship Id="rId1376" Type="http://schemas.openxmlformats.org/officeDocument/2006/relationships/hyperlink" Target="https://drive.google.com/open?id=13_qPUt85XJu4JAe_1s5Bu752OqiBwsQr&amp;usp=drive_fs" TargetMode="External"/><Relationship Id="rId301" Type="http://schemas.openxmlformats.org/officeDocument/2006/relationships/hyperlink" Target="https://drive.google.com/file/d/1SfZwZJGVdh2ith7dW9C2Ueer_pNd7Ck5/view?usp=share_link" TargetMode="External"/><Relationship Id="rId953" Type="http://schemas.openxmlformats.org/officeDocument/2006/relationships/hyperlink" Target="https://drive.google.com/file/d/1ABdtdJHHZTwKRSU2fnhg3hkHHCHC3Oo0/view?usp=share_link" TargetMode="External"/><Relationship Id="rId1029" Type="http://schemas.openxmlformats.org/officeDocument/2006/relationships/hyperlink" Target="https://drive.google.com/file/d/1E7ouQlotfY4QXWLm4ewXnpXYYfft3cT0/view?usp=share_link" TargetMode="External"/><Relationship Id="rId1236" Type="http://schemas.openxmlformats.org/officeDocument/2006/relationships/hyperlink" Target="https://drive.google.com/file/d/1D460TiHuQYXyRKiNXYe_8-NSw09dLjsV/view?usp=sharing" TargetMode="External"/><Relationship Id="rId82" Type="http://schemas.openxmlformats.org/officeDocument/2006/relationships/hyperlink" Target="https://drive.google.com/file/d/1g6F7o5TGXdo4fA_AfzrLb_C4ZvT1ma_w/view?usp=sharing" TargetMode="External"/><Relationship Id="rId606" Type="http://schemas.openxmlformats.org/officeDocument/2006/relationships/hyperlink" Target="https://drive.google.com/file/d/1-kQ_UlPDUzFDvm0RluGFTMYSHLu_UJyU/view?usp=share_link" TargetMode="External"/><Relationship Id="rId813" Type="http://schemas.openxmlformats.org/officeDocument/2006/relationships/hyperlink" Target="https://drive.google.com/file/d/1St-lMqVpHQyrYoQry0v8VCFncMcqgf5R/view?usp=share_link" TargetMode="External"/><Relationship Id="rId1443" Type="http://schemas.openxmlformats.org/officeDocument/2006/relationships/hyperlink" Target="https://drive.google.com/open?id=1I7oyT3ArAb17Os9HsSt6k36gxCvZ46DM&amp;usp=drive_fs" TargetMode="External"/><Relationship Id="rId1303" Type="http://schemas.openxmlformats.org/officeDocument/2006/relationships/hyperlink" Target="https://drive.google.com/file/d/1g1oiB-f3kpGAZKRvtvEj0zISIv3Ho1-R/view?usp=share_link" TargetMode="External"/><Relationship Id="rId189" Type="http://schemas.openxmlformats.org/officeDocument/2006/relationships/hyperlink" Target="https://drive.google.com/file/d/1REgMHEZE2VGI1XkoIX-XZGsoJAB8DSNx/view?usp=share_link" TargetMode="External"/><Relationship Id="rId396" Type="http://schemas.openxmlformats.org/officeDocument/2006/relationships/hyperlink" Target="https://drive.google.com/file/d/1FWZs_VWE4z_K9X583CpDC-zHepWHEYcj/view?usp=share_link" TargetMode="External"/><Relationship Id="rId256" Type="http://schemas.openxmlformats.org/officeDocument/2006/relationships/hyperlink" Target="https://drive.google.com/file/d/1o_W7dkebSHTsGwiodFLeiLPB8zD52Zj3/view?usp=share_link" TargetMode="External"/><Relationship Id="rId463" Type="http://schemas.openxmlformats.org/officeDocument/2006/relationships/hyperlink" Target="https://drive.google.com/file/d/1cve1u8qoLUbGVHQ5W9i5u1io8JOJWrGs/view?usp=share_link" TargetMode="External"/><Relationship Id="rId670" Type="http://schemas.openxmlformats.org/officeDocument/2006/relationships/hyperlink" Target="https://drive.google.com/file/d/1XV6sVZjCKCXi_NYJ6ljooZVlrFbHcrNB/view?usp=share_link" TargetMode="External"/><Relationship Id="rId1093" Type="http://schemas.openxmlformats.org/officeDocument/2006/relationships/hyperlink" Target="https://drive.google.com/file/d/1EyLsh7A5l4zQZ3CfKR9TTQI41faZuvYh/view?usp=share_link" TargetMode="External"/><Relationship Id="rId116" Type="http://schemas.openxmlformats.org/officeDocument/2006/relationships/hyperlink" Target="https://drive.google.com/file/d/1hK_K0AIK95RIHFlFvDvRYPYHP8-yia-l/view?usp=sharing" TargetMode="External"/><Relationship Id="rId323" Type="http://schemas.openxmlformats.org/officeDocument/2006/relationships/hyperlink" Target="https://drive.google.com/file/d/11cXWIBovkqlU1vrgamcEPtsNYQtKdSpR/view?usp=share_link" TargetMode="External"/><Relationship Id="rId530" Type="http://schemas.openxmlformats.org/officeDocument/2006/relationships/hyperlink" Target="https://drive.google.com/file/d/1BB32YnEO8LV81WZCKDw_5ZrCZCHSuC65/view?usp=share_link" TargetMode="External"/><Relationship Id="rId768" Type="http://schemas.openxmlformats.org/officeDocument/2006/relationships/hyperlink" Target="https://drive.google.com/file/d/1b_cRbVIjL4UlvirMQQP5-UqalZ9CTlTb/view?usp=share_link" TargetMode="External"/><Relationship Id="rId975" Type="http://schemas.openxmlformats.org/officeDocument/2006/relationships/hyperlink" Target="https://drive.google.com/file/d/1FCjRfvqPh1SsimltZf1-XAlFQmoRGM2I/view?usp=share_link" TargetMode="External"/><Relationship Id="rId1160" Type="http://schemas.openxmlformats.org/officeDocument/2006/relationships/hyperlink" Target="https://drive.google.com/file/d/1rSU-HE07WeKOsHxS0168TqQT_3g0rmr8/view?usp=sharing" TargetMode="External"/><Relationship Id="rId1398" Type="http://schemas.openxmlformats.org/officeDocument/2006/relationships/hyperlink" Target="https://drive.google.com/open?id=1x1RTqgk3AUaC5g1i4PvgBqoIZucmFrGs&amp;usp=drive_fs" TargetMode="External"/><Relationship Id="rId628" Type="http://schemas.openxmlformats.org/officeDocument/2006/relationships/hyperlink" Target="https://drive.google.com/file/d/1l-Q3IPHHCRsWkmsi4_fUSGLjcRKDZ0BY/view?usp=share_link" TargetMode="External"/><Relationship Id="rId835" Type="http://schemas.openxmlformats.org/officeDocument/2006/relationships/hyperlink" Target="https://drive.google.com/file/d/1zt9BEEHnfjjaTJDW675XuS15a-3xSRwT/view" TargetMode="External"/><Relationship Id="rId1258" Type="http://schemas.openxmlformats.org/officeDocument/2006/relationships/hyperlink" Target="https://drive.google.com/file/d/16d_WyJl4gui6QTP-ZL_uS2SaWUAwh-p2/view?usp=sharing" TargetMode="External"/><Relationship Id="rId1465" Type="http://schemas.openxmlformats.org/officeDocument/2006/relationships/hyperlink" Target="https://drive.google.com/open?id=10xTvSi89ANnSKxlPCNJIkz-kPFmKQot5&amp;usp=drive_fs" TargetMode="External"/><Relationship Id="rId1020" Type="http://schemas.openxmlformats.org/officeDocument/2006/relationships/hyperlink" Target="https://drive.google.com/file/d/1LFeuBBjwU_hkl-CRy45ISPNzablrWNMq/view?usp=share_link" TargetMode="External"/><Relationship Id="rId1118" Type="http://schemas.openxmlformats.org/officeDocument/2006/relationships/hyperlink" Target="https://drive.google.com/file/d/1ufQ776sfTmPi593aIwE8PTm0awbCYZTi/view?usp=share_link" TargetMode="External"/><Relationship Id="rId1325" Type="http://schemas.openxmlformats.org/officeDocument/2006/relationships/hyperlink" Target="https://drive.google.com/file/d/1j3XBXgVqKDVxCfjr7IpcNXaB0GJ3i3IG/view?usp=drive_link" TargetMode="External"/><Relationship Id="rId902" Type="http://schemas.openxmlformats.org/officeDocument/2006/relationships/hyperlink" Target="https://drive.google.com/file/d/1ZUeA4KqmINfttyl6gqqYG0cjWYFKQgCs/view" TargetMode="External"/><Relationship Id="rId31" Type="http://schemas.openxmlformats.org/officeDocument/2006/relationships/hyperlink" Target="https://drive.google.com/file/d/1IeQCfIHG7S-JeJQWGv0KU6YvK49qGMhc/view?usp=sharing" TargetMode="External"/><Relationship Id="rId180" Type="http://schemas.openxmlformats.org/officeDocument/2006/relationships/hyperlink" Target="https://drive.google.com/file/d/1B6UNQgC8wmnVCPkKVrCyI4PY-xAoiFXt/view?usp=sharing" TargetMode="External"/><Relationship Id="rId278" Type="http://schemas.openxmlformats.org/officeDocument/2006/relationships/hyperlink" Target="https://drive.google.com/file/d/1QKUUc1MF32Sf1QuOZA78MzQ7NiX7uduu/view?usp=share_link" TargetMode="External"/><Relationship Id="rId485" Type="http://schemas.openxmlformats.org/officeDocument/2006/relationships/hyperlink" Target="https://drive.google.com/file/d/1z7JJDvSjnJVRISzyHOhepsZ-KDc2RkBh/view?usp=share_link" TargetMode="External"/><Relationship Id="rId692" Type="http://schemas.openxmlformats.org/officeDocument/2006/relationships/hyperlink" Target="https://drive.google.com/file/d/1tCIgoYrG7uG9_83O1vbTZOHmmWelqOdM/view?usp=share_link" TargetMode="External"/><Relationship Id="rId138" Type="http://schemas.openxmlformats.org/officeDocument/2006/relationships/hyperlink" Target="https://drive.google.com/file/d/1THAr6I381zktn5k66CMZOZ9gGeexYCmB/view?usp=sharing" TargetMode="External"/><Relationship Id="rId345" Type="http://schemas.openxmlformats.org/officeDocument/2006/relationships/hyperlink" Target="https://drive.google.com/file/d/16E9si81FhlpBo7aqeShye6W9iehLcZue/view?usp=share_link" TargetMode="External"/><Relationship Id="rId552" Type="http://schemas.openxmlformats.org/officeDocument/2006/relationships/hyperlink" Target="https://drive.google.com/file/d/1ie1TDS-XPehSJBfYiUGql_PtF2cV0kge/view?usp=share_link" TargetMode="External"/><Relationship Id="rId997" Type="http://schemas.openxmlformats.org/officeDocument/2006/relationships/hyperlink" Target="https://drive.google.com/file/d/1cmQK7GxJlYtjyjACu63KA5tQmPoXJFPh/view?usp=share_link" TargetMode="External"/><Relationship Id="rId1182" Type="http://schemas.openxmlformats.org/officeDocument/2006/relationships/hyperlink" Target="https://drive.google.com/file/d/1hGwsAndgDbCJKWRb_lDgZ062TXoZFx-G/view?usp=sharing" TargetMode="External"/><Relationship Id="rId205" Type="http://schemas.openxmlformats.org/officeDocument/2006/relationships/hyperlink" Target="https://drive.google.com/file/d/1J-uHsTmm8_A9beHM7pTmDN4FKJWRs7wP/view?usp=share_link" TargetMode="External"/><Relationship Id="rId412" Type="http://schemas.openxmlformats.org/officeDocument/2006/relationships/hyperlink" Target="https://drive.google.com/file/d/1tpZtpwFgXbrX8gq8Ku0t9q36y-HH0b-p/view?usp=share_link" TargetMode="External"/><Relationship Id="rId857" Type="http://schemas.openxmlformats.org/officeDocument/2006/relationships/hyperlink" Target="https://drive.google.com/file/d/1gc9ktTgd1BbchspWsBYpPMeCvqMiS4TG/view?usp=share_link" TargetMode="External"/><Relationship Id="rId1042" Type="http://schemas.openxmlformats.org/officeDocument/2006/relationships/hyperlink" Target="https://drive.google.com/file/d/1FpWiwL6m0qrMmlPIGpvkYggePCGrekX0/view?usp=sharing" TargetMode="External"/><Relationship Id="rId1487" Type="http://schemas.openxmlformats.org/officeDocument/2006/relationships/hyperlink" Target="https://drive.google.com/open?id=1rYwOqudJuBJk3sZI9FLqbdFLxOjgfnvB&amp;usp=drive_fs" TargetMode="External"/><Relationship Id="rId717" Type="http://schemas.openxmlformats.org/officeDocument/2006/relationships/hyperlink" Target="https://drive.google.com/file/d/1xdMB-pqUYJsHB7LLBZgec2AuOUq_eZix/view?usp=share_link" TargetMode="External"/><Relationship Id="rId924" Type="http://schemas.openxmlformats.org/officeDocument/2006/relationships/hyperlink" Target="https://drive.google.com/file/d/1ekzHo3Fr5h-q_fAItE71Aadf5u8X6jeh/view?usp=share_link" TargetMode="External"/><Relationship Id="rId1347" Type="http://schemas.openxmlformats.org/officeDocument/2006/relationships/hyperlink" Target="https://drive.google.com/open?id=13Gx-_T2TS5k4Ik5wwTCp6-OZqKfYRQI3&amp;usp=drive_fs" TargetMode="External"/><Relationship Id="rId53" Type="http://schemas.openxmlformats.org/officeDocument/2006/relationships/hyperlink" Target="https://drive.google.com/file/d/1-1Y9tvNOSrVMLQz9DNvg267EYW9ENrdu/view?usp=sharing" TargetMode="External"/><Relationship Id="rId1207" Type="http://schemas.openxmlformats.org/officeDocument/2006/relationships/hyperlink" Target="https://drive.google.com/file/d/19VFKZFRHHQdpWpG90hRdLDgobYW_7ydD/view?usp=sharing" TargetMode="External"/><Relationship Id="rId1414" Type="http://schemas.openxmlformats.org/officeDocument/2006/relationships/hyperlink" Target="https://drive.google.com/open?id=11P3aw_cnOZ5pk9mBf7HZdzCpkV6-_AGL&amp;usp=drive_fs" TargetMode="External"/><Relationship Id="rId367" Type="http://schemas.openxmlformats.org/officeDocument/2006/relationships/hyperlink" Target="https://drive.google.com/file/d/1Epx8-l2ZhwpFOfnTxsfh0K6cSVT7--vH/view?usp=share_link" TargetMode="External"/><Relationship Id="rId574" Type="http://schemas.openxmlformats.org/officeDocument/2006/relationships/hyperlink" Target="https://drive.google.com/file/d/13Na6JYWLbBRgtn2sCTZJjUGBT1a4qX6c/view?usp=share_link" TargetMode="External"/><Relationship Id="rId227" Type="http://schemas.openxmlformats.org/officeDocument/2006/relationships/hyperlink" Target="https://drive.google.com/file/d/1tGGzs_ErUBs6X-fcWmyXbDSmuKtYDj-S/view?usp=share_link" TargetMode="External"/><Relationship Id="rId781" Type="http://schemas.openxmlformats.org/officeDocument/2006/relationships/hyperlink" Target="https://drive.google.com/file/d/1XWjHhzw91yCNna_Y5LO_zzk2ht9B2s2q/view?usp=share_link" TargetMode="External"/><Relationship Id="rId879" Type="http://schemas.openxmlformats.org/officeDocument/2006/relationships/hyperlink" Target="https://drive.google.com/file/d/1PWuwpQyTBCCHBnr9YaTyslop5nprpWc_/view?usp=share_link" TargetMode="External"/><Relationship Id="rId434" Type="http://schemas.openxmlformats.org/officeDocument/2006/relationships/hyperlink" Target="https://drive.google.com/file/d/1Phk6rnAJ8PJb5H7MsrJdNs_PKungg81y/view?usp=share_link" TargetMode="External"/><Relationship Id="rId641" Type="http://schemas.openxmlformats.org/officeDocument/2006/relationships/hyperlink" Target="https://drive.google.com/file/d/1O2ayDPlx4nn2nWs_ruHjNuor6jWlD8X1/view?usp=share_link" TargetMode="External"/><Relationship Id="rId739" Type="http://schemas.openxmlformats.org/officeDocument/2006/relationships/hyperlink" Target="https://drive.google.com/file/d/1r7QfxQJf2swO_4VS0hqlJmXZ1oad0DVj/view?usp=share_link" TargetMode="External"/><Relationship Id="rId1064" Type="http://schemas.openxmlformats.org/officeDocument/2006/relationships/hyperlink" Target="https://drive.google.com/file/d/1hzTLkpyMgoB98SMltOBSgqX1DrJFmVLh/view?usp=sharing" TargetMode="External"/><Relationship Id="rId1271" Type="http://schemas.openxmlformats.org/officeDocument/2006/relationships/hyperlink" Target="https://drive.google.com/file/d/1RyODMK2GMSzy47qvJ8UxF7WD8qMJa9Kj/view?usp=sharing" TargetMode="External"/><Relationship Id="rId1369" Type="http://schemas.openxmlformats.org/officeDocument/2006/relationships/hyperlink" Target="https://drive.google.com/file/d/19Pe3eq_LFd05z-Fj5GOZH0gj_5lig5r-/view?usp=sharing" TargetMode="External"/><Relationship Id="rId501" Type="http://schemas.openxmlformats.org/officeDocument/2006/relationships/hyperlink" Target="https://drive.google.com/file/d/1Cr7_Spk_QNfh6RMY445Ktuxe_vtwOZQo/view?usp=share_link" TargetMode="External"/><Relationship Id="rId946" Type="http://schemas.openxmlformats.org/officeDocument/2006/relationships/hyperlink" Target="https://drive.google.com/file/d/1mbrdZsW5lQacEBi4KxgsEx3GOHKyzhId/view?usp=share_link" TargetMode="External"/><Relationship Id="rId1131" Type="http://schemas.openxmlformats.org/officeDocument/2006/relationships/hyperlink" Target="https://drive.google.com/file/d/1-FP6D8CptRNZY4rKNX0EdEa_aDaz93vm/view?usp=share_link" TargetMode="External"/><Relationship Id="rId1229" Type="http://schemas.openxmlformats.org/officeDocument/2006/relationships/hyperlink" Target="https://drive.google.com/file/d/1C61VWz_kuTz0JgTu25BP7HuWiUyLygQF/view?usp=sharing" TargetMode="External"/><Relationship Id="rId75" Type="http://schemas.openxmlformats.org/officeDocument/2006/relationships/hyperlink" Target="https://drive.google.com/file/d/1vC18SbHqMSVWkibbicgSGAoLRCEj0ds7/view?usp=sharing" TargetMode="External"/><Relationship Id="rId806" Type="http://schemas.openxmlformats.org/officeDocument/2006/relationships/hyperlink" Target="https://drive.google.com/file/d/1JL3mmj5nKkwp98EnZDHy7B51aXxb6OfB/view?usp=share_link" TargetMode="External"/><Relationship Id="rId1436" Type="http://schemas.openxmlformats.org/officeDocument/2006/relationships/hyperlink" Target="https://drive.google.com/open?id=1QUBhyoW8Y8bRvA6dK8I3Bjp9_xfB5rBA&amp;usp=drive_fs" TargetMode="External"/><Relationship Id="rId291" Type="http://schemas.openxmlformats.org/officeDocument/2006/relationships/hyperlink" Target="https://drive.google.com/file/d/1WXy10fAlog90vMCnImNivpmWD7gIRtE_/view?usp=share_link" TargetMode="External"/><Relationship Id="rId151" Type="http://schemas.openxmlformats.org/officeDocument/2006/relationships/hyperlink" Target="https://drive.google.com/file/d/1VoXqz828OJyr7vpu9-pScF0Lqfhh8FdU/view?usp=sharing" TargetMode="External"/><Relationship Id="rId389" Type="http://schemas.openxmlformats.org/officeDocument/2006/relationships/hyperlink" Target="https://drive.google.com/file/d/1nmPcGimwJHSaL6qyFKQOUbh11zroOop3/view?usp=share_link" TargetMode="External"/><Relationship Id="rId596" Type="http://schemas.openxmlformats.org/officeDocument/2006/relationships/hyperlink" Target="https://drive.google.com/file/d/11-KrDhDdtvu0Nb270ntw2_geroOsO0mC/view?usp=share_link" TargetMode="External"/><Relationship Id="rId249" Type="http://schemas.openxmlformats.org/officeDocument/2006/relationships/hyperlink" Target="https://drive.google.com/file/d/16sUccEkk2oSUcH1yBzmogq4lCmtYSxWx/view?usp=share_link" TargetMode="External"/><Relationship Id="rId456" Type="http://schemas.openxmlformats.org/officeDocument/2006/relationships/hyperlink" Target="https://drive.google.com/file/d/1WkIMBztG6inC8eYZCC-JGtNY5hijM9Xq/view?usp=share_link" TargetMode="External"/><Relationship Id="rId663" Type="http://schemas.openxmlformats.org/officeDocument/2006/relationships/hyperlink" Target="https://drive.google.com/file/d/1kFh0iNGwhjJiZpeE_LXI8RYKrvfAd0dS/view?usp=share_link" TargetMode="External"/><Relationship Id="rId870" Type="http://schemas.openxmlformats.org/officeDocument/2006/relationships/hyperlink" Target="https://drive.google.com/file/d/1lCY7au55l7EZBBd-fF43i6SlQD_mFeot/view?usp=share_link" TargetMode="External"/><Relationship Id="rId1086" Type="http://schemas.openxmlformats.org/officeDocument/2006/relationships/hyperlink" Target="https://drive.google.com/file/d/1zaioyAQgRlifzA2u_IXhI9nQlr81Cwjp/view?usp=share_link" TargetMode="External"/><Relationship Id="rId1293" Type="http://schemas.openxmlformats.org/officeDocument/2006/relationships/hyperlink" Target="https://drive.google.com/file/d/15XPnfeiU6V4H0V3iVPSBW2egGRWZyD5V/view?usp=sharing" TargetMode="External"/><Relationship Id="rId109" Type="http://schemas.openxmlformats.org/officeDocument/2006/relationships/hyperlink" Target="https://drive.google.com/file/d/1edXh58yrhADdKHvMjHjvLd5XHgfCgfX0/view?usp=sharing" TargetMode="External"/><Relationship Id="rId316" Type="http://schemas.openxmlformats.org/officeDocument/2006/relationships/hyperlink" Target="https://drive.google.com/file/d/1Wp6JpPsVps8WrJODxq1S1qVFk0Qy4Hb8/view?usp=share_link" TargetMode="External"/><Relationship Id="rId523" Type="http://schemas.openxmlformats.org/officeDocument/2006/relationships/hyperlink" Target="https://drive.google.com/file/d/1QhKmeThPy-o-LsFeKoWotfZUQh441x5h/view?usp=share_link" TargetMode="External"/><Relationship Id="rId968" Type="http://schemas.openxmlformats.org/officeDocument/2006/relationships/hyperlink" Target="https://drive.google.com/file/d/10wRqri8n3kyoZnhB50bABqvVR_NiZ-C0/view?usp=share_link" TargetMode="External"/><Relationship Id="rId1153" Type="http://schemas.openxmlformats.org/officeDocument/2006/relationships/hyperlink" Target="https://drive.google.com/file/d/1-oUACv8-XEC6uxAIXc1sScI3zUcBy484/view?usp=sharing" TargetMode="External"/><Relationship Id="rId97" Type="http://schemas.openxmlformats.org/officeDocument/2006/relationships/hyperlink" Target="https://drive.google.com/file/d/1tvm6mn-XaGyHx5uG5g7K6eupa8qqFfoN/view?usp=sharing" TargetMode="External"/><Relationship Id="rId730" Type="http://schemas.openxmlformats.org/officeDocument/2006/relationships/hyperlink" Target="https://drive.google.com/file/d/14vQw0Vhku8RB0qR-NyCrEcnXh8YZKrBd/view?usp=share_link" TargetMode="External"/><Relationship Id="rId828" Type="http://schemas.openxmlformats.org/officeDocument/2006/relationships/hyperlink" Target="https://drive.google.com/file/d/185YRiIMlkQY2GR-AY5_rNdRJvsG4PiqH/view?usp=share_link" TargetMode="External"/><Relationship Id="rId1013" Type="http://schemas.openxmlformats.org/officeDocument/2006/relationships/hyperlink" Target="https://drive.google.com/file/d/17YATE-l_O1xdsu3JO-RwaNLo-uMCGTd3/view?usp=share_link" TargetMode="External"/><Relationship Id="rId1360" Type="http://schemas.openxmlformats.org/officeDocument/2006/relationships/hyperlink" Target="https://drive.google.com/open?id=17GUc4hadekoUf-_3pFt_5UqTQVwvrPAj&amp;usp=drive_fs" TargetMode="External"/><Relationship Id="rId1458" Type="http://schemas.openxmlformats.org/officeDocument/2006/relationships/hyperlink" Target="https://drive.google.com/open?id=1nex5j6tUPC-cmv-H-vEb6yskqg-4o4wk&amp;usp=drive_fs" TargetMode="External"/><Relationship Id="rId1220" Type="http://schemas.openxmlformats.org/officeDocument/2006/relationships/hyperlink" Target="https://drive.google.com/file/d/1BGJeZJL0u-Ga-ML8bHNe_SnlUq1GGYEA/view?usp=sharing" TargetMode="External"/><Relationship Id="rId1318" Type="http://schemas.openxmlformats.org/officeDocument/2006/relationships/hyperlink" Target="https://drive.google.com/file/d/1k1xlr_tRKy4w4apRwU4tswWVDoEjAse0/view?usp=drive_link" TargetMode="External"/><Relationship Id="rId24" Type="http://schemas.openxmlformats.org/officeDocument/2006/relationships/hyperlink" Target="https://drive.google.com/file/d/1CBfTXC_It8mEZ4qBG6bBEXAbRTitOB2O/view?usp=sharing" TargetMode="External"/><Relationship Id="rId173" Type="http://schemas.openxmlformats.org/officeDocument/2006/relationships/hyperlink" Target="https://drive.google.com/file/d/1sMcRwHdb_r6e0N2PteGsOCniw9UTP7ns/view?usp=sharing" TargetMode="External"/><Relationship Id="rId380" Type="http://schemas.openxmlformats.org/officeDocument/2006/relationships/hyperlink" Target="https://drive.google.com/file/d/14uBBXb6XjoJUuqQ82-NWsrEh3eZz17Yx/view?usp=share_link" TargetMode="External"/><Relationship Id="rId240" Type="http://schemas.openxmlformats.org/officeDocument/2006/relationships/hyperlink" Target="https://drive.google.com/file/d/1DAMK8ID6gkcF8cK4xL-WOgtXLpR56i96/view?usp=share_link" TargetMode="External"/><Relationship Id="rId478" Type="http://schemas.openxmlformats.org/officeDocument/2006/relationships/hyperlink" Target="https://drive.google.com/file/d/1lw1gZH_Nlo3t-G2lXf5oX_MueWQV4oZP/view?usp=share_link" TargetMode="External"/><Relationship Id="rId685" Type="http://schemas.openxmlformats.org/officeDocument/2006/relationships/hyperlink" Target="https://drive.google.com/file/d/1bVOlCd7RQyNS7U6mOuqXvG-XtbY8HJtK/view?usp=share_link" TargetMode="External"/><Relationship Id="rId892" Type="http://schemas.openxmlformats.org/officeDocument/2006/relationships/hyperlink" Target="https://drive.google.com/file/d/1TfykEfhOk8zW15IYIAmOOLIjDg2_fR2r/view?usp=share_link" TargetMode="External"/><Relationship Id="rId100" Type="http://schemas.openxmlformats.org/officeDocument/2006/relationships/hyperlink" Target="https://drive.google.com/file/d/1YrlfPdba7ofYMP3tSZn-oHX01x4qT6r8/view?usp=sharing" TargetMode="External"/><Relationship Id="rId338" Type="http://schemas.openxmlformats.org/officeDocument/2006/relationships/hyperlink" Target="https://drive.google.com/file/d/1nn0J19vL2WitgKFTZyIc-AjIz-OD9RA4/view?usp=share_link" TargetMode="External"/><Relationship Id="rId545" Type="http://schemas.openxmlformats.org/officeDocument/2006/relationships/hyperlink" Target="https://drive.google.com/file/d/1EEgp7PBIOTB8guT0o-raYaxBkAd8I5QR/view?usp=share_link" TargetMode="External"/><Relationship Id="rId752" Type="http://schemas.openxmlformats.org/officeDocument/2006/relationships/hyperlink" Target="https://drive.google.com/file/d/14PzVDo43wCnF5cKNXcuRR9V43aKVxY1y/view?usp=share_link" TargetMode="External"/><Relationship Id="rId1175" Type="http://schemas.openxmlformats.org/officeDocument/2006/relationships/hyperlink" Target="https://drive.google.com/file/d/1nVKtYqCl4aT0ydYbG4ziiH1WHxNsqbwD/view?usp=sharing" TargetMode="External"/><Relationship Id="rId1382" Type="http://schemas.openxmlformats.org/officeDocument/2006/relationships/hyperlink" Target="https://drive.google.com/open?id=1C9bAJAy-uCHsHMSWEk-4NCui5Xj8OywC&amp;usp=drive_fs" TargetMode="External"/><Relationship Id="rId405" Type="http://schemas.openxmlformats.org/officeDocument/2006/relationships/hyperlink" Target="https://drive.google.com/file/d/1g_T2lW-2YqRFWRaJ5CxCAdESj85oRLqF/view?usp=share_link" TargetMode="External"/><Relationship Id="rId612" Type="http://schemas.openxmlformats.org/officeDocument/2006/relationships/hyperlink" Target="https://drive.google.com/file/d/1cPcKMna4zVuzPAUBy2Bxr9M4KKk_mJ8f/view?usp=share_link" TargetMode="External"/><Relationship Id="rId1035" Type="http://schemas.openxmlformats.org/officeDocument/2006/relationships/hyperlink" Target="https://drive.google.com/file/d/1O5oi2UcUrUvqlok7fgWHEbqogPfpCSEG/view?usp=share_link" TargetMode="External"/><Relationship Id="rId1242" Type="http://schemas.openxmlformats.org/officeDocument/2006/relationships/hyperlink" Target="https://drive.google.com/file/d/1D_P8XpHZ6LNqCoKZKKKooZa0BelUhJ65/view?usp=sharing" TargetMode="External"/><Relationship Id="rId917" Type="http://schemas.openxmlformats.org/officeDocument/2006/relationships/hyperlink" Target="https://drive.google.com/file/d/1R5EHqNWogO-zZgvrBKkfHEaXKOkkNAhI/view?usp=share_link" TargetMode="External"/><Relationship Id="rId1102" Type="http://schemas.openxmlformats.org/officeDocument/2006/relationships/hyperlink" Target="https://drive.google.com/file/d/1dZcdQxe5xTqXhihoH5XwiJcCWlMJnkZ7/view?usp=share_link" TargetMode="External"/><Relationship Id="rId46" Type="http://schemas.openxmlformats.org/officeDocument/2006/relationships/hyperlink" Target="https://drive.google.com/file/d/1qe43tNlg0LBlCLhkxmhZsX76L1g-KngE/view?usp=sharing" TargetMode="External"/><Relationship Id="rId1407" Type="http://schemas.openxmlformats.org/officeDocument/2006/relationships/hyperlink" Target="https://drive.google.com/file/d/12hQebKRzxslV78bslI2-Fo2mKD92oHy6/view?usp=drive_link" TargetMode="External"/><Relationship Id="rId195" Type="http://schemas.openxmlformats.org/officeDocument/2006/relationships/hyperlink" Target="https://drive.google.com/file/d/1WaFYhxTeK12qtAjTF19Rc3eX1JpQMkQN/view?usp=share_link" TargetMode="External"/><Relationship Id="rId262" Type="http://schemas.openxmlformats.org/officeDocument/2006/relationships/hyperlink" Target="https://drive.google.com/file/d/1V5ldA488TZJTlz01G7axb5ZscdBpVEOk/view?usp=share_link" TargetMode="External"/><Relationship Id="rId567" Type="http://schemas.openxmlformats.org/officeDocument/2006/relationships/hyperlink" Target="https://drive.google.com/file/d/147nYZwwRFRZE8xTuRQZ5kscRN7FPQRae/view?usp=share_link" TargetMode="External"/><Relationship Id="rId1197" Type="http://schemas.openxmlformats.org/officeDocument/2006/relationships/hyperlink" Target="https://drive.google.com/file/d/1JOyNZKb4hMfSh-sw0SzfAfjt5Q8cVx7z/view?usp=sharing" TargetMode="External"/><Relationship Id="rId122" Type="http://schemas.openxmlformats.org/officeDocument/2006/relationships/hyperlink" Target="https://drive.google.com/file/d/1-dXebrwKNX0xNI2JjDy4BJlTwyEzcrjQ/view?usp=sharing" TargetMode="External"/><Relationship Id="rId774" Type="http://schemas.openxmlformats.org/officeDocument/2006/relationships/hyperlink" Target="https://drive.google.com/file/d/1QCAZeorZmXkSvjp_rHeTMQovv63JEcNc/view?usp=share_link" TargetMode="External"/><Relationship Id="rId981" Type="http://schemas.openxmlformats.org/officeDocument/2006/relationships/hyperlink" Target="https://drive.google.com/file/d/1oscSAGZAgJ8rMBFrMsNiGD27wkyNbqF4/view?usp=share_link" TargetMode="External"/><Relationship Id="rId1057" Type="http://schemas.openxmlformats.org/officeDocument/2006/relationships/hyperlink" Target="https://drive.google.com/file/d/1IxdnkV4Uew8OAE6RIZfnNZ9jX51Jx_V7/view?usp=sharing" TargetMode="External"/><Relationship Id="rId427" Type="http://schemas.openxmlformats.org/officeDocument/2006/relationships/hyperlink" Target="https://drive.google.com/file/d/1nu6hVLu9CJzf187PWY5bG7qHpPLJs6v0/view?usp=share_link" TargetMode="External"/><Relationship Id="rId634" Type="http://schemas.openxmlformats.org/officeDocument/2006/relationships/hyperlink" Target="https://drive.google.com/file/d/17gtWWioUpV9QKxE7q95nndxT2ufZVdv6/view?usp=share_link" TargetMode="External"/><Relationship Id="rId841" Type="http://schemas.openxmlformats.org/officeDocument/2006/relationships/hyperlink" Target="https://drive.google.com/file/d/1IN6LZ1-huU7AGHmqeW_pN0JlA61XF2SW/view?usp=share_link" TargetMode="External"/><Relationship Id="rId1264" Type="http://schemas.openxmlformats.org/officeDocument/2006/relationships/hyperlink" Target="https://drive.google.com/file/d/18e06R-MfjzGFO5DE8hoSeHzZIzDkJxw2/view?usp=sharing" TargetMode="External"/><Relationship Id="rId1471" Type="http://schemas.openxmlformats.org/officeDocument/2006/relationships/hyperlink" Target="https://drive.google.com/open?id=1m4z5eCWiqs8xkttOdE5TJ5eZvBC65lM3&amp;usp=drive_fs" TargetMode="External"/><Relationship Id="rId701" Type="http://schemas.openxmlformats.org/officeDocument/2006/relationships/hyperlink" Target="https://drive.google.com/file/d/1jGRBw2pXmKQSA1keanttJBWArgFEyorQ/view?usp=share_link" TargetMode="External"/><Relationship Id="rId939" Type="http://schemas.openxmlformats.org/officeDocument/2006/relationships/hyperlink" Target="https://drive.google.com/file/d/15myZCqJAfr8cqj0G2AoPA2gz7ShqGzkJ/view?usp=share_link" TargetMode="External"/><Relationship Id="rId1124" Type="http://schemas.openxmlformats.org/officeDocument/2006/relationships/hyperlink" Target="https://drive.google.com/file/d/1wZ8uL4elTsc3v0FeRclX3ELusffJXD0l/view?usp=share_link" TargetMode="External"/><Relationship Id="rId1331" Type="http://schemas.openxmlformats.org/officeDocument/2006/relationships/hyperlink" Target="https://drive.google.com/file/d/1-OqX_yZBsecF9Kpk2bwEfmbvzh-uQSt4/view?usp=drive_link" TargetMode="External"/><Relationship Id="rId68" Type="http://schemas.openxmlformats.org/officeDocument/2006/relationships/hyperlink" Target="https://drive.google.com/file/d/1vjvezMGuumtCr3p5JOczuCeHELHu-Z-r/view?usp=sharing" TargetMode="External"/><Relationship Id="rId1429" Type="http://schemas.openxmlformats.org/officeDocument/2006/relationships/hyperlink" Target="https://drive.google.com/open?id=1ImrzlcJDJW3FJa5dpaKoH7JmnBRcqj8b&amp;usp=drive_fs" TargetMode="External"/><Relationship Id="rId284" Type="http://schemas.openxmlformats.org/officeDocument/2006/relationships/hyperlink" Target="https://drive.google.com/file/d/1ZK3QldiiXKHgilH5NRjzHOg5OzplUrDU/view?usp=share_link" TargetMode="External"/><Relationship Id="rId491" Type="http://schemas.openxmlformats.org/officeDocument/2006/relationships/hyperlink" Target="https://drive.google.com/file/d/1rn66DmwRumoKvJimPoR-nqHysiUQyqob/view?usp=share_link" TargetMode="External"/><Relationship Id="rId144" Type="http://schemas.openxmlformats.org/officeDocument/2006/relationships/hyperlink" Target="https://drive.google.com/file/d/1zUx3y9v7bE8QHUFZ89KzOq2DWY9hUoT3/view?usp=sharing" TargetMode="External"/><Relationship Id="rId589" Type="http://schemas.openxmlformats.org/officeDocument/2006/relationships/hyperlink" Target="https://drive.google.com/file/d/1x8CYK7jLs3Yb0dl-GTzkVViyavzZZSk1/view?usp=share_link" TargetMode="External"/><Relationship Id="rId796" Type="http://schemas.openxmlformats.org/officeDocument/2006/relationships/hyperlink" Target="https://drive.google.com/file/d/1BlT_WhYU7t-oWdrtaNRrmjzVybOGne6C/view?usp=share_link" TargetMode="External"/><Relationship Id="rId351" Type="http://schemas.openxmlformats.org/officeDocument/2006/relationships/hyperlink" Target="https://drive.google.com/file/d/1CPYDegT47sHYa1d7BAsi9_QJzXwkisVU/view?usp=share_link" TargetMode="External"/><Relationship Id="rId449" Type="http://schemas.openxmlformats.org/officeDocument/2006/relationships/hyperlink" Target="https://drive.google.com/file/d/1iNuEgSOmJ0OyhCkS98Zdu5QCI77f4g3p/view?usp=share_link" TargetMode="External"/><Relationship Id="rId656" Type="http://schemas.openxmlformats.org/officeDocument/2006/relationships/hyperlink" Target="https://drive.google.com/file/d/1_KQtLnesPNxO32EPLfeBPKtss20Uu1Xi/view?usp=share_link" TargetMode="External"/><Relationship Id="rId863" Type="http://schemas.openxmlformats.org/officeDocument/2006/relationships/hyperlink" Target="https://drive.google.com/file/d/1CDQLmxod2ybta-ow7CGIs153iHBTDoXp/view?usp=share_link" TargetMode="External"/><Relationship Id="rId1079" Type="http://schemas.openxmlformats.org/officeDocument/2006/relationships/hyperlink" Target="https://drive.google.com/file/d/1Bk5_CgTyyuaBZGD9Ox2rLghSO9qBM8SN/view?usp=share_link" TargetMode="External"/><Relationship Id="rId1286" Type="http://schemas.openxmlformats.org/officeDocument/2006/relationships/hyperlink" Target="https://drive.google.com/file/d/1FrevntkdQO5sO8hqE61JLVmcWTzrZ1sJ/view?usp=sharing" TargetMode="External"/><Relationship Id="rId1493" Type="http://schemas.openxmlformats.org/officeDocument/2006/relationships/hyperlink" Target="https://drive.google.com/open?id=1u-gkwSJYqCzEKtEKJQvkRUQgAbqVtRet&amp;usp=drive_fs" TargetMode="External"/><Relationship Id="rId211" Type="http://schemas.openxmlformats.org/officeDocument/2006/relationships/hyperlink" Target="https://drive.google.com/file/d/1bYyKjN9UqEy1aiv9H-5QTMlgBrVyz2NU/view?usp=share_link" TargetMode="External"/><Relationship Id="rId309" Type="http://schemas.openxmlformats.org/officeDocument/2006/relationships/hyperlink" Target="https://drive.google.com/file/d/1eORZJ0aBar7MymVT_Ez95shEkw7YldQH/view?usp=share_link" TargetMode="External"/><Relationship Id="rId516" Type="http://schemas.openxmlformats.org/officeDocument/2006/relationships/hyperlink" Target="https://drive.google.com/file/d/1-LCv2zS8ZturhJH5PL_6IvFSsDI0M6b5/view?usp=share_link" TargetMode="External"/><Relationship Id="rId1146" Type="http://schemas.openxmlformats.org/officeDocument/2006/relationships/hyperlink" Target="https://drive.google.com/file/d/10_CunWWwiaQNojbO486hAAh_szfavm1b/view?usp=share_link" TargetMode="External"/><Relationship Id="rId723" Type="http://schemas.openxmlformats.org/officeDocument/2006/relationships/hyperlink" Target="https://drive.google.com/file/d/1EgG1l_RInmD4dheZ2oqxzj-kf5fmwxwg/view?usp=share_link" TargetMode="External"/><Relationship Id="rId930" Type="http://schemas.openxmlformats.org/officeDocument/2006/relationships/hyperlink" Target="https://drive.google.com/file/d/11ilC4qGWxVT3yhtAeTKfOFAYvkJLaqB1/view?usp=share_link" TargetMode="External"/><Relationship Id="rId1006" Type="http://schemas.openxmlformats.org/officeDocument/2006/relationships/hyperlink" Target="https://drive.google.com/file/d/1kV6UQfLaHejOHC70xoiTS2FN2BO9B3cy/view?usp=share_link" TargetMode="External"/><Relationship Id="rId1353" Type="http://schemas.openxmlformats.org/officeDocument/2006/relationships/hyperlink" Target="https://drive.google.com/open?id=14NoOdpnNQAI-GmxCC_OoSfqGjCimX5hV&amp;usp=drive_fs" TargetMode="External"/><Relationship Id="rId1213" Type="http://schemas.openxmlformats.org/officeDocument/2006/relationships/hyperlink" Target="https://drive.google.com/file/d/1BlPbFZsyg5a15zG_l_1lMDF10m72LPTS/view?usp=sharing" TargetMode="External"/><Relationship Id="rId1420" Type="http://schemas.openxmlformats.org/officeDocument/2006/relationships/hyperlink" Target="https://drive.google.com/open?id=13kMeYIwWYO2A56bv-hxnhAPELuurN8ce&amp;usp=drive_fs" TargetMode="External"/><Relationship Id="rId17" Type="http://schemas.openxmlformats.org/officeDocument/2006/relationships/hyperlink" Target="https://drive.google.com/file/d/10FgmWF5kKxsGyBfXtj_6B-w1aBZjGVOX/view?usp=sharing" TargetMode="External"/><Relationship Id="rId166" Type="http://schemas.openxmlformats.org/officeDocument/2006/relationships/hyperlink" Target="https://drive.google.com/file/d/1KI2-n_1tgCrJplXZAUNUCBVBHO8c6aOB/view?usp=sharing" TargetMode="External"/><Relationship Id="rId373" Type="http://schemas.openxmlformats.org/officeDocument/2006/relationships/hyperlink" Target="https://drive.google.com/file/d/1nbGA8O-BRFWe8g_QJ1zzN8sPHMkYOspm/view?usp=share_link" TargetMode="External"/><Relationship Id="rId580" Type="http://schemas.openxmlformats.org/officeDocument/2006/relationships/hyperlink" Target="https://drive.google.com/file/d/1Fuumx9lF8_4Tlhr7OYG3FfXD5SaESk9T/view?usp=share_link" TargetMode="External"/><Relationship Id="rId1" Type="http://schemas.openxmlformats.org/officeDocument/2006/relationships/hyperlink" Target="https://drive.google.com/file/d/1B1IBBdnLo3PF488mWEpTiEDtixK59oq7/view?usp=share_link" TargetMode="External"/><Relationship Id="rId233" Type="http://schemas.openxmlformats.org/officeDocument/2006/relationships/hyperlink" Target="https://drive.google.com/file/d/1O8PFWLUTp5x4YqubTujOGInKSBtQIWeQ/view?usp=share_link" TargetMode="External"/><Relationship Id="rId440" Type="http://schemas.openxmlformats.org/officeDocument/2006/relationships/hyperlink" Target="https://drive.google.com/file/d/1ifHzf-ORf5emcoU6vxB9qLsJmviuMESC/view?usp=share_link" TargetMode="External"/><Relationship Id="rId678" Type="http://schemas.openxmlformats.org/officeDocument/2006/relationships/hyperlink" Target="https://drive.google.com/file/d/1R41T5BCxaKLzfASoPNBdbDPE7ezijDHg/view?usp=share_link" TargetMode="External"/><Relationship Id="rId885" Type="http://schemas.openxmlformats.org/officeDocument/2006/relationships/hyperlink" Target="https://drive.google.com/file/d/1wu1rTdhdpdarLCfQgHlbd89LL9cpGRgc/view?usp=share_link" TargetMode="External"/><Relationship Id="rId1070" Type="http://schemas.openxmlformats.org/officeDocument/2006/relationships/hyperlink" Target="https://drive.google.com/file/d/15iJE_ygaWpPwyYNsSQMfO5B4puUgAh7P/view?usp=share_link" TargetMode="External"/><Relationship Id="rId300" Type="http://schemas.openxmlformats.org/officeDocument/2006/relationships/hyperlink" Target="https://drive.google.com/file/d/1LK2mricr_sNeJo16N9mc5q-knGECZ3nQ/view?usp=share_link" TargetMode="External"/><Relationship Id="rId538" Type="http://schemas.openxmlformats.org/officeDocument/2006/relationships/hyperlink" Target="https://drive.google.com/file/d/1a2UqU9adtO9asoVZTEyfEN8OACRBz-W4/view?usp=share_link" TargetMode="External"/><Relationship Id="rId745" Type="http://schemas.openxmlformats.org/officeDocument/2006/relationships/hyperlink" Target="https://drive.google.com/file/d/1E-WBym4723SAa-f8ZjwxERiFApBFfvQl/view?usp=share_link" TargetMode="External"/><Relationship Id="rId952" Type="http://schemas.openxmlformats.org/officeDocument/2006/relationships/hyperlink" Target="https://drive.google.com/file/d/1LDvn8ORw399DcjslFb3TY9kCTc3lCwzk/view?usp=share_link" TargetMode="External"/><Relationship Id="rId1168" Type="http://schemas.openxmlformats.org/officeDocument/2006/relationships/hyperlink" Target="https://drive.google.com/file/d/1DQyFSiEmMPcvy-xbGUtxWIELlGcEmoEO/view?usp=sharing" TargetMode="External"/><Relationship Id="rId1375" Type="http://schemas.openxmlformats.org/officeDocument/2006/relationships/hyperlink" Target="https://drive.google.com/file/d/1ewJ4_PTYFbd3jlWZyuXVR_jTEin9Jrc6/view?usp=sharing" TargetMode="External"/><Relationship Id="rId81" Type="http://schemas.openxmlformats.org/officeDocument/2006/relationships/hyperlink" Target="https://drive.google.com/file/d/183oW_F9JJT-3r9sy0gAtyswjj05Y8gNQ/view?usp=sharing" TargetMode="External"/><Relationship Id="rId605" Type="http://schemas.openxmlformats.org/officeDocument/2006/relationships/hyperlink" Target="https://drive.google.com/file/d/1BkCUldxpJ-Aluzly8714pxxa56A1jm_t/view?usp=share_link" TargetMode="External"/><Relationship Id="rId812" Type="http://schemas.openxmlformats.org/officeDocument/2006/relationships/hyperlink" Target="https://drive.google.com/file/d/1rwZVtYAMjs1uCZ_pNyAMtwz-GFkbPp2r/view?usp=share_link" TargetMode="External"/><Relationship Id="rId1028" Type="http://schemas.openxmlformats.org/officeDocument/2006/relationships/hyperlink" Target="https://drive.google.com/file/d/1bevEgDPLVLzA4ubpdqwLyrKUEPpyjPnT/view?usp=share_link" TargetMode="External"/><Relationship Id="rId1235" Type="http://schemas.openxmlformats.org/officeDocument/2006/relationships/hyperlink" Target="https://drive.google.com/file/d/1D7Qcs6M4B4GBQlzL9Q2Z2KOMiMYjn2zu/view?usp=sharing" TargetMode="External"/><Relationship Id="rId1442" Type="http://schemas.openxmlformats.org/officeDocument/2006/relationships/hyperlink" Target="https://drive.google.com/open?id=155lKbyaiQLezrksOCBZk1skmqQEBbdw3&amp;usp=drive_fs" TargetMode="External"/><Relationship Id="rId1302" Type="http://schemas.openxmlformats.org/officeDocument/2006/relationships/hyperlink" Target="https://drive.google.com/file/d/11UHRwS5pJhfxHZ8MSdYpkQbqF2QbGBC8/view?usp=drive_link" TargetMode="External"/><Relationship Id="rId39" Type="http://schemas.openxmlformats.org/officeDocument/2006/relationships/hyperlink" Target="https://drive.google.com/file/d/18e858zKmsQBCjuxnS8ZE58-He-hzDmky/view?usp=sharing" TargetMode="External"/><Relationship Id="rId188" Type="http://schemas.openxmlformats.org/officeDocument/2006/relationships/hyperlink" Target="https://drive.google.com/file/d/17FXiAlbeETJHWn7I0TzjI8NN5Bpa_urX/view?usp=sharing" TargetMode="External"/><Relationship Id="rId395" Type="http://schemas.openxmlformats.org/officeDocument/2006/relationships/hyperlink" Target="https://drive.google.com/file/d/1uOkAAf_l_n5BuCIlWrCZaqErZQFOopW8/view?usp=share_link" TargetMode="External"/><Relationship Id="rId255" Type="http://schemas.openxmlformats.org/officeDocument/2006/relationships/hyperlink" Target="https://drive.google.com/file/d/1KD3EHnJcI7BCepzX5DnWLmpWkNFhenGg/view?usp=share_link" TargetMode="External"/><Relationship Id="rId462" Type="http://schemas.openxmlformats.org/officeDocument/2006/relationships/hyperlink" Target="https://drive.google.com/file/d/1MPvI9yJV4HALE3aWgVYdx6NzPfwGc2Nx/view?usp=share_link" TargetMode="External"/><Relationship Id="rId1092" Type="http://schemas.openxmlformats.org/officeDocument/2006/relationships/hyperlink" Target="https://drive.google.com/file/d/1QSNeZSLpmJkERIMucrLoXD8ksUjdHPvO/view?usp=share_link" TargetMode="External"/><Relationship Id="rId1397" Type="http://schemas.openxmlformats.org/officeDocument/2006/relationships/hyperlink" Target="https://drive.google.com/open?id=1sjYnLIDZM-F07EmKfYPHSceDwsGf4bRo&amp;usp=drive_fs" TargetMode="External"/><Relationship Id="rId115" Type="http://schemas.openxmlformats.org/officeDocument/2006/relationships/hyperlink" Target="https://drive.google.com/file/d/1FQy-4XVDVE0YXeD-vcGodwv99288feX_/view?usp=sharing" TargetMode="External"/><Relationship Id="rId322" Type="http://schemas.openxmlformats.org/officeDocument/2006/relationships/hyperlink" Target="https://drive.google.com/file/d/122q1xPwWbXp0PVnIw-Ao8DGLGsvhZCiT/view?usp=share_link" TargetMode="External"/><Relationship Id="rId767" Type="http://schemas.openxmlformats.org/officeDocument/2006/relationships/hyperlink" Target="https://drive.google.com/file/d/1GZEESTa5bly1I8SCnKHiozh_Pl5fiMgC/view?usp=share_link" TargetMode="External"/><Relationship Id="rId974" Type="http://schemas.openxmlformats.org/officeDocument/2006/relationships/hyperlink" Target="https://drive.google.com/file/d/1lYwwydzDbWHdFq26Gd_HdqF8N1X7i2U2/view?usp=share_link" TargetMode="External"/><Relationship Id="rId627" Type="http://schemas.openxmlformats.org/officeDocument/2006/relationships/hyperlink" Target="https://drive.google.com/file/d/1xNONR3syV4MdrGSIgdaMwtPE34Vl7yKr/view?usp=share_link" TargetMode="External"/><Relationship Id="rId834" Type="http://schemas.openxmlformats.org/officeDocument/2006/relationships/hyperlink" Target="https://drive.google.com/file/d/1q1BtUlDLfG9ztyT_gBpl_DMTl8Am7n2a/view?usp=share_link" TargetMode="External"/><Relationship Id="rId1257" Type="http://schemas.openxmlformats.org/officeDocument/2006/relationships/hyperlink" Target="https://drive.google.com/file/d/1733fJSzySKapnFhm2Nbz2gT7BjE37hYD/view?usp=sharing" TargetMode="External"/><Relationship Id="rId1464" Type="http://schemas.openxmlformats.org/officeDocument/2006/relationships/hyperlink" Target="https://drive.google.com/open?id=1yO-MobbLUfQ6YNwvlloaCBEFf2o0Mx47&amp;usp=drive_f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EFB4-4B02-4F12-AF5F-A0764DC21911}">
  <sheetPr codeName="DIBUJO_2"/>
  <dimension ref="A1:BA2689"/>
  <sheetViews>
    <sheetView showGridLines="0" tabSelected="1" zoomScale="70" zoomScaleNormal="70" zoomScaleSheetLayoutView="30" workbookViewId="0">
      <pane ySplit="2" topLeftCell="A3" activePane="bottomLeft" state="frozen"/>
      <selection activeCell="B1" sqref="B1"/>
      <selection pane="bottomLeft" activeCell="A629" sqref="A629:XFD629"/>
    </sheetView>
  </sheetViews>
  <sheetFormatPr baseColWidth="10" defaultRowHeight="14.4" x14ac:dyDescent="0.3"/>
  <cols>
    <col min="1" max="1" width="15.33203125" style="65" bestFit="1" customWidth="1"/>
    <col min="2" max="2" width="38.6640625" style="66" bestFit="1" customWidth="1"/>
    <col min="3" max="3" width="21" style="67" customWidth="1"/>
    <col min="4" max="4" width="38.109375" style="67" bestFit="1" customWidth="1"/>
    <col min="5" max="5" width="33" style="65" customWidth="1"/>
    <col min="6" max="7" width="11" style="68" bestFit="1" customWidth="1"/>
    <col min="8" max="8" width="10.33203125" style="68" bestFit="1" customWidth="1"/>
    <col min="9" max="9" width="12.6640625" style="65" customWidth="1"/>
    <col min="10" max="10" width="17.6640625" style="65" customWidth="1"/>
    <col min="11" max="11" width="12.88671875" style="69" bestFit="1" customWidth="1"/>
    <col min="12" max="12" width="16.88671875" customWidth="1"/>
    <col min="13" max="13" width="95.88671875" bestFit="1" customWidth="1"/>
    <col min="15" max="15" width="11.5546875" customWidth="1"/>
    <col min="16" max="16" width="21.44140625" customWidth="1"/>
    <col min="17" max="17" width="14.88671875" customWidth="1"/>
    <col min="18" max="18" width="9.109375" customWidth="1"/>
    <col min="19" max="19" width="5.44140625" customWidth="1"/>
  </cols>
  <sheetData>
    <row r="1" spans="1:23" s="16" customFormat="1" ht="22.2" customHeight="1" thickBot="1" x14ac:dyDescent="0.35">
      <c r="A1" s="10"/>
      <c r="B1" s="11">
        <v>2</v>
      </c>
      <c r="C1" s="12"/>
      <c r="D1" s="12"/>
      <c r="E1" s="13"/>
      <c r="F1" s="84" t="s">
        <v>6317</v>
      </c>
      <c r="G1" s="85"/>
      <c r="H1" s="86"/>
      <c r="I1" s="12"/>
      <c r="J1" s="12"/>
      <c r="K1" s="14"/>
      <c r="L1" s="12"/>
      <c r="M1" s="10"/>
      <c r="N1" s="15">
        <v>11223009</v>
      </c>
      <c r="O1" s="10" t="s">
        <v>4785</v>
      </c>
      <c r="P1" s="10" t="s">
        <v>4786</v>
      </c>
      <c r="Q1" s="10" t="s">
        <v>4787</v>
      </c>
      <c r="R1" s="10" t="s">
        <v>4788</v>
      </c>
      <c r="S1" s="10" t="s">
        <v>4789</v>
      </c>
      <c r="T1" s="10" t="s">
        <v>4790</v>
      </c>
      <c r="U1" s="10"/>
      <c r="V1" s="10"/>
      <c r="W1" s="12"/>
    </row>
    <row r="2" spans="1:23" s="23" customFormat="1" ht="45.6" customHeight="1" x14ac:dyDescent="0.5">
      <c r="A2" s="17" t="s">
        <v>8058</v>
      </c>
      <c r="B2" s="18" t="s">
        <v>0</v>
      </c>
      <c r="C2" s="17" t="s">
        <v>1</v>
      </c>
      <c r="D2" s="17" t="s">
        <v>2</v>
      </c>
      <c r="E2" s="17" t="s">
        <v>3</v>
      </c>
      <c r="F2" s="19" t="s">
        <v>7</v>
      </c>
      <c r="G2" s="19" t="s">
        <v>6</v>
      </c>
      <c r="H2" s="19" t="s">
        <v>8</v>
      </c>
      <c r="I2" s="17" t="s">
        <v>4313</v>
      </c>
      <c r="J2" s="17" t="s">
        <v>9</v>
      </c>
      <c r="K2" s="20" t="s">
        <v>4</v>
      </c>
      <c r="L2" s="17" t="s">
        <v>5</v>
      </c>
      <c r="M2" s="17" t="s">
        <v>10</v>
      </c>
      <c r="N2" s="17" t="s">
        <v>5549</v>
      </c>
      <c r="O2" s="21" t="str">
        <f>VLOOKUP(N1,Tabla1[],2,FALSE)</f>
        <v>ABC</v>
      </c>
      <c r="P2" s="21" t="str">
        <f>VLOOKUP(N1,Tabla1[],3,FALSE)</f>
        <v>WOM-FRONTAL</v>
      </c>
      <c r="Q2" s="21" t="str">
        <f>VLOOKUP(N1,Tabla1[],4,FALSE)</f>
        <v>REJILLA 16 CAV</v>
      </c>
      <c r="R2" s="21" t="str">
        <f>VLOOKUP(N1,Tabla1[],5,FALSE)</f>
        <v>WOM-FRONTAL</v>
      </c>
      <c r="S2" s="21" t="str">
        <f>VLOOKUP(N1,Tabla1[],12,FALSE)</f>
        <v>ESP-ACB-009</v>
      </c>
      <c r="T2" s="21" t="str">
        <f>VLOOKUP(N1,Tabla1[],13,FALSE)</f>
        <v>https://drive.google.com/file/d/1v2pe8gLNtAMeJb3EG5sw_Uq3jEna-Iu8/view?usp=sharing</v>
      </c>
      <c r="U2" s="21"/>
      <c r="V2" s="21"/>
      <c r="W2" s="22"/>
    </row>
    <row r="3" spans="1:23" x14ac:dyDescent="0.3">
      <c r="A3" s="3">
        <v>11214001</v>
      </c>
      <c r="B3" s="4" t="s">
        <v>11</v>
      </c>
      <c r="C3" s="5" t="s">
        <v>12</v>
      </c>
      <c r="D3" s="5" t="s">
        <v>13</v>
      </c>
      <c r="E3" s="3" t="s">
        <v>12</v>
      </c>
      <c r="F3" s="6">
        <v>147</v>
      </c>
      <c r="G3" s="6">
        <v>81</v>
      </c>
      <c r="H3" s="6">
        <v>7.5</v>
      </c>
      <c r="I3" s="7" t="s">
        <v>4315</v>
      </c>
      <c r="J3" s="3" t="s">
        <v>4317</v>
      </c>
      <c r="K3" s="8" t="s">
        <v>4319</v>
      </c>
      <c r="L3" s="9" t="s">
        <v>15</v>
      </c>
      <c r="M3" s="24" t="s">
        <v>16</v>
      </c>
    </row>
    <row r="4" spans="1:23" x14ac:dyDescent="0.3">
      <c r="A4" s="3">
        <v>11220002</v>
      </c>
      <c r="B4" s="4" t="s">
        <v>11</v>
      </c>
      <c r="C4" s="5" t="s">
        <v>12</v>
      </c>
      <c r="D4" s="5" t="s">
        <v>17</v>
      </c>
      <c r="E4" s="3" t="s">
        <v>12</v>
      </c>
      <c r="F4" s="6">
        <v>146</v>
      </c>
      <c r="G4" s="6">
        <v>7</v>
      </c>
      <c r="H4" s="6">
        <v>0</v>
      </c>
      <c r="I4" s="7" t="s">
        <v>4316</v>
      </c>
      <c r="J4" s="3" t="s">
        <v>4318</v>
      </c>
      <c r="K4" s="8" t="s">
        <v>4320</v>
      </c>
      <c r="L4" s="9" t="s">
        <v>18</v>
      </c>
      <c r="M4" s="24" t="s">
        <v>19</v>
      </c>
    </row>
    <row r="5" spans="1:23" x14ac:dyDescent="0.3">
      <c r="A5" s="3">
        <v>11221003</v>
      </c>
      <c r="B5" s="4" t="s">
        <v>11</v>
      </c>
      <c r="C5" s="5" t="s">
        <v>12</v>
      </c>
      <c r="D5" s="5" t="s">
        <v>17</v>
      </c>
      <c r="E5" s="3" t="s">
        <v>12</v>
      </c>
      <c r="F5" s="6">
        <v>80</v>
      </c>
      <c r="G5" s="6">
        <v>7</v>
      </c>
      <c r="H5" s="6">
        <v>0</v>
      </c>
      <c r="I5" s="7" t="s">
        <v>4316</v>
      </c>
      <c r="J5" s="3" t="s">
        <v>4318</v>
      </c>
      <c r="K5" s="8" t="s">
        <v>4321</v>
      </c>
      <c r="L5" s="9" t="s">
        <v>20</v>
      </c>
      <c r="M5" s="1" t="s">
        <v>21</v>
      </c>
    </row>
    <row r="6" spans="1:23" x14ac:dyDescent="0.3">
      <c r="A6" s="3">
        <v>11211004</v>
      </c>
      <c r="B6" s="4" t="s">
        <v>11</v>
      </c>
      <c r="C6" s="5" t="s">
        <v>22</v>
      </c>
      <c r="D6" s="5" t="s">
        <v>23</v>
      </c>
      <c r="E6" s="3" t="s">
        <v>22</v>
      </c>
      <c r="F6" s="6">
        <v>146</v>
      </c>
      <c r="G6" s="6">
        <v>123</v>
      </c>
      <c r="H6" s="6">
        <v>65</v>
      </c>
      <c r="I6" s="7" t="s">
        <v>4316</v>
      </c>
      <c r="J6" s="3" t="s">
        <v>4318</v>
      </c>
      <c r="K6" s="8" t="s">
        <v>4322</v>
      </c>
      <c r="L6" s="9" t="s">
        <v>24</v>
      </c>
      <c r="M6" s="24" t="s">
        <v>25</v>
      </c>
    </row>
    <row r="7" spans="1:23" x14ac:dyDescent="0.3">
      <c r="A7" s="3">
        <v>11214005</v>
      </c>
      <c r="B7" s="4" t="s">
        <v>11</v>
      </c>
      <c r="C7" s="5" t="s">
        <v>22</v>
      </c>
      <c r="D7" s="5" t="s">
        <v>26</v>
      </c>
      <c r="E7" s="3" t="s">
        <v>22</v>
      </c>
      <c r="F7" s="6">
        <v>147</v>
      </c>
      <c r="G7" s="6">
        <v>124</v>
      </c>
      <c r="H7" s="6">
        <v>10</v>
      </c>
      <c r="I7" s="7" t="s">
        <v>4316</v>
      </c>
      <c r="J7" s="3" t="s">
        <v>4318</v>
      </c>
      <c r="K7" s="8" t="s">
        <v>4323</v>
      </c>
      <c r="L7" s="9" t="s">
        <v>27</v>
      </c>
      <c r="M7" s="24" t="s">
        <v>28</v>
      </c>
    </row>
    <row r="8" spans="1:23" x14ac:dyDescent="0.3">
      <c r="A8" s="3">
        <v>11220006</v>
      </c>
      <c r="B8" s="4" t="s">
        <v>11</v>
      </c>
      <c r="C8" s="5" t="s">
        <v>22</v>
      </c>
      <c r="D8" s="5" t="s">
        <v>29</v>
      </c>
      <c r="E8" s="3" t="s">
        <v>22</v>
      </c>
      <c r="F8" s="6">
        <v>146</v>
      </c>
      <c r="G8" s="6">
        <v>63.5</v>
      </c>
      <c r="H8" s="6">
        <v>0</v>
      </c>
      <c r="I8" s="7" t="s">
        <v>4315</v>
      </c>
      <c r="J8" s="3" t="s">
        <v>4317</v>
      </c>
      <c r="K8" s="8" t="s">
        <v>4324</v>
      </c>
      <c r="L8" s="9" t="s">
        <v>30</v>
      </c>
      <c r="M8" s="24" t="s">
        <v>31</v>
      </c>
    </row>
    <row r="9" spans="1:23" x14ac:dyDescent="0.3">
      <c r="A9" s="3">
        <v>11221007</v>
      </c>
      <c r="B9" s="4" t="s">
        <v>11</v>
      </c>
      <c r="C9" s="5" t="s">
        <v>22</v>
      </c>
      <c r="D9" s="5" t="s">
        <v>29</v>
      </c>
      <c r="E9" s="3" t="s">
        <v>22</v>
      </c>
      <c r="F9" s="6">
        <v>122</v>
      </c>
      <c r="G9" s="6">
        <v>63.5</v>
      </c>
      <c r="H9" s="6">
        <v>0</v>
      </c>
      <c r="I9" s="7" t="s">
        <v>4315</v>
      </c>
      <c r="J9" s="3" t="s">
        <v>4317</v>
      </c>
      <c r="K9" s="8" t="s">
        <v>4325</v>
      </c>
      <c r="L9" s="9" t="s">
        <v>32</v>
      </c>
      <c r="M9" s="1" t="s">
        <v>33</v>
      </c>
    </row>
    <row r="10" spans="1:23" x14ac:dyDescent="0.3">
      <c r="A10" s="3">
        <v>11222008</v>
      </c>
      <c r="B10" s="4" t="s">
        <v>11</v>
      </c>
      <c r="C10" s="5" t="s">
        <v>22</v>
      </c>
      <c r="D10" s="5" t="s">
        <v>29</v>
      </c>
      <c r="E10" s="3" t="s">
        <v>22</v>
      </c>
      <c r="F10" s="6">
        <v>122</v>
      </c>
      <c r="G10" s="6">
        <v>43</v>
      </c>
      <c r="H10" s="6">
        <v>0</v>
      </c>
      <c r="I10" s="7" t="s">
        <v>4315</v>
      </c>
      <c r="J10" s="3" t="s">
        <v>4317</v>
      </c>
      <c r="K10" s="8" t="s">
        <v>4326</v>
      </c>
      <c r="L10" s="9" t="s">
        <v>34</v>
      </c>
      <c r="M10" s="1" t="s">
        <v>35</v>
      </c>
    </row>
    <row r="11" spans="1:23" x14ac:dyDescent="0.3">
      <c r="A11" s="3">
        <v>11223009</v>
      </c>
      <c r="B11" s="4" t="s">
        <v>11</v>
      </c>
      <c r="C11" s="5" t="s">
        <v>22</v>
      </c>
      <c r="D11" s="5" t="s">
        <v>29</v>
      </c>
      <c r="E11" s="3" t="s">
        <v>22</v>
      </c>
      <c r="F11" s="6">
        <v>60</v>
      </c>
      <c r="G11" s="6">
        <v>63.5</v>
      </c>
      <c r="H11" s="6">
        <v>0</v>
      </c>
      <c r="I11" s="7" t="s">
        <v>4315</v>
      </c>
      <c r="J11" s="3" t="s">
        <v>4317</v>
      </c>
      <c r="K11" s="8" t="s">
        <v>4327</v>
      </c>
      <c r="L11" s="9" t="s">
        <v>36</v>
      </c>
      <c r="M11" s="1" t="s">
        <v>37</v>
      </c>
    </row>
    <row r="12" spans="1:23" x14ac:dyDescent="0.3">
      <c r="A12" s="3">
        <v>11224010</v>
      </c>
      <c r="B12" s="4" t="s">
        <v>11</v>
      </c>
      <c r="C12" s="5" t="s">
        <v>22</v>
      </c>
      <c r="D12" s="5" t="s">
        <v>29</v>
      </c>
      <c r="E12" s="3" t="s">
        <v>22</v>
      </c>
      <c r="F12" s="6">
        <v>122</v>
      </c>
      <c r="G12" s="6">
        <v>56</v>
      </c>
      <c r="H12" s="6">
        <v>0</v>
      </c>
      <c r="I12" s="7" t="s">
        <v>4315</v>
      </c>
      <c r="J12" s="3" t="s">
        <v>4317</v>
      </c>
      <c r="K12" s="8" t="s">
        <v>4328</v>
      </c>
      <c r="L12" s="9" t="s">
        <v>38</v>
      </c>
      <c r="M12" s="1" t="s">
        <v>39</v>
      </c>
    </row>
    <row r="13" spans="1:23" x14ac:dyDescent="0.3">
      <c r="A13" s="3">
        <v>11211011</v>
      </c>
      <c r="B13" s="4" t="s">
        <v>11</v>
      </c>
      <c r="C13" s="5" t="s">
        <v>40</v>
      </c>
      <c r="D13" s="5" t="s">
        <v>23</v>
      </c>
      <c r="E13" s="3" t="s">
        <v>40</v>
      </c>
      <c r="F13" s="6">
        <v>120.5</v>
      </c>
      <c r="G13" s="6">
        <v>113</v>
      </c>
      <c r="H13" s="6">
        <v>66</v>
      </c>
      <c r="I13" s="7" t="s">
        <v>4316</v>
      </c>
      <c r="J13" s="3" t="s">
        <v>4318</v>
      </c>
      <c r="K13" s="8" t="s">
        <v>4329</v>
      </c>
      <c r="L13" s="9" t="s">
        <v>41</v>
      </c>
      <c r="M13" s="1" t="s">
        <v>42</v>
      </c>
    </row>
    <row r="14" spans="1:23" x14ac:dyDescent="0.3">
      <c r="A14" s="3">
        <v>11214012</v>
      </c>
      <c r="B14" s="4" t="s">
        <v>11</v>
      </c>
      <c r="C14" s="5" t="s">
        <v>40</v>
      </c>
      <c r="D14" s="5" t="s">
        <v>13</v>
      </c>
      <c r="E14" s="3" t="s">
        <v>40</v>
      </c>
      <c r="F14" s="6">
        <v>121.5</v>
      </c>
      <c r="G14" s="6">
        <v>114</v>
      </c>
      <c r="H14" s="6">
        <v>10</v>
      </c>
      <c r="I14" s="7" t="s">
        <v>4316</v>
      </c>
      <c r="J14" s="3" t="s">
        <v>4318</v>
      </c>
      <c r="K14" s="8" t="s">
        <v>4330</v>
      </c>
      <c r="L14" s="9" t="s">
        <v>43</v>
      </c>
      <c r="M14" s="1" t="s">
        <v>44</v>
      </c>
    </row>
    <row r="15" spans="1:23" x14ac:dyDescent="0.3">
      <c r="A15" s="3">
        <v>11220013</v>
      </c>
      <c r="B15" s="4" t="s">
        <v>11</v>
      </c>
      <c r="C15" s="5" t="s">
        <v>40</v>
      </c>
      <c r="D15" s="5" t="s">
        <v>29</v>
      </c>
      <c r="E15" s="3" t="s">
        <v>40</v>
      </c>
      <c r="F15" s="6">
        <v>119.5</v>
      </c>
      <c r="G15" s="6">
        <v>65</v>
      </c>
      <c r="H15" s="6">
        <v>0</v>
      </c>
      <c r="I15" s="7" t="s">
        <v>4315</v>
      </c>
      <c r="J15" s="3" t="s">
        <v>4317</v>
      </c>
      <c r="K15" s="8" t="s">
        <v>4331</v>
      </c>
      <c r="L15" s="9" t="s">
        <v>45</v>
      </c>
      <c r="M15" s="24" t="s">
        <v>46</v>
      </c>
    </row>
    <row r="16" spans="1:23" x14ac:dyDescent="0.3">
      <c r="A16" s="3">
        <v>11221014</v>
      </c>
      <c r="B16" s="4" t="s">
        <v>11</v>
      </c>
      <c r="C16" s="5" t="s">
        <v>40</v>
      </c>
      <c r="D16" s="5" t="s">
        <v>29</v>
      </c>
      <c r="E16" s="3" t="s">
        <v>40</v>
      </c>
      <c r="F16" s="6">
        <v>112</v>
      </c>
      <c r="G16" s="6">
        <v>65</v>
      </c>
      <c r="H16" s="6">
        <v>0</v>
      </c>
      <c r="I16" s="7" t="s">
        <v>4315</v>
      </c>
      <c r="J16" s="3" t="s">
        <v>4317</v>
      </c>
      <c r="K16" s="8" t="s">
        <v>4332</v>
      </c>
      <c r="L16" s="9" t="s">
        <v>47</v>
      </c>
      <c r="M16" s="24" t="s">
        <v>48</v>
      </c>
    </row>
    <row r="17" spans="1:13" x14ac:dyDescent="0.3">
      <c r="A17" s="3">
        <v>11222015</v>
      </c>
      <c r="B17" s="4" t="s">
        <v>11</v>
      </c>
      <c r="C17" s="5" t="s">
        <v>40</v>
      </c>
      <c r="D17" s="5" t="s">
        <v>29</v>
      </c>
      <c r="E17" s="3" t="s">
        <v>40</v>
      </c>
      <c r="F17" s="6">
        <v>112</v>
      </c>
      <c r="G17" s="6">
        <v>44.5</v>
      </c>
      <c r="H17" s="6">
        <v>0</v>
      </c>
      <c r="I17" s="7" t="s">
        <v>4315</v>
      </c>
      <c r="J17" s="3" t="s">
        <v>4317</v>
      </c>
      <c r="K17" s="8" t="s">
        <v>4333</v>
      </c>
      <c r="L17" s="9" t="s">
        <v>49</v>
      </c>
      <c r="M17" s="1" t="s">
        <v>50</v>
      </c>
    </row>
    <row r="18" spans="1:13" x14ac:dyDescent="0.3">
      <c r="A18" s="3">
        <v>11223016</v>
      </c>
      <c r="B18" s="4" t="s">
        <v>11</v>
      </c>
      <c r="C18" s="5" t="s">
        <v>40</v>
      </c>
      <c r="D18" s="5" t="s">
        <v>29</v>
      </c>
      <c r="E18" s="3" t="s">
        <v>40</v>
      </c>
      <c r="F18" s="6">
        <v>59.5</v>
      </c>
      <c r="G18" s="6">
        <v>65</v>
      </c>
      <c r="H18" s="6">
        <v>0</v>
      </c>
      <c r="I18" s="7" t="s">
        <v>4315</v>
      </c>
      <c r="J18" s="3" t="s">
        <v>4317</v>
      </c>
      <c r="K18" s="8" t="s">
        <v>4334</v>
      </c>
      <c r="L18" s="9" t="s">
        <v>51</v>
      </c>
      <c r="M18" s="1" t="s">
        <v>52</v>
      </c>
    </row>
    <row r="19" spans="1:13" x14ac:dyDescent="0.3">
      <c r="A19" s="3">
        <v>11224017</v>
      </c>
      <c r="B19" s="4" t="s">
        <v>11</v>
      </c>
      <c r="C19" s="5" t="s">
        <v>40</v>
      </c>
      <c r="D19" s="5" t="s">
        <v>29</v>
      </c>
      <c r="E19" s="3" t="s">
        <v>40</v>
      </c>
      <c r="F19" s="6">
        <v>112</v>
      </c>
      <c r="G19" s="6">
        <v>67</v>
      </c>
      <c r="H19" s="6">
        <v>0</v>
      </c>
      <c r="I19" s="7" t="s">
        <v>4315</v>
      </c>
      <c r="J19" s="3" t="s">
        <v>4317</v>
      </c>
      <c r="K19" s="8" t="s">
        <v>4335</v>
      </c>
      <c r="L19" s="9" t="s">
        <v>53</v>
      </c>
      <c r="M19" s="1" t="s">
        <v>54</v>
      </c>
    </row>
    <row r="20" spans="1:13" x14ac:dyDescent="0.3">
      <c r="A20" s="3">
        <v>11211018</v>
      </c>
      <c r="B20" s="4" t="s">
        <v>11</v>
      </c>
      <c r="C20" s="5" t="s">
        <v>55</v>
      </c>
      <c r="D20" s="5" t="s">
        <v>23</v>
      </c>
      <c r="E20" s="3" t="s">
        <v>56</v>
      </c>
      <c r="F20" s="6">
        <v>120.5</v>
      </c>
      <c r="G20" s="6">
        <v>113</v>
      </c>
      <c r="H20" s="6">
        <v>53</v>
      </c>
      <c r="I20" s="7" t="s">
        <v>4316</v>
      </c>
      <c r="J20" s="3" t="s">
        <v>4318</v>
      </c>
      <c r="K20" s="8" t="s">
        <v>4336</v>
      </c>
      <c r="L20" s="9" t="s">
        <v>57</v>
      </c>
      <c r="M20" s="1" t="s">
        <v>58</v>
      </c>
    </row>
    <row r="21" spans="1:13" x14ac:dyDescent="0.3">
      <c r="A21" s="3">
        <v>11214019</v>
      </c>
      <c r="B21" s="4" t="s">
        <v>11</v>
      </c>
      <c r="C21" s="5" t="s">
        <v>55</v>
      </c>
      <c r="D21" s="5" t="s">
        <v>13</v>
      </c>
      <c r="E21" s="3" t="s">
        <v>56</v>
      </c>
      <c r="F21" s="6">
        <v>121.5</v>
      </c>
      <c r="G21" s="6">
        <v>114</v>
      </c>
      <c r="H21" s="6">
        <v>10</v>
      </c>
      <c r="I21" s="7" t="s">
        <v>4316</v>
      </c>
      <c r="J21" s="3" t="s">
        <v>4318</v>
      </c>
      <c r="K21" s="8" t="s">
        <v>4330</v>
      </c>
      <c r="L21" s="9" t="s">
        <v>59</v>
      </c>
      <c r="M21" s="1" t="s">
        <v>60</v>
      </c>
    </row>
    <row r="22" spans="1:13" x14ac:dyDescent="0.3">
      <c r="A22" s="3">
        <v>11220020</v>
      </c>
      <c r="B22" s="4" t="s">
        <v>11</v>
      </c>
      <c r="C22" s="5" t="s">
        <v>61</v>
      </c>
      <c r="D22" s="5" t="s">
        <v>62</v>
      </c>
      <c r="E22" s="3" t="s">
        <v>61</v>
      </c>
      <c r="F22" s="6">
        <v>119.5</v>
      </c>
      <c r="G22" s="6">
        <v>25.5</v>
      </c>
      <c r="H22" s="6">
        <v>0</v>
      </c>
      <c r="I22" s="7" t="s">
        <v>4315</v>
      </c>
      <c r="J22" s="3" t="s">
        <v>4317</v>
      </c>
      <c r="K22" s="8" t="s">
        <v>4337</v>
      </c>
      <c r="L22" s="9" t="s">
        <v>63</v>
      </c>
      <c r="M22" s="1" t="s">
        <v>64</v>
      </c>
    </row>
    <row r="23" spans="1:13" x14ac:dyDescent="0.3">
      <c r="A23" s="3">
        <v>11221021</v>
      </c>
      <c r="B23" s="4" t="s">
        <v>11</v>
      </c>
      <c r="C23" s="5" t="s">
        <v>61</v>
      </c>
      <c r="D23" s="5" t="s">
        <v>62</v>
      </c>
      <c r="E23" s="3" t="s">
        <v>61</v>
      </c>
      <c r="F23" s="6">
        <v>112</v>
      </c>
      <c r="G23" s="6">
        <v>25.5</v>
      </c>
      <c r="H23" s="6">
        <v>0</v>
      </c>
      <c r="I23" s="7" t="s">
        <v>4315</v>
      </c>
      <c r="J23" s="3" t="s">
        <v>4317</v>
      </c>
      <c r="K23" s="8" t="s">
        <v>4338</v>
      </c>
      <c r="L23" s="9" t="s">
        <v>65</v>
      </c>
      <c r="M23" s="24" t="s">
        <v>66</v>
      </c>
    </row>
    <row r="24" spans="1:13" x14ac:dyDescent="0.3">
      <c r="A24" s="3">
        <v>11220022</v>
      </c>
      <c r="B24" s="4" t="s">
        <v>11</v>
      </c>
      <c r="C24" s="5" t="s">
        <v>67</v>
      </c>
      <c r="D24" s="5" t="s">
        <v>68</v>
      </c>
      <c r="E24" s="3" t="s">
        <v>67</v>
      </c>
      <c r="F24" s="6">
        <v>119.5</v>
      </c>
      <c r="G24" s="6">
        <v>25.5</v>
      </c>
      <c r="H24" s="6">
        <v>0</v>
      </c>
      <c r="I24" s="7" t="s">
        <v>4315</v>
      </c>
      <c r="J24" s="3" t="s">
        <v>4317</v>
      </c>
      <c r="K24" s="8" t="s">
        <v>4339</v>
      </c>
      <c r="L24" s="9" t="s">
        <v>69</v>
      </c>
      <c r="M24" s="1" t="s">
        <v>70</v>
      </c>
    </row>
    <row r="25" spans="1:13" x14ac:dyDescent="0.3">
      <c r="A25" s="3">
        <v>11221023</v>
      </c>
      <c r="B25" s="4" t="s">
        <v>11</v>
      </c>
      <c r="C25" s="5" t="s">
        <v>67</v>
      </c>
      <c r="D25" s="5" t="s">
        <v>68</v>
      </c>
      <c r="E25" s="3" t="s">
        <v>67</v>
      </c>
      <c r="F25" s="6">
        <v>112</v>
      </c>
      <c r="G25" s="6">
        <v>25.5</v>
      </c>
      <c r="H25" s="6">
        <v>0</v>
      </c>
      <c r="I25" s="7" t="s">
        <v>4315</v>
      </c>
      <c r="J25" s="3" t="s">
        <v>4317</v>
      </c>
      <c r="K25" s="8" t="s">
        <v>4340</v>
      </c>
      <c r="L25" s="9" t="s">
        <v>71</v>
      </c>
      <c r="M25" s="1" t="s">
        <v>72</v>
      </c>
    </row>
    <row r="26" spans="1:13" x14ac:dyDescent="0.3">
      <c r="A26" s="3">
        <v>11219024</v>
      </c>
      <c r="B26" s="4" t="s">
        <v>11</v>
      </c>
      <c r="C26" s="5" t="s">
        <v>73</v>
      </c>
      <c r="D26" s="5" t="s">
        <v>74</v>
      </c>
      <c r="E26" s="3" t="s">
        <v>73</v>
      </c>
      <c r="F26" s="6">
        <v>119.5</v>
      </c>
      <c r="G26" s="6">
        <v>112</v>
      </c>
      <c r="H26" s="6">
        <v>0</v>
      </c>
      <c r="I26" s="7" t="s">
        <v>4315</v>
      </c>
      <c r="J26" s="3" t="s">
        <v>4317</v>
      </c>
      <c r="K26" s="8" t="s">
        <v>4341</v>
      </c>
      <c r="L26" s="9" t="s">
        <v>75</v>
      </c>
      <c r="M26" s="1" t="s">
        <v>76</v>
      </c>
    </row>
    <row r="27" spans="1:13" x14ac:dyDescent="0.3">
      <c r="A27" s="3">
        <v>11215025</v>
      </c>
      <c r="B27" s="4" t="s">
        <v>11</v>
      </c>
      <c r="C27" s="5" t="s">
        <v>77</v>
      </c>
      <c r="D27" s="5" t="s">
        <v>78</v>
      </c>
      <c r="E27" s="3" t="s">
        <v>77</v>
      </c>
      <c r="F27" s="6">
        <v>114</v>
      </c>
      <c r="G27" s="6">
        <v>39</v>
      </c>
      <c r="H27" s="6">
        <v>65</v>
      </c>
      <c r="I27" s="7" t="s">
        <v>4316</v>
      </c>
      <c r="J27" s="3" t="s">
        <v>4318</v>
      </c>
      <c r="K27" s="8" t="s">
        <v>4342</v>
      </c>
      <c r="L27" s="9" t="s">
        <v>79</v>
      </c>
      <c r="M27" s="1" t="s">
        <v>80</v>
      </c>
    </row>
    <row r="28" spans="1:13" x14ac:dyDescent="0.3">
      <c r="A28" s="3">
        <v>1019001</v>
      </c>
      <c r="B28" s="4" t="s">
        <v>81</v>
      </c>
      <c r="C28" s="5" t="s">
        <v>82</v>
      </c>
      <c r="D28" s="5" t="s">
        <v>74</v>
      </c>
      <c r="E28" s="3" t="s">
        <v>14</v>
      </c>
      <c r="F28" s="6">
        <v>128</v>
      </c>
      <c r="G28" s="6">
        <v>118</v>
      </c>
      <c r="H28" s="6">
        <v>0</v>
      </c>
      <c r="I28" s="7" t="s">
        <v>4316</v>
      </c>
      <c r="J28" s="3" t="s">
        <v>4318</v>
      </c>
      <c r="K28" s="8" t="s">
        <v>4348</v>
      </c>
      <c r="L28" s="9" t="s">
        <v>83</v>
      </c>
      <c r="M28" s="1" t="s">
        <v>84</v>
      </c>
    </row>
    <row r="29" spans="1:13" x14ac:dyDescent="0.3">
      <c r="A29" s="3">
        <v>1017002</v>
      </c>
      <c r="B29" s="4" t="s">
        <v>81</v>
      </c>
      <c r="C29" s="5" t="s">
        <v>85</v>
      </c>
      <c r="D29" s="5" t="s">
        <v>86</v>
      </c>
      <c r="E29" s="3" t="s">
        <v>14</v>
      </c>
      <c r="F29" s="6">
        <v>130</v>
      </c>
      <c r="G29" s="6">
        <v>120</v>
      </c>
      <c r="H29" s="6">
        <v>42</v>
      </c>
      <c r="I29" s="7" t="s">
        <v>4343</v>
      </c>
      <c r="J29" s="3" t="s">
        <v>4346</v>
      </c>
      <c r="K29" s="8" t="s">
        <v>4349</v>
      </c>
      <c r="L29" s="9" t="s">
        <v>87</v>
      </c>
      <c r="M29" s="1" t="s">
        <v>88</v>
      </c>
    </row>
    <row r="30" spans="1:13" x14ac:dyDescent="0.3">
      <c r="A30" s="3">
        <v>1020003</v>
      </c>
      <c r="B30" s="4" t="s">
        <v>81</v>
      </c>
      <c r="C30" s="5" t="s">
        <v>89</v>
      </c>
      <c r="D30" s="5" t="s">
        <v>90</v>
      </c>
      <c r="E30" s="3" t="s">
        <v>14</v>
      </c>
      <c r="F30" s="6">
        <v>128.1</v>
      </c>
      <c r="G30" s="6">
        <v>40.5</v>
      </c>
      <c r="H30" s="6">
        <v>0</v>
      </c>
      <c r="I30" s="7" t="s">
        <v>4316</v>
      </c>
      <c r="J30" s="3" t="s">
        <v>4318</v>
      </c>
      <c r="K30" s="8" t="s">
        <v>4350</v>
      </c>
      <c r="L30" s="9" t="s">
        <v>91</v>
      </c>
      <c r="M30" s="1" t="s">
        <v>92</v>
      </c>
    </row>
    <row r="31" spans="1:13" x14ac:dyDescent="0.3">
      <c r="A31" s="3">
        <v>1021004</v>
      </c>
      <c r="B31" s="4" t="s">
        <v>81</v>
      </c>
      <c r="C31" s="5" t="s">
        <v>89</v>
      </c>
      <c r="D31" s="5" t="s">
        <v>90</v>
      </c>
      <c r="E31" s="3" t="s">
        <v>14</v>
      </c>
      <c r="F31" s="6">
        <v>118</v>
      </c>
      <c r="G31" s="6">
        <v>40.799999999999997</v>
      </c>
      <c r="H31" s="6">
        <v>0</v>
      </c>
      <c r="I31" s="7" t="s">
        <v>4316</v>
      </c>
      <c r="J31" s="3" t="s">
        <v>4318</v>
      </c>
      <c r="K31" s="8" t="s">
        <v>4351</v>
      </c>
      <c r="L31" s="9" t="s">
        <v>93</v>
      </c>
      <c r="M31" s="24" t="s">
        <v>94</v>
      </c>
    </row>
    <row r="32" spans="1:13" x14ac:dyDescent="0.3">
      <c r="A32" s="3">
        <v>1010005</v>
      </c>
      <c r="B32" s="4" t="s">
        <v>81</v>
      </c>
      <c r="C32" s="5" t="s">
        <v>95</v>
      </c>
      <c r="D32" s="5" t="s">
        <v>96</v>
      </c>
      <c r="E32" s="3" t="s">
        <v>14</v>
      </c>
      <c r="F32" s="6">
        <v>41.8</v>
      </c>
      <c r="G32" s="6">
        <v>30.8</v>
      </c>
      <c r="H32" s="6">
        <v>16.7</v>
      </c>
      <c r="I32" s="7" t="s">
        <v>4315</v>
      </c>
      <c r="J32" s="3" t="s">
        <v>4317</v>
      </c>
      <c r="K32" s="8" t="s">
        <v>4320</v>
      </c>
      <c r="L32" s="9" t="s">
        <v>97</v>
      </c>
      <c r="M32" s="1" t="s">
        <v>98</v>
      </c>
    </row>
    <row r="33" spans="1:53" x14ac:dyDescent="0.3">
      <c r="A33" s="3">
        <v>1010006</v>
      </c>
      <c r="B33" s="4" t="s">
        <v>81</v>
      </c>
      <c r="C33" s="5" t="s">
        <v>99</v>
      </c>
      <c r="D33" s="5" t="s">
        <v>96</v>
      </c>
      <c r="E33" s="3" t="s">
        <v>14</v>
      </c>
      <c r="F33" s="6">
        <v>67.400000000000006</v>
      </c>
      <c r="G33" s="6">
        <v>54.8</v>
      </c>
      <c r="H33" s="6">
        <v>23.7</v>
      </c>
      <c r="I33" s="7" t="s">
        <v>4315</v>
      </c>
      <c r="J33" s="3" t="s">
        <v>4317</v>
      </c>
      <c r="K33" s="8" t="s">
        <v>4352</v>
      </c>
      <c r="L33" s="9" t="s">
        <v>100</v>
      </c>
      <c r="M33" s="1" t="s">
        <v>101</v>
      </c>
    </row>
    <row r="34" spans="1:53" x14ac:dyDescent="0.3">
      <c r="A34" s="3">
        <v>1010007</v>
      </c>
      <c r="B34" s="4" t="s">
        <v>81</v>
      </c>
      <c r="C34" s="5" t="s">
        <v>102</v>
      </c>
      <c r="D34" s="5" t="s">
        <v>96</v>
      </c>
      <c r="E34" s="3" t="s">
        <v>14</v>
      </c>
      <c r="F34" s="6">
        <v>119.5</v>
      </c>
      <c r="G34" s="6">
        <v>20</v>
      </c>
      <c r="H34" s="6">
        <v>86.5</v>
      </c>
      <c r="I34" s="7" t="s">
        <v>4315</v>
      </c>
      <c r="J34" s="3" t="s">
        <v>4317</v>
      </c>
      <c r="K34" s="8" t="s">
        <v>4353</v>
      </c>
      <c r="L34" s="9" t="s">
        <v>103</v>
      </c>
      <c r="M34" s="24" t="s">
        <v>104</v>
      </c>
    </row>
    <row r="35" spans="1:53" x14ac:dyDescent="0.3">
      <c r="A35" s="3">
        <v>1016008</v>
      </c>
      <c r="B35" s="4" t="s">
        <v>81</v>
      </c>
      <c r="C35" s="5" t="s">
        <v>14</v>
      </c>
      <c r="D35" s="5" t="s">
        <v>105</v>
      </c>
      <c r="E35" s="3" t="s">
        <v>14</v>
      </c>
      <c r="F35" s="6">
        <v>121.9</v>
      </c>
      <c r="G35" s="6">
        <v>114.3</v>
      </c>
      <c r="H35" s="6">
        <v>88.9</v>
      </c>
      <c r="I35" s="7" t="s">
        <v>4345</v>
      </c>
      <c r="J35" s="3" t="s">
        <v>4347</v>
      </c>
      <c r="K35" s="8" t="s">
        <v>4354</v>
      </c>
      <c r="L35" s="9" t="s">
        <v>106</v>
      </c>
      <c r="M35" s="1" t="s">
        <v>107</v>
      </c>
    </row>
    <row r="36" spans="1:53" x14ac:dyDescent="0.3">
      <c r="A36" s="3">
        <v>102009</v>
      </c>
      <c r="B36" s="4" t="s">
        <v>81</v>
      </c>
      <c r="C36" s="5" t="s">
        <v>108</v>
      </c>
      <c r="D36" s="5" t="s">
        <v>90</v>
      </c>
      <c r="E36" s="3" t="s">
        <v>109</v>
      </c>
      <c r="F36" s="6">
        <v>67.8</v>
      </c>
      <c r="G36" s="6">
        <v>26</v>
      </c>
      <c r="H36" s="6">
        <v>0</v>
      </c>
      <c r="I36" s="7" t="s">
        <v>4316</v>
      </c>
      <c r="J36" s="3" t="s">
        <v>4318</v>
      </c>
      <c r="K36" s="8" t="s">
        <v>4355</v>
      </c>
      <c r="L36" s="9" t="s">
        <v>110</v>
      </c>
      <c r="M36" s="1" t="s">
        <v>111</v>
      </c>
    </row>
    <row r="37" spans="1:53" x14ac:dyDescent="0.3">
      <c r="A37" s="3">
        <v>102010</v>
      </c>
      <c r="B37" s="4" t="s">
        <v>81</v>
      </c>
      <c r="C37" s="5" t="s">
        <v>108</v>
      </c>
      <c r="D37" s="5" t="s">
        <v>90</v>
      </c>
      <c r="E37" s="3" t="s">
        <v>109</v>
      </c>
      <c r="F37" s="6">
        <v>160</v>
      </c>
      <c r="G37" s="6">
        <v>26</v>
      </c>
      <c r="H37" s="6">
        <v>0</v>
      </c>
      <c r="I37" s="7" t="s">
        <v>4316</v>
      </c>
      <c r="J37" s="3" t="s">
        <v>4318</v>
      </c>
      <c r="K37" s="8" t="s">
        <v>4356</v>
      </c>
      <c r="L37" s="9" t="s">
        <v>112</v>
      </c>
      <c r="M37" s="1" t="s">
        <v>113</v>
      </c>
    </row>
    <row r="38" spans="1:53" x14ac:dyDescent="0.3">
      <c r="A38" s="3">
        <v>1020011</v>
      </c>
      <c r="B38" s="4" t="s">
        <v>81</v>
      </c>
      <c r="C38" s="5" t="s">
        <v>114</v>
      </c>
      <c r="D38" s="5" t="s">
        <v>90</v>
      </c>
      <c r="E38" s="3" t="s">
        <v>115</v>
      </c>
      <c r="F38" s="6">
        <v>68</v>
      </c>
      <c r="G38" s="6">
        <v>11</v>
      </c>
      <c r="H38" s="6">
        <v>0</v>
      </c>
      <c r="I38" s="7" t="s">
        <v>4316</v>
      </c>
      <c r="J38" s="3" t="s">
        <v>4318</v>
      </c>
      <c r="K38" s="8" t="s">
        <v>4357</v>
      </c>
      <c r="L38" s="9" t="s">
        <v>116</v>
      </c>
      <c r="M38" s="1" t="s">
        <v>117</v>
      </c>
    </row>
    <row r="39" spans="1:53" x14ac:dyDescent="0.3">
      <c r="A39" s="3">
        <v>1021012</v>
      </c>
      <c r="B39" s="4" t="s">
        <v>81</v>
      </c>
      <c r="C39" s="5" t="s">
        <v>114</v>
      </c>
      <c r="D39" s="5" t="s">
        <v>90</v>
      </c>
      <c r="E39" s="3" t="s">
        <v>115</v>
      </c>
      <c r="F39" s="6">
        <v>160</v>
      </c>
      <c r="G39" s="6">
        <v>11</v>
      </c>
      <c r="H39" s="6">
        <v>0</v>
      </c>
      <c r="I39" s="7" t="s">
        <v>4316</v>
      </c>
      <c r="J39" s="3" t="s">
        <v>4318</v>
      </c>
      <c r="K39" s="8" t="s">
        <v>4355</v>
      </c>
      <c r="L39" s="9" t="s">
        <v>118</v>
      </c>
      <c r="M39" s="1" t="s">
        <v>119</v>
      </c>
    </row>
    <row r="40" spans="1:53" x14ac:dyDescent="0.3">
      <c r="A40" s="3">
        <v>1020013</v>
      </c>
      <c r="B40" s="4" t="s">
        <v>81</v>
      </c>
      <c r="C40" s="5" t="s">
        <v>120</v>
      </c>
      <c r="D40" s="5" t="s">
        <v>90</v>
      </c>
      <c r="E40" s="3" t="s">
        <v>115</v>
      </c>
      <c r="F40" s="6">
        <v>67.8</v>
      </c>
      <c r="G40" s="6">
        <v>29</v>
      </c>
      <c r="H40" s="6">
        <v>0</v>
      </c>
      <c r="I40" s="7" t="s">
        <v>4316</v>
      </c>
      <c r="J40" s="3" t="s">
        <v>4318</v>
      </c>
      <c r="K40" s="8" t="s">
        <v>4358</v>
      </c>
      <c r="L40" s="9" t="s">
        <v>121</v>
      </c>
      <c r="M40" s="1" t="s">
        <v>122</v>
      </c>
    </row>
    <row r="41" spans="1:53" x14ac:dyDescent="0.3">
      <c r="A41" s="3">
        <v>1021014</v>
      </c>
      <c r="B41" s="4" t="s">
        <v>81</v>
      </c>
      <c r="C41" s="5" t="s">
        <v>120</v>
      </c>
      <c r="D41" s="5" t="s">
        <v>90</v>
      </c>
      <c r="E41" s="3" t="s">
        <v>115</v>
      </c>
      <c r="F41" s="6">
        <v>160</v>
      </c>
      <c r="G41" s="6">
        <v>29</v>
      </c>
      <c r="H41" s="6">
        <v>0</v>
      </c>
      <c r="I41" s="7" t="s">
        <v>4316</v>
      </c>
      <c r="J41" s="3" t="s">
        <v>4318</v>
      </c>
      <c r="K41" s="8" t="s">
        <v>4359</v>
      </c>
      <c r="L41" s="9" t="s">
        <v>123</v>
      </c>
      <c r="M41" s="1" t="s">
        <v>124</v>
      </c>
    </row>
    <row r="42" spans="1:53" x14ac:dyDescent="0.3">
      <c r="A42" s="3">
        <v>1020015</v>
      </c>
      <c r="B42" s="4" t="s">
        <v>81</v>
      </c>
      <c r="C42" s="5" t="s">
        <v>125</v>
      </c>
      <c r="D42" s="5" t="s">
        <v>90</v>
      </c>
      <c r="E42" s="3" t="s">
        <v>126</v>
      </c>
      <c r="F42" s="6">
        <v>160</v>
      </c>
      <c r="G42" s="6">
        <v>11</v>
      </c>
      <c r="H42" s="6">
        <v>0</v>
      </c>
      <c r="I42" s="7" t="s">
        <v>4316</v>
      </c>
      <c r="J42" s="3" t="s">
        <v>4318</v>
      </c>
      <c r="K42" s="8" t="s">
        <v>4360</v>
      </c>
      <c r="L42" s="9" t="s">
        <v>127</v>
      </c>
      <c r="M42" s="1" t="s">
        <v>128</v>
      </c>
    </row>
    <row r="43" spans="1:53" x14ac:dyDescent="0.3">
      <c r="A43" s="3">
        <v>1020016</v>
      </c>
      <c r="B43" s="4" t="s">
        <v>81</v>
      </c>
      <c r="C43" s="5" t="s">
        <v>125</v>
      </c>
      <c r="D43" s="5" t="s">
        <v>90</v>
      </c>
      <c r="E43" s="3" t="s">
        <v>126</v>
      </c>
      <c r="F43" s="6">
        <v>68</v>
      </c>
      <c r="G43" s="6">
        <v>11</v>
      </c>
      <c r="H43" s="6">
        <v>0</v>
      </c>
      <c r="I43" s="7" t="s">
        <v>4316</v>
      </c>
      <c r="J43" s="3" t="s">
        <v>4318</v>
      </c>
      <c r="K43" s="8" t="s">
        <v>4357</v>
      </c>
      <c r="L43" s="9" t="s">
        <v>129</v>
      </c>
      <c r="M43" s="1" t="s">
        <v>130</v>
      </c>
    </row>
    <row r="44" spans="1:53" x14ac:dyDescent="0.3">
      <c r="A44" s="3">
        <v>1020017</v>
      </c>
      <c r="B44" s="4" t="s">
        <v>81</v>
      </c>
      <c r="C44" s="5" t="s">
        <v>125</v>
      </c>
      <c r="D44" s="5" t="s">
        <v>131</v>
      </c>
      <c r="E44" s="3" t="s">
        <v>126</v>
      </c>
      <c r="F44" s="6">
        <v>156</v>
      </c>
      <c r="G44" s="6">
        <v>29</v>
      </c>
      <c r="H44" s="6">
        <v>0</v>
      </c>
      <c r="I44" s="7" t="s">
        <v>4316</v>
      </c>
      <c r="J44" s="3" t="s">
        <v>4318</v>
      </c>
      <c r="K44" s="8" t="s">
        <v>4361</v>
      </c>
      <c r="L44" s="9" t="s">
        <v>132</v>
      </c>
      <c r="M44" s="1" t="s">
        <v>133</v>
      </c>
      <c r="BA44" s="16"/>
    </row>
    <row r="45" spans="1:53" x14ac:dyDescent="0.3">
      <c r="A45" s="3">
        <v>1021018</v>
      </c>
      <c r="B45" s="4" t="s">
        <v>81</v>
      </c>
      <c r="C45" s="5" t="s">
        <v>125</v>
      </c>
      <c r="D45" s="5" t="s">
        <v>90</v>
      </c>
      <c r="E45" s="3" t="s">
        <v>126</v>
      </c>
      <c r="F45" s="6">
        <v>68.099999999999994</v>
      </c>
      <c r="G45" s="6">
        <v>29</v>
      </c>
      <c r="H45" s="6">
        <v>0</v>
      </c>
      <c r="I45" s="7" t="s">
        <v>4316</v>
      </c>
      <c r="J45" s="3" t="s">
        <v>4318</v>
      </c>
      <c r="K45" s="8" t="s">
        <v>4358</v>
      </c>
      <c r="L45" s="9" t="s">
        <v>134</v>
      </c>
      <c r="M45" s="1" t="s">
        <v>135</v>
      </c>
      <c r="BA45" s="16"/>
    </row>
    <row r="46" spans="1:53" x14ac:dyDescent="0.3">
      <c r="A46" s="3">
        <v>1020019</v>
      </c>
      <c r="B46" s="4" t="s">
        <v>81</v>
      </c>
      <c r="C46" s="5" t="s">
        <v>136</v>
      </c>
      <c r="D46" s="5" t="s">
        <v>90</v>
      </c>
      <c r="E46" s="3" t="s">
        <v>137</v>
      </c>
      <c r="F46" s="6">
        <v>157</v>
      </c>
      <c r="G46" s="6">
        <v>26</v>
      </c>
      <c r="H46" s="6">
        <v>0</v>
      </c>
      <c r="I46" s="7" t="s">
        <v>4316</v>
      </c>
      <c r="J46" s="3" t="s">
        <v>4318</v>
      </c>
      <c r="K46" s="8" t="s">
        <v>4362</v>
      </c>
      <c r="L46" s="9" t="s">
        <v>138</v>
      </c>
      <c r="M46" s="1" t="s">
        <v>139</v>
      </c>
      <c r="BA46" s="16"/>
    </row>
    <row r="47" spans="1:53" x14ac:dyDescent="0.3">
      <c r="A47" s="3">
        <v>1021020</v>
      </c>
      <c r="B47" s="4" t="s">
        <v>81</v>
      </c>
      <c r="C47" s="5" t="s">
        <v>136</v>
      </c>
      <c r="D47" s="5" t="s">
        <v>131</v>
      </c>
      <c r="E47" s="3" t="s">
        <v>140</v>
      </c>
      <c r="F47" s="6">
        <v>68.099999999999994</v>
      </c>
      <c r="G47" s="6">
        <v>26</v>
      </c>
      <c r="H47" s="6">
        <v>0</v>
      </c>
      <c r="I47" s="7" t="s">
        <v>4316</v>
      </c>
      <c r="J47" s="3" t="s">
        <v>4318</v>
      </c>
      <c r="K47" s="8" t="s">
        <v>4355</v>
      </c>
      <c r="L47" s="9" t="s">
        <v>141</v>
      </c>
      <c r="M47" s="1" t="s">
        <v>142</v>
      </c>
      <c r="BA47" s="16"/>
    </row>
    <row r="48" spans="1:53" x14ac:dyDescent="0.3">
      <c r="A48" s="3">
        <v>1016021</v>
      </c>
      <c r="B48" s="4" t="s">
        <v>81</v>
      </c>
      <c r="C48" s="5" t="s">
        <v>143</v>
      </c>
      <c r="D48" s="5" t="s">
        <v>105</v>
      </c>
      <c r="E48" s="3" t="s">
        <v>14</v>
      </c>
      <c r="F48" s="6">
        <v>159.5</v>
      </c>
      <c r="G48" s="6">
        <v>69.5</v>
      </c>
      <c r="H48" s="6">
        <v>57</v>
      </c>
      <c r="I48" s="7" t="s">
        <v>4343</v>
      </c>
      <c r="J48" s="3" t="s">
        <v>4346</v>
      </c>
      <c r="K48" s="8" t="s">
        <v>4363</v>
      </c>
      <c r="L48" s="9" t="s">
        <v>144</v>
      </c>
      <c r="M48" s="1" t="s">
        <v>145</v>
      </c>
      <c r="BA48" s="16"/>
    </row>
    <row r="49" spans="1:53" x14ac:dyDescent="0.3">
      <c r="A49" s="3">
        <v>1015022</v>
      </c>
      <c r="B49" s="4" t="s">
        <v>81</v>
      </c>
      <c r="C49" s="5" t="s">
        <v>6203</v>
      </c>
      <c r="D49" s="5" t="s">
        <v>96</v>
      </c>
      <c r="E49" s="3" t="s">
        <v>6201</v>
      </c>
      <c r="F49" s="6">
        <v>41.8</v>
      </c>
      <c r="G49" s="6">
        <v>30.8</v>
      </c>
      <c r="H49" s="6">
        <v>16.7</v>
      </c>
      <c r="I49" s="7">
        <v>32</v>
      </c>
      <c r="J49" s="3" t="s">
        <v>4317</v>
      </c>
      <c r="K49" s="8">
        <v>0.72</v>
      </c>
      <c r="L49" s="9" t="s">
        <v>146</v>
      </c>
      <c r="M49" s="24" t="s">
        <v>6205</v>
      </c>
      <c r="BA49" s="16"/>
    </row>
    <row r="50" spans="1:53" x14ac:dyDescent="0.3">
      <c r="A50" s="3">
        <v>1013023</v>
      </c>
      <c r="B50" s="4" t="s">
        <v>81</v>
      </c>
      <c r="C50" s="5" t="s">
        <v>6202</v>
      </c>
      <c r="D50" s="5" t="s">
        <v>96</v>
      </c>
      <c r="E50" s="3" t="s">
        <v>6202</v>
      </c>
      <c r="F50" s="6">
        <v>57.4</v>
      </c>
      <c r="G50" s="6">
        <v>54.8</v>
      </c>
      <c r="H50" s="6">
        <v>23.7</v>
      </c>
      <c r="I50" s="7">
        <v>32</v>
      </c>
      <c r="J50" s="3" t="s">
        <v>4317</v>
      </c>
      <c r="K50" s="8">
        <v>1.97</v>
      </c>
      <c r="L50" s="9" t="s">
        <v>147</v>
      </c>
      <c r="M50" s="24" t="s">
        <v>6206</v>
      </c>
      <c r="BA50" s="16"/>
    </row>
    <row r="51" spans="1:53" x14ac:dyDescent="0.3">
      <c r="A51" s="3">
        <v>1011024</v>
      </c>
      <c r="B51" s="4" t="s">
        <v>81</v>
      </c>
      <c r="C51" s="5" t="s">
        <v>6204</v>
      </c>
      <c r="D51" s="5" t="s">
        <v>96</v>
      </c>
      <c r="E51" s="3" t="s">
        <v>6204</v>
      </c>
      <c r="F51" s="6">
        <v>119.5</v>
      </c>
      <c r="G51" s="6">
        <v>20</v>
      </c>
      <c r="H51" s="6">
        <v>86.5</v>
      </c>
      <c r="I51" s="7">
        <v>32</v>
      </c>
      <c r="J51" s="3" t="s">
        <v>4317</v>
      </c>
      <c r="K51" s="8">
        <v>3.1</v>
      </c>
      <c r="L51" s="9" t="s">
        <v>148</v>
      </c>
      <c r="M51" s="24" t="s">
        <v>6207</v>
      </c>
      <c r="BA51" s="16"/>
    </row>
    <row r="52" spans="1:53" x14ac:dyDescent="0.3">
      <c r="A52" s="3">
        <v>101426</v>
      </c>
      <c r="B52" s="4" t="s">
        <v>81</v>
      </c>
      <c r="C52" s="5" t="s">
        <v>143</v>
      </c>
      <c r="D52" s="5" t="s">
        <v>26</v>
      </c>
      <c r="E52" s="3" t="s">
        <v>14</v>
      </c>
      <c r="F52" s="6">
        <v>162.5</v>
      </c>
      <c r="G52" s="6">
        <v>72.5</v>
      </c>
      <c r="H52" s="6">
        <v>10</v>
      </c>
      <c r="I52" s="7" t="s">
        <v>4316</v>
      </c>
      <c r="J52" s="3" t="s">
        <v>4318</v>
      </c>
      <c r="K52" s="8" t="s">
        <v>4365</v>
      </c>
      <c r="L52" s="9" t="s">
        <v>149</v>
      </c>
      <c r="M52" s="1" t="s">
        <v>150</v>
      </c>
      <c r="BA52" s="16"/>
    </row>
    <row r="53" spans="1:53" x14ac:dyDescent="0.3">
      <c r="A53" s="3">
        <v>1019027</v>
      </c>
      <c r="B53" s="4" t="s">
        <v>81</v>
      </c>
      <c r="C53" s="5" t="s">
        <v>143</v>
      </c>
      <c r="D53" s="5" t="s">
        <v>74</v>
      </c>
      <c r="E53" s="3" t="s">
        <v>14</v>
      </c>
      <c r="F53" s="6">
        <v>67</v>
      </c>
      <c r="G53" s="6">
        <v>30</v>
      </c>
      <c r="H53" s="6">
        <v>0</v>
      </c>
      <c r="I53" s="7" t="s">
        <v>4316</v>
      </c>
      <c r="J53" s="3" t="s">
        <v>4318</v>
      </c>
      <c r="K53" s="8" t="s">
        <v>4366</v>
      </c>
      <c r="L53" s="9" t="s">
        <v>151</v>
      </c>
      <c r="M53" s="1" t="s">
        <v>152</v>
      </c>
      <c r="BA53" s="16"/>
    </row>
    <row r="54" spans="1:53" x14ac:dyDescent="0.3">
      <c r="A54" s="3">
        <v>1011029</v>
      </c>
      <c r="B54" s="4" t="s">
        <v>81</v>
      </c>
      <c r="C54" s="5" t="s">
        <v>153</v>
      </c>
      <c r="D54" s="5" t="s">
        <v>154</v>
      </c>
      <c r="E54" s="3" t="s">
        <v>153</v>
      </c>
      <c r="F54" s="6">
        <v>60.9</v>
      </c>
      <c r="G54" s="6">
        <v>55.9</v>
      </c>
      <c r="H54" s="6">
        <v>28.4</v>
      </c>
      <c r="I54" s="7" t="s">
        <v>4315</v>
      </c>
      <c r="J54" s="3" t="s">
        <v>4317</v>
      </c>
      <c r="K54" s="8" t="s">
        <v>4367</v>
      </c>
      <c r="L54" s="9" t="s">
        <v>155</v>
      </c>
      <c r="M54" s="1" t="s">
        <v>156</v>
      </c>
      <c r="BA54" s="16"/>
    </row>
    <row r="55" spans="1:53" x14ac:dyDescent="0.3">
      <c r="A55" s="3">
        <v>1011030</v>
      </c>
      <c r="B55" s="4" t="s">
        <v>81</v>
      </c>
      <c r="C55" s="5" t="s">
        <v>157</v>
      </c>
      <c r="D55" s="5" t="s">
        <v>154</v>
      </c>
      <c r="E55" s="3" t="s">
        <v>153</v>
      </c>
      <c r="F55" s="6">
        <v>60.9</v>
      </c>
      <c r="G55" s="6">
        <v>55.9</v>
      </c>
      <c r="H55" s="6">
        <v>18.2</v>
      </c>
      <c r="I55" s="7" t="s">
        <v>4315</v>
      </c>
      <c r="J55" s="3" t="s">
        <v>4317</v>
      </c>
      <c r="K55" s="8" t="s">
        <v>4368</v>
      </c>
      <c r="L55" s="9" t="s">
        <v>158</v>
      </c>
      <c r="M55" s="1" t="s">
        <v>159</v>
      </c>
      <c r="BA55" s="16"/>
    </row>
    <row r="56" spans="1:53" x14ac:dyDescent="0.3">
      <c r="A56" s="3">
        <v>1014031</v>
      </c>
      <c r="B56" s="4" t="s">
        <v>81</v>
      </c>
      <c r="C56" s="5" t="s">
        <v>160</v>
      </c>
      <c r="D56" s="5" t="s">
        <v>161</v>
      </c>
      <c r="E56" s="3" t="s">
        <v>162</v>
      </c>
      <c r="F56" s="6">
        <v>62.8</v>
      </c>
      <c r="G56" s="6">
        <v>57.9</v>
      </c>
      <c r="H56" s="6">
        <v>8.4</v>
      </c>
      <c r="I56" s="7" t="s">
        <v>4315</v>
      </c>
      <c r="J56" s="3" t="s">
        <v>4317</v>
      </c>
      <c r="K56" s="8" t="s">
        <v>4358</v>
      </c>
      <c r="L56" s="9" t="s">
        <v>163</v>
      </c>
      <c r="M56" s="1" t="s">
        <v>164</v>
      </c>
      <c r="BA56" s="16"/>
    </row>
    <row r="57" spans="1:53" x14ac:dyDescent="0.3">
      <c r="A57" s="3">
        <v>1014032</v>
      </c>
      <c r="B57" s="4" t="s">
        <v>81</v>
      </c>
      <c r="C57" s="5" t="s">
        <v>6087</v>
      </c>
      <c r="D57" s="5" t="s">
        <v>96</v>
      </c>
      <c r="E57" s="3" t="s">
        <v>14</v>
      </c>
      <c r="F57" s="6">
        <v>100.5</v>
      </c>
      <c r="G57" s="6">
        <v>60</v>
      </c>
      <c r="H57" s="6">
        <v>28</v>
      </c>
      <c r="I57" s="7">
        <v>42</v>
      </c>
      <c r="J57" s="3" t="s">
        <v>4318</v>
      </c>
      <c r="K57" s="8">
        <v>2.9</v>
      </c>
      <c r="L57" s="9" t="s">
        <v>7022</v>
      </c>
      <c r="M57" s="1" t="s">
        <v>6088</v>
      </c>
      <c r="BA57" s="16"/>
    </row>
    <row r="58" spans="1:53" x14ac:dyDescent="0.3">
      <c r="A58" s="3">
        <v>1014033</v>
      </c>
      <c r="B58" s="4" t="s">
        <v>81</v>
      </c>
      <c r="C58" s="5" t="s">
        <v>7020</v>
      </c>
      <c r="D58" s="5" t="s">
        <v>161</v>
      </c>
      <c r="E58" s="3" t="s">
        <v>7021</v>
      </c>
      <c r="F58" s="6">
        <v>143</v>
      </c>
      <c r="G58" s="6">
        <v>138</v>
      </c>
      <c r="H58" s="6">
        <v>24</v>
      </c>
      <c r="I58" s="7">
        <v>48</v>
      </c>
      <c r="J58" s="3" t="s">
        <v>4318</v>
      </c>
      <c r="K58" s="8">
        <v>3.63</v>
      </c>
      <c r="L58" s="9" t="s">
        <v>7023</v>
      </c>
      <c r="M58" s="1" t="s">
        <v>7029</v>
      </c>
      <c r="BA58" s="16"/>
    </row>
    <row r="59" spans="1:53" x14ac:dyDescent="0.3">
      <c r="A59" s="3">
        <v>1014034</v>
      </c>
      <c r="B59" s="4" t="s">
        <v>81</v>
      </c>
      <c r="C59" s="5" t="s">
        <v>7020</v>
      </c>
      <c r="D59" s="5" t="s">
        <v>13</v>
      </c>
      <c r="E59" s="3" t="s">
        <v>7021</v>
      </c>
      <c r="F59" s="6">
        <v>145</v>
      </c>
      <c r="G59" s="6">
        <v>140</v>
      </c>
      <c r="H59" s="6">
        <v>24</v>
      </c>
      <c r="I59" s="7">
        <v>48</v>
      </c>
      <c r="J59" s="3" t="s">
        <v>4318</v>
      </c>
      <c r="K59" s="8">
        <v>3.55</v>
      </c>
      <c r="L59" s="9" t="s">
        <v>7024</v>
      </c>
      <c r="M59" s="1" t="s">
        <v>7030</v>
      </c>
      <c r="BA59" s="16"/>
    </row>
    <row r="60" spans="1:53" x14ac:dyDescent="0.3">
      <c r="A60" s="3">
        <v>1014035</v>
      </c>
      <c r="B60" s="4" t="s">
        <v>81</v>
      </c>
      <c r="C60" s="5" t="s">
        <v>7027</v>
      </c>
      <c r="D60" s="5" t="s">
        <v>161</v>
      </c>
      <c r="E60" s="3" t="s">
        <v>7028</v>
      </c>
      <c r="F60" s="6">
        <v>179</v>
      </c>
      <c r="G60" s="6">
        <v>138</v>
      </c>
      <c r="H60" s="6">
        <v>24.5</v>
      </c>
      <c r="I60" s="7">
        <v>48</v>
      </c>
      <c r="J60" s="3" t="s">
        <v>4318</v>
      </c>
      <c r="K60" s="8">
        <v>4.26</v>
      </c>
      <c r="L60" s="9" t="s">
        <v>7025</v>
      </c>
      <c r="M60" s="1" t="s">
        <v>7031</v>
      </c>
      <c r="BA60" s="16"/>
    </row>
    <row r="61" spans="1:53" x14ac:dyDescent="0.3">
      <c r="A61" s="3">
        <v>1014036</v>
      </c>
      <c r="B61" s="4" t="s">
        <v>81</v>
      </c>
      <c r="C61" s="5" t="s">
        <v>7027</v>
      </c>
      <c r="D61" s="5" t="s">
        <v>13</v>
      </c>
      <c r="E61" s="3" t="s">
        <v>7028</v>
      </c>
      <c r="F61" s="6">
        <v>182</v>
      </c>
      <c r="G61" s="6">
        <v>141</v>
      </c>
      <c r="H61" s="6">
        <v>24.5</v>
      </c>
      <c r="I61" s="7">
        <v>48</v>
      </c>
      <c r="J61" s="3" t="s">
        <v>4318</v>
      </c>
      <c r="K61" s="8">
        <v>4.3899999999999997</v>
      </c>
      <c r="L61" s="9" t="s">
        <v>7026</v>
      </c>
      <c r="M61" s="1" t="s">
        <v>7032</v>
      </c>
      <c r="BA61" s="16"/>
    </row>
    <row r="62" spans="1:53" x14ac:dyDescent="0.3">
      <c r="A62" s="3">
        <v>10917001</v>
      </c>
      <c r="B62" s="4" t="s">
        <v>165</v>
      </c>
      <c r="C62" s="5" t="s">
        <v>166</v>
      </c>
      <c r="D62" s="5" t="s">
        <v>167</v>
      </c>
      <c r="E62" s="3" t="s">
        <v>166</v>
      </c>
      <c r="F62" s="6">
        <v>121.9</v>
      </c>
      <c r="G62" s="6">
        <v>114.3</v>
      </c>
      <c r="H62" s="6">
        <v>114.3</v>
      </c>
      <c r="I62" s="6" t="s">
        <v>4345</v>
      </c>
      <c r="J62" s="3" t="s">
        <v>4347</v>
      </c>
      <c r="K62" s="8" t="s">
        <v>4369</v>
      </c>
      <c r="L62" s="9" t="s">
        <v>168</v>
      </c>
      <c r="M62" s="1" t="s">
        <v>169</v>
      </c>
      <c r="BA62" s="16"/>
    </row>
    <row r="63" spans="1:53" x14ac:dyDescent="0.3">
      <c r="A63" s="3">
        <v>101914002</v>
      </c>
      <c r="B63" s="4" t="s">
        <v>165</v>
      </c>
      <c r="C63" s="5" t="s">
        <v>170</v>
      </c>
      <c r="D63" s="5" t="s">
        <v>26</v>
      </c>
      <c r="E63" s="3" t="s">
        <v>166</v>
      </c>
      <c r="F63" s="6">
        <v>124.4</v>
      </c>
      <c r="G63" s="6">
        <v>116</v>
      </c>
      <c r="H63" s="6">
        <v>12.5</v>
      </c>
      <c r="I63" s="6" t="s">
        <v>4316</v>
      </c>
      <c r="J63" s="3" t="s">
        <v>4318</v>
      </c>
      <c r="K63" s="8" t="s">
        <v>4371</v>
      </c>
      <c r="L63" s="9" t="s">
        <v>171</v>
      </c>
      <c r="M63" s="1" t="s">
        <v>172</v>
      </c>
      <c r="BA63" s="16"/>
    </row>
    <row r="64" spans="1:53" x14ac:dyDescent="0.3">
      <c r="A64" s="3">
        <v>10919003</v>
      </c>
      <c r="B64" s="4" t="s">
        <v>165</v>
      </c>
      <c r="C64" s="5" t="s">
        <v>170</v>
      </c>
      <c r="D64" s="5" t="s">
        <v>74</v>
      </c>
      <c r="E64" s="3" t="s">
        <v>166</v>
      </c>
      <c r="F64" s="6">
        <v>119</v>
      </c>
      <c r="G64" s="6">
        <v>109</v>
      </c>
      <c r="H64" s="6">
        <v>0</v>
      </c>
      <c r="I64" s="6" t="s">
        <v>4345</v>
      </c>
      <c r="J64" s="3" t="s">
        <v>4347</v>
      </c>
      <c r="K64" s="8" t="s">
        <v>4370</v>
      </c>
      <c r="L64" s="9" t="s">
        <v>173</v>
      </c>
      <c r="M64" s="24" t="s">
        <v>174</v>
      </c>
      <c r="BA64" s="16"/>
    </row>
    <row r="65" spans="1:53" x14ac:dyDescent="0.3">
      <c r="A65" s="3">
        <v>11917001</v>
      </c>
      <c r="B65" s="4" t="s">
        <v>175</v>
      </c>
      <c r="C65" s="5" t="s">
        <v>176</v>
      </c>
      <c r="D65" s="5" t="s">
        <v>167</v>
      </c>
      <c r="E65" s="3" t="s">
        <v>176</v>
      </c>
      <c r="F65" s="6">
        <v>122.5</v>
      </c>
      <c r="G65" s="6">
        <v>114</v>
      </c>
      <c r="H65" s="6">
        <v>74.5</v>
      </c>
      <c r="I65" s="7" t="s">
        <v>4345</v>
      </c>
      <c r="J65" s="3" t="s">
        <v>4347</v>
      </c>
      <c r="K65" s="8" t="s">
        <v>4372</v>
      </c>
      <c r="L65" s="9" t="s">
        <v>177</v>
      </c>
      <c r="M65" s="1" t="s">
        <v>178</v>
      </c>
      <c r="BA65" s="16"/>
    </row>
    <row r="66" spans="1:53" x14ac:dyDescent="0.3">
      <c r="A66" s="3">
        <v>1117001</v>
      </c>
      <c r="B66" s="4" t="s">
        <v>179</v>
      </c>
      <c r="C66" s="5">
        <v>9883</v>
      </c>
      <c r="D66" s="5" t="s">
        <v>180</v>
      </c>
      <c r="E66" s="3" t="s">
        <v>183</v>
      </c>
      <c r="F66" s="6">
        <v>108</v>
      </c>
      <c r="G66" s="6">
        <v>69</v>
      </c>
      <c r="H66" s="6">
        <v>58</v>
      </c>
      <c r="I66" s="7" t="s">
        <v>4345</v>
      </c>
      <c r="J66" s="3" t="s">
        <v>4347</v>
      </c>
      <c r="K66" s="8" t="s">
        <v>4386</v>
      </c>
      <c r="L66" s="9" t="s">
        <v>181</v>
      </c>
      <c r="M66" s="1" t="s">
        <v>182</v>
      </c>
      <c r="BA66" s="16"/>
    </row>
    <row r="67" spans="1:53" x14ac:dyDescent="0.3">
      <c r="A67" s="3">
        <v>1120002</v>
      </c>
      <c r="B67" s="4" t="s">
        <v>179</v>
      </c>
      <c r="C67" s="5">
        <v>9883</v>
      </c>
      <c r="D67" s="5" t="s">
        <v>90</v>
      </c>
      <c r="E67" s="3" t="s">
        <v>183</v>
      </c>
      <c r="F67" s="6">
        <v>106.4</v>
      </c>
      <c r="G67" s="6">
        <v>56</v>
      </c>
      <c r="H67" s="6">
        <v>0</v>
      </c>
      <c r="I67" s="7" t="s">
        <v>4315</v>
      </c>
      <c r="J67" s="3" t="s">
        <v>4317</v>
      </c>
      <c r="K67" s="8" t="s">
        <v>4387</v>
      </c>
      <c r="L67" s="9" t="s">
        <v>184</v>
      </c>
      <c r="M67" s="1" t="s">
        <v>185</v>
      </c>
      <c r="BA67" s="16"/>
    </row>
    <row r="68" spans="1:53" x14ac:dyDescent="0.3">
      <c r="A68" s="3">
        <v>1121003</v>
      </c>
      <c r="B68" s="4" t="s">
        <v>179</v>
      </c>
      <c r="C68" s="5">
        <v>9883</v>
      </c>
      <c r="D68" s="5" t="s">
        <v>90</v>
      </c>
      <c r="E68" s="3" t="s">
        <v>183</v>
      </c>
      <c r="F68" s="6">
        <v>67.5</v>
      </c>
      <c r="G68" s="6">
        <v>56</v>
      </c>
      <c r="H68" s="6">
        <v>0</v>
      </c>
      <c r="I68" s="7" t="s">
        <v>4315</v>
      </c>
      <c r="J68" s="3" t="s">
        <v>4317</v>
      </c>
      <c r="K68" s="8" t="s">
        <v>4388</v>
      </c>
      <c r="L68" s="9" t="s">
        <v>186</v>
      </c>
      <c r="M68" s="1" t="s">
        <v>4314</v>
      </c>
      <c r="BA68" s="16"/>
    </row>
    <row r="69" spans="1:53" x14ac:dyDescent="0.3">
      <c r="A69" s="3">
        <v>1119004</v>
      </c>
      <c r="B69" s="4" t="s">
        <v>179</v>
      </c>
      <c r="C69" s="5">
        <v>9883</v>
      </c>
      <c r="D69" s="5" t="s">
        <v>74</v>
      </c>
      <c r="E69" s="3" t="s">
        <v>183</v>
      </c>
      <c r="F69" s="6">
        <v>106</v>
      </c>
      <c r="G69" s="6">
        <v>67</v>
      </c>
      <c r="H69" s="6">
        <v>0</v>
      </c>
      <c r="I69" s="7" t="s">
        <v>4316</v>
      </c>
      <c r="J69" s="3" t="s">
        <v>4318</v>
      </c>
      <c r="K69" s="8" t="s">
        <v>4389</v>
      </c>
      <c r="L69" s="9" t="s">
        <v>187</v>
      </c>
      <c r="M69" s="1" t="s">
        <v>188</v>
      </c>
      <c r="BA69" s="16"/>
    </row>
    <row r="70" spans="1:53" x14ac:dyDescent="0.3">
      <c r="A70" s="3">
        <v>1114005</v>
      </c>
      <c r="B70" s="4" t="s">
        <v>179</v>
      </c>
      <c r="C70" s="5">
        <v>9883</v>
      </c>
      <c r="D70" s="5" t="s">
        <v>13</v>
      </c>
      <c r="E70" s="3" t="s">
        <v>183</v>
      </c>
      <c r="F70" s="6">
        <v>109.7</v>
      </c>
      <c r="G70" s="6">
        <v>70.7</v>
      </c>
      <c r="H70" s="6">
        <v>12</v>
      </c>
      <c r="I70" s="7" t="s">
        <v>4316</v>
      </c>
      <c r="J70" s="3" t="s">
        <v>4318</v>
      </c>
      <c r="K70" s="8" t="s">
        <v>4390</v>
      </c>
      <c r="L70" s="9" t="s">
        <v>189</v>
      </c>
      <c r="M70" s="1" t="s">
        <v>190</v>
      </c>
      <c r="BA70" s="16"/>
    </row>
    <row r="71" spans="1:53" x14ac:dyDescent="0.3">
      <c r="A71" s="3">
        <v>1110006</v>
      </c>
      <c r="B71" s="4" t="s">
        <v>179</v>
      </c>
      <c r="C71" s="5">
        <v>5241</v>
      </c>
      <c r="D71" s="5" t="s">
        <v>96</v>
      </c>
      <c r="E71" s="3" t="s">
        <v>183</v>
      </c>
      <c r="F71" s="6">
        <v>33</v>
      </c>
      <c r="G71" s="6">
        <v>25.5</v>
      </c>
      <c r="H71" s="6">
        <v>15.5</v>
      </c>
      <c r="I71" s="7" t="s">
        <v>4316</v>
      </c>
      <c r="J71" s="3" t="s">
        <v>4318</v>
      </c>
      <c r="K71" s="8" t="s">
        <v>4391</v>
      </c>
      <c r="L71" s="9" t="s">
        <v>191</v>
      </c>
      <c r="M71" s="1" t="s">
        <v>192</v>
      </c>
      <c r="BA71" s="16"/>
    </row>
    <row r="72" spans="1:53" x14ac:dyDescent="0.3">
      <c r="A72" s="3">
        <v>1120007</v>
      </c>
      <c r="B72" s="4" t="s">
        <v>179</v>
      </c>
      <c r="C72" s="5">
        <v>4978</v>
      </c>
      <c r="D72" s="5" t="s">
        <v>90</v>
      </c>
      <c r="E72" s="3" t="s">
        <v>183</v>
      </c>
      <c r="F72" s="6">
        <v>120</v>
      </c>
      <c r="G72" s="6">
        <v>65</v>
      </c>
      <c r="H72" s="6">
        <v>0</v>
      </c>
      <c r="I72" s="7" t="s">
        <v>4316</v>
      </c>
      <c r="J72" s="3" t="s">
        <v>4318</v>
      </c>
      <c r="K72" s="8" t="s">
        <v>4392</v>
      </c>
      <c r="L72" s="9" t="s">
        <v>193</v>
      </c>
      <c r="M72" s="1" t="s">
        <v>194</v>
      </c>
      <c r="BA72" s="16"/>
    </row>
    <row r="73" spans="1:53" x14ac:dyDescent="0.3">
      <c r="A73" s="3">
        <v>1121008</v>
      </c>
      <c r="B73" s="4" t="s">
        <v>179</v>
      </c>
      <c r="C73" s="5">
        <v>4978</v>
      </c>
      <c r="D73" s="5" t="s">
        <v>90</v>
      </c>
      <c r="E73" s="3" t="s">
        <v>183</v>
      </c>
      <c r="F73" s="6">
        <v>112</v>
      </c>
      <c r="G73" s="6">
        <v>65</v>
      </c>
      <c r="H73" s="6">
        <v>0</v>
      </c>
      <c r="I73" s="7" t="s">
        <v>4316</v>
      </c>
      <c r="J73" s="3" t="s">
        <v>4318</v>
      </c>
      <c r="K73" s="8" t="s">
        <v>4393</v>
      </c>
      <c r="L73" s="9" t="s">
        <v>195</v>
      </c>
      <c r="M73" s="1" t="s">
        <v>196</v>
      </c>
      <c r="BA73" s="16"/>
    </row>
    <row r="74" spans="1:53" x14ac:dyDescent="0.3">
      <c r="A74" s="3">
        <v>1117009</v>
      </c>
      <c r="B74" s="4" t="s">
        <v>179</v>
      </c>
      <c r="C74" s="5">
        <v>4978</v>
      </c>
      <c r="D74" s="5" t="s">
        <v>86</v>
      </c>
      <c r="E74" s="3" t="s">
        <v>6721</v>
      </c>
      <c r="F74" s="6">
        <v>122</v>
      </c>
      <c r="G74" s="6">
        <v>114</v>
      </c>
      <c r="H74" s="6">
        <v>68</v>
      </c>
      <c r="I74" s="7" t="s">
        <v>6720</v>
      </c>
      <c r="J74" s="3" t="s">
        <v>4318</v>
      </c>
      <c r="K74" s="8" t="s">
        <v>4394</v>
      </c>
      <c r="L74" s="9" t="s">
        <v>197</v>
      </c>
      <c r="M74" s="1" t="s">
        <v>198</v>
      </c>
      <c r="BA74" s="16"/>
    </row>
    <row r="75" spans="1:53" x14ac:dyDescent="0.3">
      <c r="A75" s="3">
        <v>1114010</v>
      </c>
      <c r="B75" s="4" t="s">
        <v>179</v>
      </c>
      <c r="C75" s="5">
        <v>4978</v>
      </c>
      <c r="D75" s="5" t="s">
        <v>13</v>
      </c>
      <c r="E75" s="3" t="s">
        <v>183</v>
      </c>
      <c r="F75" s="6">
        <v>124.7</v>
      </c>
      <c r="G75" s="6">
        <v>116.7</v>
      </c>
      <c r="H75" s="6">
        <v>12</v>
      </c>
      <c r="I75" s="7" t="s">
        <v>4316</v>
      </c>
      <c r="J75" s="3" t="s">
        <v>4318</v>
      </c>
      <c r="K75" s="8" t="s">
        <v>4395</v>
      </c>
      <c r="L75" s="9" t="s">
        <v>199</v>
      </c>
      <c r="M75" s="1" t="s">
        <v>7996</v>
      </c>
      <c r="BA75" s="16"/>
    </row>
    <row r="76" spans="1:53" x14ac:dyDescent="0.3">
      <c r="A76" s="3">
        <v>1119011</v>
      </c>
      <c r="B76" s="4" t="s">
        <v>179</v>
      </c>
      <c r="C76" s="5">
        <v>4978</v>
      </c>
      <c r="D76" s="5" t="s">
        <v>74</v>
      </c>
      <c r="E76" s="3" t="s">
        <v>183</v>
      </c>
      <c r="F76" s="6">
        <v>120</v>
      </c>
      <c r="G76" s="6">
        <v>112</v>
      </c>
      <c r="H76" s="6">
        <v>0</v>
      </c>
      <c r="I76" s="7" t="s">
        <v>4345</v>
      </c>
      <c r="J76" s="3" t="s">
        <v>4347</v>
      </c>
      <c r="K76" s="8" t="s">
        <v>4341</v>
      </c>
      <c r="L76" s="9" t="s">
        <v>200</v>
      </c>
      <c r="M76" s="1" t="s">
        <v>201</v>
      </c>
      <c r="BA76" s="16"/>
    </row>
    <row r="77" spans="1:53" x14ac:dyDescent="0.3">
      <c r="A77" s="3">
        <v>1120012</v>
      </c>
      <c r="B77" s="4" t="s">
        <v>179</v>
      </c>
      <c r="C77" s="5" t="s">
        <v>202</v>
      </c>
      <c r="D77" s="5" t="s">
        <v>90</v>
      </c>
      <c r="E77" s="3" t="s">
        <v>203</v>
      </c>
      <c r="F77" s="6">
        <v>113</v>
      </c>
      <c r="G77" s="6">
        <v>57</v>
      </c>
      <c r="H77" s="6">
        <v>0</v>
      </c>
      <c r="I77" s="7" t="s">
        <v>4344</v>
      </c>
      <c r="J77" s="3" t="s">
        <v>4377</v>
      </c>
      <c r="K77" s="8" t="s">
        <v>4396</v>
      </c>
      <c r="L77" s="9" t="s">
        <v>204</v>
      </c>
      <c r="M77" s="1" t="s">
        <v>205</v>
      </c>
    </row>
    <row r="78" spans="1:53" x14ac:dyDescent="0.3">
      <c r="A78" s="3">
        <v>1121013</v>
      </c>
      <c r="B78" s="4" t="s">
        <v>179</v>
      </c>
      <c r="C78" s="5" t="s">
        <v>202</v>
      </c>
      <c r="D78" s="5" t="s">
        <v>90</v>
      </c>
      <c r="E78" s="3" t="s">
        <v>203</v>
      </c>
      <c r="F78" s="6">
        <v>118</v>
      </c>
      <c r="G78" s="6">
        <v>57</v>
      </c>
      <c r="H78" s="6">
        <v>0</v>
      </c>
      <c r="I78" s="7" t="s">
        <v>4344</v>
      </c>
      <c r="J78" s="3" t="s">
        <v>4377</v>
      </c>
      <c r="K78" s="8" t="s">
        <v>4397</v>
      </c>
      <c r="L78" s="9" t="s">
        <v>206</v>
      </c>
      <c r="M78" s="1" t="s">
        <v>207</v>
      </c>
    </row>
    <row r="79" spans="1:53" x14ac:dyDescent="0.3">
      <c r="A79" s="3">
        <v>1110014</v>
      </c>
      <c r="B79" s="4" t="s">
        <v>179</v>
      </c>
      <c r="C79" s="5" t="s">
        <v>208</v>
      </c>
      <c r="D79" s="5" t="s">
        <v>96</v>
      </c>
      <c r="E79" s="3" t="s">
        <v>14</v>
      </c>
      <c r="F79" s="6">
        <v>61.3</v>
      </c>
      <c r="G79" s="6">
        <v>52.8</v>
      </c>
      <c r="H79" s="6">
        <v>21</v>
      </c>
      <c r="I79" s="7" t="s">
        <v>4316</v>
      </c>
      <c r="J79" s="3" t="s">
        <v>4318</v>
      </c>
      <c r="K79" s="8" t="s">
        <v>4398</v>
      </c>
      <c r="L79" s="9" t="s">
        <v>209</v>
      </c>
      <c r="M79" s="1" t="s">
        <v>210</v>
      </c>
    </row>
    <row r="80" spans="1:53" x14ac:dyDescent="0.3">
      <c r="A80" s="3">
        <v>1110015</v>
      </c>
      <c r="B80" s="4" t="s">
        <v>179</v>
      </c>
      <c r="C80" s="5" t="s">
        <v>211</v>
      </c>
      <c r="D80" s="5" t="s">
        <v>96</v>
      </c>
      <c r="E80" s="3" t="s">
        <v>14</v>
      </c>
      <c r="F80" s="6">
        <v>70.8</v>
      </c>
      <c r="G80" s="6">
        <v>51.3</v>
      </c>
      <c r="H80" s="6">
        <v>17.5</v>
      </c>
      <c r="I80" s="7" t="s">
        <v>4316</v>
      </c>
      <c r="J80" s="3" t="s">
        <v>4318</v>
      </c>
      <c r="K80" s="8" t="s">
        <v>4398</v>
      </c>
      <c r="L80" s="9" t="s">
        <v>212</v>
      </c>
      <c r="M80" s="1" t="s">
        <v>213</v>
      </c>
    </row>
    <row r="81" spans="1:13" x14ac:dyDescent="0.3">
      <c r="A81" s="3">
        <v>1116016</v>
      </c>
      <c r="B81" s="4" t="s">
        <v>179</v>
      </c>
      <c r="C81" s="5" t="s">
        <v>4376</v>
      </c>
      <c r="D81" s="5" t="s">
        <v>105</v>
      </c>
      <c r="E81" s="3" t="s">
        <v>4375</v>
      </c>
      <c r="F81" s="6">
        <v>122</v>
      </c>
      <c r="G81" s="6">
        <v>114</v>
      </c>
      <c r="H81" s="6">
        <v>67</v>
      </c>
      <c r="I81" s="7" t="s">
        <v>4316</v>
      </c>
      <c r="J81" s="3" t="s">
        <v>4318</v>
      </c>
      <c r="K81" s="8" t="s">
        <v>4399</v>
      </c>
      <c r="L81" s="9" t="s">
        <v>214</v>
      </c>
      <c r="M81" s="1" t="s">
        <v>215</v>
      </c>
    </row>
    <row r="82" spans="1:13" x14ac:dyDescent="0.3">
      <c r="A82" s="3">
        <v>1117017</v>
      </c>
      <c r="B82" s="4" t="s">
        <v>179</v>
      </c>
      <c r="C82" s="5">
        <v>4057</v>
      </c>
      <c r="D82" s="5" t="s">
        <v>86</v>
      </c>
      <c r="E82" s="3" t="s">
        <v>183</v>
      </c>
      <c r="F82" s="6">
        <v>108</v>
      </c>
      <c r="G82" s="6">
        <v>69</v>
      </c>
      <c r="H82" s="6">
        <v>52</v>
      </c>
      <c r="I82" s="7" t="s">
        <v>4345</v>
      </c>
      <c r="J82" s="3" t="s">
        <v>4347</v>
      </c>
      <c r="K82" s="8" t="s">
        <v>4400</v>
      </c>
      <c r="L82" s="9" t="s">
        <v>216</v>
      </c>
      <c r="M82" s="1" t="s">
        <v>217</v>
      </c>
    </row>
    <row r="83" spans="1:13" x14ac:dyDescent="0.3">
      <c r="A83" s="3">
        <v>1114018</v>
      </c>
      <c r="B83" s="4" t="s">
        <v>179</v>
      </c>
      <c r="C83" s="5">
        <v>4057</v>
      </c>
      <c r="D83" s="5" t="s">
        <v>13</v>
      </c>
      <c r="E83" s="3" t="s">
        <v>183</v>
      </c>
      <c r="F83" s="6">
        <v>109.7</v>
      </c>
      <c r="G83" s="6">
        <v>70.7</v>
      </c>
      <c r="H83" s="6">
        <v>12</v>
      </c>
      <c r="I83" s="7" t="s">
        <v>4316</v>
      </c>
      <c r="J83" s="3" t="s">
        <v>4318</v>
      </c>
      <c r="K83" s="8" t="s">
        <v>4390</v>
      </c>
      <c r="L83" s="9" t="s">
        <v>218</v>
      </c>
      <c r="M83" s="1" t="s">
        <v>219</v>
      </c>
    </row>
    <row r="84" spans="1:13" x14ac:dyDescent="0.3">
      <c r="A84" s="3">
        <v>1117019</v>
      </c>
      <c r="B84" s="4" t="s">
        <v>179</v>
      </c>
      <c r="C84" s="5">
        <v>8446</v>
      </c>
      <c r="D84" s="5" t="s">
        <v>86</v>
      </c>
      <c r="E84" s="3" t="s">
        <v>183</v>
      </c>
      <c r="F84" s="6">
        <v>108</v>
      </c>
      <c r="G84" s="6">
        <v>69</v>
      </c>
      <c r="H84" s="6">
        <v>52</v>
      </c>
      <c r="I84" s="7" t="s">
        <v>4345</v>
      </c>
      <c r="J84" s="3" t="s">
        <v>4347</v>
      </c>
      <c r="K84" s="8" t="s">
        <v>4400</v>
      </c>
      <c r="L84" s="9" t="s">
        <v>220</v>
      </c>
      <c r="M84" s="1" t="s">
        <v>221</v>
      </c>
    </row>
    <row r="85" spans="1:13" x14ac:dyDescent="0.3">
      <c r="A85" s="3">
        <v>1114020</v>
      </c>
      <c r="B85" s="4" t="s">
        <v>179</v>
      </c>
      <c r="C85" s="5">
        <v>9446</v>
      </c>
      <c r="D85" s="5" t="s">
        <v>13</v>
      </c>
      <c r="E85" s="3" t="s">
        <v>183</v>
      </c>
      <c r="F85" s="6">
        <v>109.7</v>
      </c>
      <c r="G85" s="6">
        <v>70.7</v>
      </c>
      <c r="H85" s="6">
        <v>12</v>
      </c>
      <c r="I85" s="7" t="s">
        <v>4316</v>
      </c>
      <c r="J85" s="3" t="s">
        <v>4318</v>
      </c>
      <c r="K85" s="8" t="s">
        <v>4390</v>
      </c>
      <c r="L85" s="9" t="s">
        <v>222</v>
      </c>
      <c r="M85" s="1" t="s">
        <v>223</v>
      </c>
    </row>
    <row r="86" spans="1:13" x14ac:dyDescent="0.3">
      <c r="A86" s="3">
        <v>1120021</v>
      </c>
      <c r="B86" s="4" t="s">
        <v>179</v>
      </c>
      <c r="C86" s="5" t="s">
        <v>224</v>
      </c>
      <c r="D86" s="5" t="s">
        <v>90</v>
      </c>
      <c r="E86" s="3" t="s">
        <v>14</v>
      </c>
      <c r="F86" s="6">
        <v>111</v>
      </c>
      <c r="G86" s="6">
        <v>46</v>
      </c>
      <c r="H86" s="6">
        <v>0</v>
      </c>
      <c r="I86" s="7" t="s">
        <v>4316</v>
      </c>
      <c r="J86" s="3" t="s">
        <v>4318</v>
      </c>
      <c r="K86" s="8" t="s">
        <v>4401</v>
      </c>
      <c r="L86" s="9" t="s">
        <v>225</v>
      </c>
      <c r="M86" s="1" t="s">
        <v>226</v>
      </c>
    </row>
    <row r="87" spans="1:13" x14ac:dyDescent="0.3">
      <c r="A87" s="3">
        <v>1121022</v>
      </c>
      <c r="B87" s="4" t="s">
        <v>179</v>
      </c>
      <c r="C87" s="5" t="s">
        <v>224</v>
      </c>
      <c r="D87" s="5" t="s">
        <v>90</v>
      </c>
      <c r="E87" s="3" t="s">
        <v>14</v>
      </c>
      <c r="F87" s="6">
        <v>111</v>
      </c>
      <c r="G87" s="6">
        <v>58</v>
      </c>
      <c r="H87" s="6">
        <v>0</v>
      </c>
      <c r="I87" s="7" t="s">
        <v>4316</v>
      </c>
      <c r="J87" s="3" t="s">
        <v>4318</v>
      </c>
      <c r="K87" s="8" t="s">
        <v>4402</v>
      </c>
      <c r="L87" s="9" t="s">
        <v>227</v>
      </c>
      <c r="M87" s="1" t="s">
        <v>228</v>
      </c>
    </row>
    <row r="88" spans="1:13" x14ac:dyDescent="0.3">
      <c r="A88" s="3">
        <v>1122023</v>
      </c>
      <c r="B88" s="4" t="s">
        <v>179</v>
      </c>
      <c r="C88" s="5" t="s">
        <v>224</v>
      </c>
      <c r="D88" s="5" t="s">
        <v>131</v>
      </c>
      <c r="E88" s="3" t="s">
        <v>14</v>
      </c>
      <c r="F88" s="6">
        <v>111</v>
      </c>
      <c r="G88" s="6">
        <v>48</v>
      </c>
      <c r="H88" s="6">
        <v>0</v>
      </c>
      <c r="I88" s="7" t="s">
        <v>4316</v>
      </c>
      <c r="J88" s="3" t="s">
        <v>4318</v>
      </c>
      <c r="K88" s="8" t="s">
        <v>4403</v>
      </c>
      <c r="L88" s="9" t="s">
        <v>229</v>
      </c>
      <c r="M88" s="1" t="s">
        <v>230</v>
      </c>
    </row>
    <row r="89" spans="1:13" x14ac:dyDescent="0.3">
      <c r="A89" s="3">
        <v>1119024</v>
      </c>
      <c r="B89" s="4" t="s">
        <v>179</v>
      </c>
      <c r="C89" s="5" t="s">
        <v>4378</v>
      </c>
      <c r="D89" s="5" t="s">
        <v>74</v>
      </c>
      <c r="E89" s="3" t="s">
        <v>14</v>
      </c>
      <c r="F89" s="6">
        <v>111</v>
      </c>
      <c r="G89" s="6">
        <v>104</v>
      </c>
      <c r="H89" s="6">
        <v>0</v>
      </c>
      <c r="I89" s="7" t="s">
        <v>4373</v>
      </c>
      <c r="J89" s="3" t="s">
        <v>4377</v>
      </c>
      <c r="K89" s="8" t="s">
        <v>4404</v>
      </c>
      <c r="L89" s="9" t="s">
        <v>231</v>
      </c>
      <c r="M89" s="1" t="s">
        <v>232</v>
      </c>
    </row>
    <row r="90" spans="1:13" x14ac:dyDescent="0.3">
      <c r="A90" s="3">
        <v>1119025</v>
      </c>
      <c r="B90" s="4" t="s">
        <v>179</v>
      </c>
      <c r="C90" s="5" t="s">
        <v>4379</v>
      </c>
      <c r="D90" s="5" t="s">
        <v>74</v>
      </c>
      <c r="E90" s="3" t="s">
        <v>14</v>
      </c>
      <c r="F90" s="6">
        <v>111</v>
      </c>
      <c r="G90" s="6">
        <v>104</v>
      </c>
      <c r="H90" s="6">
        <v>0</v>
      </c>
      <c r="I90" s="7" t="s">
        <v>4315</v>
      </c>
      <c r="J90" s="3" t="s">
        <v>4317</v>
      </c>
      <c r="K90" s="8" t="s">
        <v>4405</v>
      </c>
      <c r="L90" s="9" t="s">
        <v>233</v>
      </c>
      <c r="M90" s="1" t="s">
        <v>234</v>
      </c>
    </row>
    <row r="91" spans="1:13" x14ac:dyDescent="0.3">
      <c r="A91" s="3">
        <v>1117026</v>
      </c>
      <c r="B91" s="4" t="s">
        <v>179</v>
      </c>
      <c r="C91" s="5" t="s">
        <v>4380</v>
      </c>
      <c r="D91" s="5" t="s">
        <v>235</v>
      </c>
      <c r="E91" s="3" t="s">
        <v>14</v>
      </c>
      <c r="F91" s="6">
        <v>160</v>
      </c>
      <c r="G91" s="6">
        <v>70</v>
      </c>
      <c r="H91" s="6">
        <v>58</v>
      </c>
      <c r="I91" s="7" t="s">
        <v>4373</v>
      </c>
      <c r="J91" s="3" t="s">
        <v>4377</v>
      </c>
      <c r="K91" s="8" t="s">
        <v>4406</v>
      </c>
      <c r="L91" s="9" t="s">
        <v>236</v>
      </c>
      <c r="M91" s="1" t="s">
        <v>237</v>
      </c>
    </row>
    <row r="92" spans="1:13" x14ac:dyDescent="0.3">
      <c r="A92" s="3">
        <v>1119027</v>
      </c>
      <c r="B92" s="4" t="s">
        <v>179</v>
      </c>
      <c r="C92" s="5" t="s">
        <v>4381</v>
      </c>
      <c r="D92" s="5" t="s">
        <v>74</v>
      </c>
      <c r="E92" s="3" t="s">
        <v>14</v>
      </c>
      <c r="F92" s="6">
        <v>111</v>
      </c>
      <c r="G92" s="6">
        <v>104</v>
      </c>
      <c r="H92" s="6">
        <v>0</v>
      </c>
      <c r="I92" s="7" t="s">
        <v>4344</v>
      </c>
      <c r="J92" s="3" t="s">
        <v>4377</v>
      </c>
      <c r="K92" s="8" t="s">
        <v>4404</v>
      </c>
      <c r="L92" s="9" t="s">
        <v>238</v>
      </c>
      <c r="M92" s="24" t="s">
        <v>239</v>
      </c>
    </row>
    <row r="93" spans="1:13" x14ac:dyDescent="0.3">
      <c r="A93" s="3">
        <v>1117028</v>
      </c>
      <c r="B93" s="4" t="s">
        <v>179</v>
      </c>
      <c r="C93" s="5" t="s">
        <v>4382</v>
      </c>
      <c r="D93" s="5" t="s">
        <v>235</v>
      </c>
      <c r="E93" s="3" t="s">
        <v>14</v>
      </c>
      <c r="F93" s="6">
        <v>121.9</v>
      </c>
      <c r="G93" s="6">
        <v>114.3</v>
      </c>
      <c r="H93" s="6">
        <v>68.599999999999994</v>
      </c>
      <c r="I93" s="7" t="s">
        <v>4343</v>
      </c>
      <c r="J93" s="3" t="s">
        <v>4346</v>
      </c>
      <c r="K93" s="8" t="s">
        <v>4407</v>
      </c>
      <c r="L93" s="9" t="s">
        <v>240</v>
      </c>
      <c r="M93" s="1" t="s">
        <v>241</v>
      </c>
    </row>
    <row r="94" spans="1:13" x14ac:dyDescent="0.3">
      <c r="A94" s="3">
        <v>1119029</v>
      </c>
      <c r="B94" s="4" t="s">
        <v>179</v>
      </c>
      <c r="C94" s="5" t="s">
        <v>4383</v>
      </c>
      <c r="D94" s="5" t="s">
        <v>74</v>
      </c>
      <c r="E94" s="3" t="s">
        <v>14</v>
      </c>
      <c r="F94" s="6">
        <v>111</v>
      </c>
      <c r="G94" s="6">
        <v>104</v>
      </c>
      <c r="H94" s="6">
        <v>0</v>
      </c>
      <c r="I94" s="7" t="s">
        <v>4374</v>
      </c>
      <c r="J94" s="3" t="s">
        <v>4377</v>
      </c>
      <c r="K94" s="8" t="s">
        <v>4404</v>
      </c>
      <c r="L94" s="9" t="s">
        <v>242</v>
      </c>
      <c r="M94" s="1" t="s">
        <v>243</v>
      </c>
    </row>
    <row r="95" spans="1:13" x14ac:dyDescent="0.3">
      <c r="A95" s="3">
        <v>1116030</v>
      </c>
      <c r="B95" s="4" t="s">
        <v>179</v>
      </c>
      <c r="C95" s="5" t="s">
        <v>4384</v>
      </c>
      <c r="D95" s="5" t="s">
        <v>105</v>
      </c>
      <c r="E95" s="3" t="s">
        <v>14</v>
      </c>
      <c r="F95" s="6">
        <v>121.9</v>
      </c>
      <c r="G95" s="6">
        <v>114.3</v>
      </c>
      <c r="H95" s="6">
        <v>68.599999999999994</v>
      </c>
      <c r="I95" s="7" t="s">
        <v>4345</v>
      </c>
      <c r="J95" s="3" t="s">
        <v>4347</v>
      </c>
      <c r="K95" s="8" t="s">
        <v>4407</v>
      </c>
      <c r="L95" s="9" t="s">
        <v>244</v>
      </c>
      <c r="M95" s="1" t="s">
        <v>245</v>
      </c>
    </row>
    <row r="96" spans="1:13" x14ac:dyDescent="0.3">
      <c r="A96" s="3">
        <v>1116031</v>
      </c>
      <c r="B96" s="4" t="s">
        <v>179</v>
      </c>
      <c r="C96" s="5" t="s">
        <v>4385</v>
      </c>
      <c r="D96" s="5" t="s">
        <v>105</v>
      </c>
      <c r="E96" s="3" t="s">
        <v>14</v>
      </c>
      <c r="F96" s="6">
        <v>121.9</v>
      </c>
      <c r="G96" s="6">
        <v>114.3</v>
      </c>
      <c r="H96" s="6">
        <v>88.9</v>
      </c>
      <c r="I96" s="7" t="s">
        <v>4345</v>
      </c>
      <c r="J96" s="3" t="s">
        <v>4347</v>
      </c>
      <c r="K96" s="8" t="s">
        <v>4354</v>
      </c>
      <c r="L96" s="9" t="s">
        <v>246</v>
      </c>
      <c r="M96" s="1" t="s">
        <v>247</v>
      </c>
    </row>
    <row r="97" spans="1:13" x14ac:dyDescent="0.3">
      <c r="A97" s="3">
        <v>1116032</v>
      </c>
      <c r="B97" s="4" t="s">
        <v>179</v>
      </c>
      <c r="C97" s="5" t="s">
        <v>14</v>
      </c>
      <c r="D97" s="5" t="s">
        <v>105</v>
      </c>
      <c r="E97" s="3" t="s">
        <v>14</v>
      </c>
      <c r="F97" s="6">
        <v>121.9</v>
      </c>
      <c r="G97" s="6">
        <v>114.3</v>
      </c>
      <c r="H97" s="6">
        <v>68.599999999999994</v>
      </c>
      <c r="I97" s="7" t="s">
        <v>4345</v>
      </c>
      <c r="J97" s="3" t="s">
        <v>4347</v>
      </c>
      <c r="K97" s="8" t="s">
        <v>4407</v>
      </c>
      <c r="L97" s="9" t="s">
        <v>248</v>
      </c>
      <c r="M97" s="1" t="s">
        <v>249</v>
      </c>
    </row>
    <row r="98" spans="1:13" x14ac:dyDescent="0.3">
      <c r="A98" s="3">
        <v>1116033</v>
      </c>
      <c r="B98" s="4" t="s">
        <v>179</v>
      </c>
      <c r="C98" s="5" t="s">
        <v>14</v>
      </c>
      <c r="D98" s="5" t="s">
        <v>105</v>
      </c>
      <c r="E98" s="3" t="s">
        <v>14</v>
      </c>
      <c r="F98" s="6">
        <v>121.9</v>
      </c>
      <c r="G98" s="6">
        <v>114.3</v>
      </c>
      <c r="H98" s="6">
        <v>68.599999999999994</v>
      </c>
      <c r="I98" s="7" t="s">
        <v>4345</v>
      </c>
      <c r="J98" s="3" t="s">
        <v>4347</v>
      </c>
      <c r="K98" s="8" t="s">
        <v>4407</v>
      </c>
      <c r="L98" s="9" t="s">
        <v>250</v>
      </c>
      <c r="M98" s="1" t="s">
        <v>251</v>
      </c>
    </row>
    <row r="99" spans="1:13" x14ac:dyDescent="0.3">
      <c r="A99" s="3">
        <v>1119034</v>
      </c>
      <c r="B99" s="4" t="s">
        <v>179</v>
      </c>
      <c r="C99" s="5" t="s">
        <v>14</v>
      </c>
      <c r="D99" s="5" t="s">
        <v>74</v>
      </c>
      <c r="E99" s="3" t="s">
        <v>14</v>
      </c>
      <c r="F99" s="6">
        <v>111</v>
      </c>
      <c r="G99" s="6">
        <v>104</v>
      </c>
      <c r="H99" s="6">
        <v>0</v>
      </c>
      <c r="I99" s="7" t="s">
        <v>4315</v>
      </c>
      <c r="J99" s="3" t="s">
        <v>4317</v>
      </c>
      <c r="K99" s="8" t="s">
        <v>4404</v>
      </c>
      <c r="L99" s="9" t="s">
        <v>252</v>
      </c>
      <c r="M99" s="1" t="s">
        <v>253</v>
      </c>
    </row>
    <row r="100" spans="1:13" x14ac:dyDescent="0.3">
      <c r="A100" s="3">
        <v>1114035</v>
      </c>
      <c r="B100" s="4" t="s">
        <v>179</v>
      </c>
      <c r="C100" s="5" t="s">
        <v>14</v>
      </c>
      <c r="D100" s="5" t="s">
        <v>13</v>
      </c>
      <c r="E100" s="3" t="s">
        <v>14</v>
      </c>
      <c r="F100" s="6">
        <v>121.9</v>
      </c>
      <c r="G100" s="6">
        <v>114.3</v>
      </c>
      <c r="H100" s="6">
        <v>10.4</v>
      </c>
      <c r="I100" s="7" t="s">
        <v>4315</v>
      </c>
      <c r="J100" s="3" t="s">
        <v>4317</v>
      </c>
      <c r="K100" s="8" t="s">
        <v>4396</v>
      </c>
      <c r="L100" s="9" t="s">
        <v>254</v>
      </c>
      <c r="M100" s="1" t="s">
        <v>255</v>
      </c>
    </row>
    <row r="101" spans="1:13" x14ac:dyDescent="0.3">
      <c r="A101" s="3">
        <v>1116036</v>
      </c>
      <c r="B101" s="4" t="s">
        <v>179</v>
      </c>
      <c r="C101" s="5" t="s">
        <v>14</v>
      </c>
      <c r="D101" s="5" t="s">
        <v>105</v>
      </c>
      <c r="E101" s="3" t="s">
        <v>14</v>
      </c>
      <c r="F101" s="6">
        <v>121.9</v>
      </c>
      <c r="G101" s="6">
        <v>114.3</v>
      </c>
      <c r="H101" s="6">
        <v>68.599999999999994</v>
      </c>
      <c r="I101" s="7" t="s">
        <v>4345</v>
      </c>
      <c r="J101" s="3" t="s">
        <v>4347</v>
      </c>
      <c r="K101" s="8" t="s">
        <v>4407</v>
      </c>
      <c r="L101" s="9" t="s">
        <v>256</v>
      </c>
      <c r="M101" s="1" t="s">
        <v>257</v>
      </c>
    </row>
    <row r="102" spans="1:13" x14ac:dyDescent="0.3">
      <c r="A102" s="3">
        <v>1119037</v>
      </c>
      <c r="B102" s="4" t="s">
        <v>179</v>
      </c>
      <c r="C102" s="5" t="s">
        <v>258</v>
      </c>
      <c r="D102" s="5" t="s">
        <v>74</v>
      </c>
      <c r="E102" s="3" t="s">
        <v>14</v>
      </c>
      <c r="F102" s="6">
        <v>110</v>
      </c>
      <c r="G102" s="6">
        <v>102</v>
      </c>
      <c r="H102" s="6">
        <v>0</v>
      </c>
      <c r="I102" s="7" t="s">
        <v>4316</v>
      </c>
      <c r="J102" s="3" t="s">
        <v>4318</v>
      </c>
      <c r="K102" s="8" t="s">
        <v>4408</v>
      </c>
      <c r="L102" s="9" t="s">
        <v>259</v>
      </c>
      <c r="M102" s="1" t="s">
        <v>260</v>
      </c>
    </row>
    <row r="103" spans="1:13" x14ac:dyDescent="0.3">
      <c r="A103" s="3">
        <v>1131038</v>
      </c>
      <c r="B103" s="4" t="s">
        <v>179</v>
      </c>
      <c r="C103" s="5" t="s">
        <v>258</v>
      </c>
      <c r="D103" s="5" t="s">
        <v>261</v>
      </c>
      <c r="E103" s="3" t="s">
        <v>14</v>
      </c>
      <c r="F103" s="6">
        <v>110</v>
      </c>
      <c r="G103" s="6">
        <v>12.7</v>
      </c>
      <c r="H103" s="6">
        <v>0</v>
      </c>
      <c r="I103" s="7" t="s">
        <v>4316</v>
      </c>
      <c r="J103" s="3" t="s">
        <v>4318</v>
      </c>
      <c r="K103" s="8" t="s">
        <v>4409</v>
      </c>
      <c r="L103" s="9" t="s">
        <v>262</v>
      </c>
      <c r="M103" s="1" t="s">
        <v>263</v>
      </c>
    </row>
    <row r="104" spans="1:13" x14ac:dyDescent="0.3">
      <c r="A104" s="3">
        <v>1120039</v>
      </c>
      <c r="B104" s="4" t="s">
        <v>179</v>
      </c>
      <c r="C104" s="5" t="s">
        <v>202</v>
      </c>
      <c r="D104" s="5" t="s">
        <v>264</v>
      </c>
      <c r="E104" s="3" t="s">
        <v>14</v>
      </c>
      <c r="F104" s="6">
        <v>111</v>
      </c>
      <c r="G104" s="6">
        <v>60</v>
      </c>
      <c r="H104" s="6">
        <v>0</v>
      </c>
      <c r="I104" s="7" t="s">
        <v>4315</v>
      </c>
      <c r="J104" s="3" t="s">
        <v>4317</v>
      </c>
      <c r="K104" s="8" t="s">
        <v>4410</v>
      </c>
      <c r="L104" s="9" t="s">
        <v>265</v>
      </c>
      <c r="M104" s="1" t="s">
        <v>266</v>
      </c>
    </row>
    <row r="105" spans="1:13" x14ac:dyDescent="0.3">
      <c r="A105" s="3">
        <v>1121040</v>
      </c>
      <c r="B105" s="4" t="s">
        <v>179</v>
      </c>
      <c r="C105" s="5" t="s">
        <v>202</v>
      </c>
      <c r="D105" s="5" t="s">
        <v>267</v>
      </c>
      <c r="E105" s="3" t="s">
        <v>14</v>
      </c>
      <c r="F105" s="6">
        <v>104</v>
      </c>
      <c r="G105" s="6">
        <v>60</v>
      </c>
      <c r="H105" s="6">
        <v>0</v>
      </c>
      <c r="I105" s="7" t="s">
        <v>4315</v>
      </c>
      <c r="J105" s="3" t="s">
        <v>4317</v>
      </c>
      <c r="K105" s="8" t="s">
        <v>4411</v>
      </c>
      <c r="L105" s="9" t="s">
        <v>268</v>
      </c>
      <c r="M105" s="1" t="s">
        <v>269</v>
      </c>
    </row>
    <row r="106" spans="1:13" x14ac:dyDescent="0.3">
      <c r="A106" s="3">
        <v>1120041</v>
      </c>
      <c r="B106" s="4" t="s">
        <v>179</v>
      </c>
      <c r="C106" s="5" t="s">
        <v>202</v>
      </c>
      <c r="D106" s="5" t="s">
        <v>264</v>
      </c>
      <c r="E106" s="3" t="s">
        <v>14</v>
      </c>
      <c r="F106" s="6">
        <v>111</v>
      </c>
      <c r="G106" s="6">
        <v>60</v>
      </c>
      <c r="H106" s="6">
        <v>0</v>
      </c>
      <c r="I106" s="7" t="s">
        <v>4344</v>
      </c>
      <c r="J106" s="3" t="s">
        <v>4377</v>
      </c>
      <c r="K106" s="8" t="s">
        <v>4410</v>
      </c>
      <c r="L106" s="9" t="s">
        <v>270</v>
      </c>
      <c r="M106" s="1" t="s">
        <v>271</v>
      </c>
    </row>
    <row r="107" spans="1:13" x14ac:dyDescent="0.3">
      <c r="A107" s="3">
        <v>1121042</v>
      </c>
      <c r="B107" s="4" t="s">
        <v>179</v>
      </c>
      <c r="C107" s="5" t="s">
        <v>202</v>
      </c>
      <c r="D107" s="5" t="s">
        <v>267</v>
      </c>
      <c r="E107" s="3" t="s">
        <v>14</v>
      </c>
      <c r="F107" s="6">
        <v>104</v>
      </c>
      <c r="G107" s="6">
        <v>60</v>
      </c>
      <c r="H107" s="6">
        <v>0</v>
      </c>
      <c r="I107" s="7" t="s">
        <v>4344</v>
      </c>
      <c r="J107" s="3" t="s">
        <v>4377</v>
      </c>
      <c r="K107" s="8" t="s">
        <v>4411</v>
      </c>
      <c r="L107" s="9" t="s">
        <v>272</v>
      </c>
      <c r="M107" s="1" t="s">
        <v>273</v>
      </c>
    </row>
    <row r="108" spans="1:13" x14ac:dyDescent="0.3">
      <c r="A108" s="3">
        <v>1120043</v>
      </c>
      <c r="B108" s="4" t="s">
        <v>179</v>
      </c>
      <c r="C108" s="5" t="s">
        <v>274</v>
      </c>
      <c r="D108" s="5" t="s">
        <v>264</v>
      </c>
      <c r="E108" s="3" t="s">
        <v>14</v>
      </c>
      <c r="F108" s="6">
        <v>111</v>
      </c>
      <c r="G108" s="6">
        <v>60</v>
      </c>
      <c r="H108" s="6">
        <v>0</v>
      </c>
      <c r="I108" s="7" t="s">
        <v>4344</v>
      </c>
      <c r="J108" s="3" t="s">
        <v>4377</v>
      </c>
      <c r="K108" s="8" t="s">
        <v>4410</v>
      </c>
      <c r="L108" s="9" t="s">
        <v>275</v>
      </c>
      <c r="M108" s="1" t="s">
        <v>276</v>
      </c>
    </row>
    <row r="109" spans="1:13" x14ac:dyDescent="0.3">
      <c r="A109" s="3">
        <v>1121044</v>
      </c>
      <c r="B109" s="4" t="s">
        <v>179</v>
      </c>
      <c r="C109" s="5" t="s">
        <v>274</v>
      </c>
      <c r="D109" s="5" t="s">
        <v>267</v>
      </c>
      <c r="E109" s="3" t="s">
        <v>14</v>
      </c>
      <c r="F109" s="6">
        <v>104</v>
      </c>
      <c r="G109" s="6">
        <v>60</v>
      </c>
      <c r="H109" s="6">
        <v>0</v>
      </c>
      <c r="I109" s="7" t="s">
        <v>4344</v>
      </c>
      <c r="J109" s="3" t="s">
        <v>4377</v>
      </c>
      <c r="K109" s="8" t="s">
        <v>4412</v>
      </c>
      <c r="L109" s="9" t="s">
        <v>277</v>
      </c>
      <c r="M109" s="1" t="s">
        <v>278</v>
      </c>
    </row>
    <row r="110" spans="1:13" x14ac:dyDescent="0.3">
      <c r="A110" s="3">
        <v>1120045</v>
      </c>
      <c r="B110" s="4" t="s">
        <v>179</v>
      </c>
      <c r="C110" s="5" t="s">
        <v>279</v>
      </c>
      <c r="D110" s="5" t="s">
        <v>264</v>
      </c>
      <c r="E110" s="3" t="s">
        <v>14</v>
      </c>
      <c r="F110" s="6">
        <v>111</v>
      </c>
      <c r="G110" s="6">
        <v>60</v>
      </c>
      <c r="H110" s="6">
        <v>0</v>
      </c>
      <c r="I110" s="7" t="s">
        <v>4315</v>
      </c>
      <c r="J110" s="3" t="s">
        <v>4317</v>
      </c>
      <c r="K110" s="8" t="s">
        <v>4410</v>
      </c>
      <c r="L110" s="9" t="s">
        <v>280</v>
      </c>
      <c r="M110" s="1" t="s">
        <v>281</v>
      </c>
    </row>
    <row r="111" spans="1:13" x14ac:dyDescent="0.3">
      <c r="A111" s="3">
        <v>1121046</v>
      </c>
      <c r="B111" s="4" t="s">
        <v>179</v>
      </c>
      <c r="C111" s="5" t="s">
        <v>279</v>
      </c>
      <c r="D111" s="5" t="s">
        <v>267</v>
      </c>
      <c r="E111" s="3" t="s">
        <v>14</v>
      </c>
      <c r="F111" s="6">
        <v>104</v>
      </c>
      <c r="G111" s="6">
        <v>60</v>
      </c>
      <c r="H111" s="6">
        <v>0</v>
      </c>
      <c r="I111" s="7" t="s">
        <v>4315</v>
      </c>
      <c r="J111" s="3" t="s">
        <v>4317</v>
      </c>
      <c r="K111" s="8" t="s">
        <v>4413</v>
      </c>
      <c r="L111" s="9" t="s">
        <v>282</v>
      </c>
      <c r="M111" s="1" t="s">
        <v>283</v>
      </c>
    </row>
    <row r="112" spans="1:13" x14ac:dyDescent="0.3">
      <c r="A112" s="3">
        <v>1131047</v>
      </c>
      <c r="B112" s="4" t="s">
        <v>179</v>
      </c>
      <c r="C112" s="5" t="s">
        <v>284</v>
      </c>
      <c r="D112" s="5" t="s">
        <v>261</v>
      </c>
      <c r="E112" s="3" t="s">
        <v>14</v>
      </c>
      <c r="F112" s="6">
        <v>110</v>
      </c>
      <c r="G112" s="6">
        <v>102</v>
      </c>
      <c r="H112" s="6">
        <v>13.7</v>
      </c>
      <c r="I112" s="7" t="s">
        <v>4316</v>
      </c>
      <c r="J112" s="3" t="s">
        <v>4318</v>
      </c>
      <c r="K112" s="8" t="s">
        <v>14</v>
      </c>
      <c r="L112" s="9" t="s">
        <v>285</v>
      </c>
      <c r="M112" s="1" t="s">
        <v>286</v>
      </c>
    </row>
    <row r="113" spans="1:13" x14ac:dyDescent="0.3">
      <c r="A113" s="3">
        <v>1119048</v>
      </c>
      <c r="B113" s="4" t="s">
        <v>179</v>
      </c>
      <c r="C113" s="5" t="s">
        <v>287</v>
      </c>
      <c r="D113" s="5" t="s">
        <v>74</v>
      </c>
      <c r="E113" s="3" t="s">
        <v>14</v>
      </c>
      <c r="F113" s="6">
        <v>110</v>
      </c>
      <c r="G113" s="6">
        <v>105</v>
      </c>
      <c r="H113" s="6">
        <v>0</v>
      </c>
      <c r="I113" s="7" t="s">
        <v>4373</v>
      </c>
      <c r="J113" s="3" t="s">
        <v>4377</v>
      </c>
      <c r="K113" s="8" t="s">
        <v>4414</v>
      </c>
      <c r="L113" s="9" t="s">
        <v>288</v>
      </c>
      <c r="M113" s="1" t="s">
        <v>289</v>
      </c>
    </row>
    <row r="114" spans="1:13" x14ac:dyDescent="0.3">
      <c r="A114" s="3">
        <v>1119049</v>
      </c>
      <c r="B114" s="4" t="s">
        <v>179</v>
      </c>
      <c r="C114" s="5" t="s">
        <v>287</v>
      </c>
      <c r="D114" s="5" t="s">
        <v>74</v>
      </c>
      <c r="E114" s="3" t="s">
        <v>14</v>
      </c>
      <c r="F114" s="6">
        <v>114</v>
      </c>
      <c r="G114" s="6">
        <v>102</v>
      </c>
      <c r="H114" s="6">
        <v>0</v>
      </c>
      <c r="I114" s="7" t="s">
        <v>4373</v>
      </c>
      <c r="J114" s="3" t="s">
        <v>4377</v>
      </c>
      <c r="K114" s="8" t="s">
        <v>4414</v>
      </c>
      <c r="L114" s="9" t="s">
        <v>290</v>
      </c>
      <c r="M114" s="1" t="s">
        <v>291</v>
      </c>
    </row>
    <row r="115" spans="1:13" x14ac:dyDescent="0.3">
      <c r="A115" s="3">
        <v>1120058</v>
      </c>
      <c r="B115" s="4" t="s">
        <v>179</v>
      </c>
      <c r="C115" s="5" t="s">
        <v>292</v>
      </c>
      <c r="D115" s="5" t="s">
        <v>264</v>
      </c>
      <c r="E115" s="3" t="s">
        <v>14</v>
      </c>
      <c r="F115" s="6">
        <v>112</v>
      </c>
      <c r="G115" s="6">
        <v>58</v>
      </c>
      <c r="H115" s="6">
        <v>0</v>
      </c>
      <c r="I115" s="7" t="s">
        <v>4315</v>
      </c>
      <c r="J115" s="3" t="s">
        <v>4317</v>
      </c>
      <c r="K115" s="8" t="s">
        <v>4418</v>
      </c>
      <c r="L115" s="9" t="s">
        <v>293</v>
      </c>
      <c r="M115" s="1" t="s">
        <v>294</v>
      </c>
    </row>
    <row r="116" spans="1:13" x14ac:dyDescent="0.3">
      <c r="A116" s="3">
        <v>1121059</v>
      </c>
      <c r="B116" s="4" t="s">
        <v>179</v>
      </c>
      <c r="C116" s="5" t="s">
        <v>292</v>
      </c>
      <c r="D116" s="5" t="s">
        <v>267</v>
      </c>
      <c r="E116" s="3" t="s">
        <v>14</v>
      </c>
      <c r="F116" s="6">
        <v>104</v>
      </c>
      <c r="G116" s="6">
        <v>58</v>
      </c>
      <c r="H116" s="6">
        <v>0</v>
      </c>
      <c r="I116" s="7" t="s">
        <v>4315</v>
      </c>
      <c r="J116" s="3" t="s">
        <v>4317</v>
      </c>
      <c r="K116" s="8" t="s">
        <v>4419</v>
      </c>
      <c r="L116" s="9" t="s">
        <v>295</v>
      </c>
      <c r="M116" s="1" t="s">
        <v>296</v>
      </c>
    </row>
    <row r="117" spans="1:13" x14ac:dyDescent="0.3">
      <c r="A117" s="3">
        <v>1122060</v>
      </c>
      <c r="B117" s="4" t="s">
        <v>179</v>
      </c>
      <c r="C117" s="5">
        <v>1433026</v>
      </c>
      <c r="D117" s="5" t="s">
        <v>86</v>
      </c>
      <c r="E117" s="3" t="s">
        <v>7547</v>
      </c>
      <c r="F117" s="6">
        <v>121</v>
      </c>
      <c r="G117" s="6">
        <v>113</v>
      </c>
      <c r="H117" s="6">
        <v>57.5</v>
      </c>
      <c r="I117" s="7">
        <v>61</v>
      </c>
      <c r="J117" s="3" t="s">
        <v>4318</v>
      </c>
      <c r="K117" s="8">
        <v>1.85</v>
      </c>
      <c r="L117" s="9" t="s">
        <v>7542</v>
      </c>
      <c r="M117" s="1" t="s">
        <v>7553</v>
      </c>
    </row>
    <row r="118" spans="1:13" x14ac:dyDescent="0.3">
      <c r="A118" s="3">
        <v>1123061</v>
      </c>
      <c r="B118" s="4" t="s">
        <v>179</v>
      </c>
      <c r="C118" s="5" t="s">
        <v>7993</v>
      </c>
      <c r="D118" s="5" t="s">
        <v>4792</v>
      </c>
      <c r="E118" s="3" t="s">
        <v>7548</v>
      </c>
      <c r="F118" s="6">
        <v>120</v>
      </c>
      <c r="G118" s="6">
        <v>51.5</v>
      </c>
      <c r="H118" s="6" t="s">
        <v>14</v>
      </c>
      <c r="I118" s="7">
        <v>42</v>
      </c>
      <c r="J118" s="3" t="s">
        <v>4318</v>
      </c>
      <c r="K118" s="8">
        <f>0.67+0.48</f>
        <v>1.1499999999999999</v>
      </c>
      <c r="L118" s="9" t="s">
        <v>7543</v>
      </c>
      <c r="M118" s="1" t="s">
        <v>7554</v>
      </c>
    </row>
    <row r="119" spans="1:13" x14ac:dyDescent="0.3">
      <c r="A119" s="3">
        <v>1133061</v>
      </c>
      <c r="B119" s="4" t="s">
        <v>179</v>
      </c>
      <c r="C119" s="5" t="s">
        <v>7994</v>
      </c>
      <c r="D119" s="5" t="s">
        <v>4792</v>
      </c>
      <c r="E119" s="3" t="s">
        <v>7548</v>
      </c>
      <c r="F119" s="6">
        <v>112</v>
      </c>
      <c r="G119" s="6">
        <v>40</v>
      </c>
      <c r="H119" s="6" t="s">
        <v>14</v>
      </c>
      <c r="I119" s="7">
        <v>42</v>
      </c>
      <c r="J119" s="3" t="s">
        <v>4318</v>
      </c>
      <c r="K119" s="8">
        <v>0.57999999999999996</v>
      </c>
      <c r="L119" s="9" t="s">
        <v>7543</v>
      </c>
      <c r="M119" s="1" t="s">
        <v>7995</v>
      </c>
    </row>
    <row r="120" spans="1:13" x14ac:dyDescent="0.3">
      <c r="A120" s="3">
        <v>1124062</v>
      </c>
      <c r="B120" s="4" t="s">
        <v>179</v>
      </c>
      <c r="C120" s="5">
        <v>1566015</v>
      </c>
      <c r="D120" s="5" t="s">
        <v>13</v>
      </c>
      <c r="E120" s="3" t="s">
        <v>7547</v>
      </c>
      <c r="F120" s="6">
        <v>123.5</v>
      </c>
      <c r="G120" s="6">
        <v>1115.5</v>
      </c>
      <c r="H120" s="6">
        <v>9.5</v>
      </c>
      <c r="I120" s="7">
        <v>42</v>
      </c>
      <c r="J120" s="3" t="s">
        <v>4318</v>
      </c>
      <c r="K120" s="8">
        <v>1.92</v>
      </c>
      <c r="L120" s="9" t="s">
        <v>7544</v>
      </c>
      <c r="M120" s="1" t="s">
        <v>7996</v>
      </c>
    </row>
    <row r="121" spans="1:13" x14ac:dyDescent="0.3">
      <c r="A121" s="3">
        <v>1125063</v>
      </c>
      <c r="B121" s="4" t="s">
        <v>179</v>
      </c>
      <c r="C121" s="5" t="s">
        <v>7549</v>
      </c>
      <c r="D121" s="5" t="s">
        <v>74</v>
      </c>
      <c r="E121" s="3" t="s">
        <v>7550</v>
      </c>
      <c r="F121" s="6">
        <v>114</v>
      </c>
      <c r="G121" s="6">
        <v>51.5</v>
      </c>
      <c r="H121" s="6" t="s">
        <v>14</v>
      </c>
      <c r="I121" s="7">
        <v>42</v>
      </c>
      <c r="J121" s="3" t="s">
        <v>4318</v>
      </c>
      <c r="K121" s="8">
        <v>0.63</v>
      </c>
      <c r="L121" s="9" t="s">
        <v>7545</v>
      </c>
      <c r="M121" s="1" t="s">
        <v>7555</v>
      </c>
    </row>
    <row r="122" spans="1:13" x14ac:dyDescent="0.3">
      <c r="A122" s="3">
        <v>1126064</v>
      </c>
      <c r="B122" s="4" t="s">
        <v>179</v>
      </c>
      <c r="C122" s="5" t="s">
        <v>7551</v>
      </c>
      <c r="D122" s="5" t="s">
        <v>5069</v>
      </c>
      <c r="E122" s="3" t="s">
        <v>7547</v>
      </c>
      <c r="F122" s="6">
        <v>119</v>
      </c>
      <c r="G122" s="6">
        <v>111</v>
      </c>
      <c r="H122" s="6" t="s">
        <v>14</v>
      </c>
      <c r="I122" s="7">
        <v>42</v>
      </c>
      <c r="J122" s="3" t="s">
        <v>4318</v>
      </c>
      <c r="K122" s="8">
        <v>1.32</v>
      </c>
      <c r="L122" s="9" t="s">
        <v>7546</v>
      </c>
      <c r="M122" s="1" t="s">
        <v>7556</v>
      </c>
    </row>
    <row r="123" spans="1:13" x14ac:dyDescent="0.3">
      <c r="A123" s="3">
        <v>11260641</v>
      </c>
      <c r="B123" s="4" t="s">
        <v>179</v>
      </c>
      <c r="C123" s="5" t="s">
        <v>7552</v>
      </c>
      <c r="D123" s="5" t="s">
        <v>613</v>
      </c>
      <c r="E123" s="3" t="s">
        <v>7547</v>
      </c>
      <c r="F123" s="6" t="s">
        <v>7015</v>
      </c>
      <c r="G123" s="6" t="s">
        <v>6300</v>
      </c>
      <c r="H123" s="6" t="s">
        <v>14</v>
      </c>
      <c r="I123" s="7" t="s">
        <v>14</v>
      </c>
      <c r="J123" s="3" t="s">
        <v>14</v>
      </c>
      <c r="K123" s="8" t="s">
        <v>14</v>
      </c>
      <c r="L123" s="9" t="s">
        <v>7557</v>
      </c>
      <c r="M123" s="1" t="s">
        <v>7558</v>
      </c>
    </row>
    <row r="124" spans="1:13" x14ac:dyDescent="0.3">
      <c r="A124" s="3">
        <v>1126066</v>
      </c>
      <c r="B124" s="4" t="s">
        <v>179</v>
      </c>
      <c r="C124" s="5" t="s">
        <v>7721</v>
      </c>
      <c r="D124" s="5" t="s">
        <v>552</v>
      </c>
      <c r="E124" s="3" t="s">
        <v>6721</v>
      </c>
      <c r="F124" s="6" t="s">
        <v>7722</v>
      </c>
      <c r="G124" s="6" t="s">
        <v>7722</v>
      </c>
      <c r="H124" s="6" t="s">
        <v>7723</v>
      </c>
      <c r="I124" s="7" t="s">
        <v>14</v>
      </c>
      <c r="J124" s="3" t="s">
        <v>14</v>
      </c>
      <c r="K124" s="8" t="s">
        <v>14</v>
      </c>
      <c r="L124" s="9" t="s">
        <v>7724</v>
      </c>
      <c r="M124" s="1" t="s">
        <v>7725</v>
      </c>
    </row>
    <row r="125" spans="1:13" x14ac:dyDescent="0.3">
      <c r="A125" s="3">
        <v>1220001</v>
      </c>
      <c r="B125" s="4" t="s">
        <v>297</v>
      </c>
      <c r="C125" s="5" t="s">
        <v>298</v>
      </c>
      <c r="D125" s="5" t="s">
        <v>264</v>
      </c>
      <c r="E125" s="3" t="s">
        <v>14</v>
      </c>
      <c r="F125" s="6">
        <v>156.5</v>
      </c>
      <c r="G125" s="6">
        <v>18</v>
      </c>
      <c r="H125" s="6">
        <v>0</v>
      </c>
      <c r="I125" s="7" t="s">
        <v>4316</v>
      </c>
      <c r="J125" s="3" t="s">
        <v>4318</v>
      </c>
      <c r="K125" s="8" t="s">
        <v>4321</v>
      </c>
      <c r="L125" s="9" t="s">
        <v>299</v>
      </c>
      <c r="M125" s="1" t="s">
        <v>300</v>
      </c>
    </row>
    <row r="126" spans="1:13" x14ac:dyDescent="0.3">
      <c r="A126" s="3">
        <v>1220002</v>
      </c>
      <c r="B126" s="4" t="s">
        <v>297</v>
      </c>
      <c r="C126" s="5" t="s">
        <v>301</v>
      </c>
      <c r="D126" s="5" t="s">
        <v>264</v>
      </c>
      <c r="E126" s="3" t="s">
        <v>14</v>
      </c>
      <c r="F126" s="6">
        <v>160</v>
      </c>
      <c r="G126" s="6">
        <v>13.7</v>
      </c>
      <c r="H126" s="6">
        <v>0</v>
      </c>
      <c r="I126" s="7" t="s">
        <v>4316</v>
      </c>
      <c r="J126" s="3" t="s">
        <v>4318</v>
      </c>
      <c r="K126" s="8" t="s">
        <v>4357</v>
      </c>
      <c r="L126" s="9" t="s">
        <v>302</v>
      </c>
      <c r="M126" s="1" t="s">
        <v>303</v>
      </c>
    </row>
    <row r="127" spans="1:13" x14ac:dyDescent="0.3">
      <c r="A127" s="3">
        <v>1220003</v>
      </c>
      <c r="B127" s="4" t="s">
        <v>297</v>
      </c>
      <c r="C127" s="5" t="s">
        <v>304</v>
      </c>
      <c r="D127" s="5" t="s">
        <v>264</v>
      </c>
      <c r="E127" s="3" t="s">
        <v>14</v>
      </c>
      <c r="F127" s="6">
        <v>69</v>
      </c>
      <c r="G127" s="6">
        <v>26</v>
      </c>
      <c r="H127" s="6">
        <v>0</v>
      </c>
      <c r="I127" s="7" t="s">
        <v>4316</v>
      </c>
      <c r="J127" s="3" t="s">
        <v>4318</v>
      </c>
      <c r="K127" s="8" t="s">
        <v>4424</v>
      </c>
      <c r="L127" s="9" t="s">
        <v>305</v>
      </c>
      <c r="M127" s="1" t="s">
        <v>306</v>
      </c>
    </row>
    <row r="128" spans="1:13" x14ac:dyDescent="0.3">
      <c r="A128" s="3">
        <v>1220004</v>
      </c>
      <c r="B128" s="4" t="s">
        <v>297</v>
      </c>
      <c r="C128" s="5" t="s">
        <v>307</v>
      </c>
      <c r="D128" s="5" t="s">
        <v>264</v>
      </c>
      <c r="E128" s="3" t="s">
        <v>14</v>
      </c>
      <c r="F128" s="6">
        <v>69</v>
      </c>
      <c r="G128" s="6">
        <v>18</v>
      </c>
      <c r="H128" s="6">
        <v>0</v>
      </c>
      <c r="I128" s="7" t="s">
        <v>4316</v>
      </c>
      <c r="J128" s="3" t="s">
        <v>4318</v>
      </c>
      <c r="K128" s="8" t="s">
        <v>4425</v>
      </c>
      <c r="L128" s="9" t="s">
        <v>308</v>
      </c>
      <c r="M128" s="24" t="s">
        <v>309</v>
      </c>
    </row>
    <row r="129" spans="1:13" x14ac:dyDescent="0.3">
      <c r="A129" s="3">
        <v>1220005</v>
      </c>
      <c r="B129" s="4" t="s">
        <v>297</v>
      </c>
      <c r="C129" s="5" t="s">
        <v>310</v>
      </c>
      <c r="D129" s="5" t="s">
        <v>264</v>
      </c>
      <c r="E129" s="3" t="s">
        <v>14</v>
      </c>
      <c r="F129" s="6">
        <v>69</v>
      </c>
      <c r="G129" s="6">
        <v>13.7</v>
      </c>
      <c r="H129" s="6">
        <v>0</v>
      </c>
      <c r="I129" s="7" t="s">
        <v>4316</v>
      </c>
      <c r="J129" s="3" t="s">
        <v>4318</v>
      </c>
      <c r="K129" s="8" t="s">
        <v>4426</v>
      </c>
      <c r="L129" s="9" t="s">
        <v>311</v>
      </c>
      <c r="M129" s="1" t="s">
        <v>312</v>
      </c>
    </row>
    <row r="130" spans="1:13" x14ac:dyDescent="0.3">
      <c r="A130" s="3">
        <v>1219006</v>
      </c>
      <c r="B130" s="4" t="s">
        <v>297</v>
      </c>
      <c r="C130" s="5" t="s">
        <v>313</v>
      </c>
      <c r="D130" s="5" t="s">
        <v>74</v>
      </c>
      <c r="E130" s="3" t="s">
        <v>14</v>
      </c>
      <c r="F130" s="6">
        <v>110</v>
      </c>
      <c r="G130" s="6">
        <v>20</v>
      </c>
      <c r="H130" s="6">
        <v>0</v>
      </c>
      <c r="I130" s="7" t="s">
        <v>4316</v>
      </c>
      <c r="J130" s="3" t="s">
        <v>4318</v>
      </c>
      <c r="K130" s="8" t="s">
        <v>4357</v>
      </c>
      <c r="L130" s="9" t="s">
        <v>314</v>
      </c>
      <c r="M130" s="1" t="s">
        <v>315</v>
      </c>
    </row>
    <row r="131" spans="1:13" x14ac:dyDescent="0.3">
      <c r="A131" s="3">
        <v>1220007</v>
      </c>
      <c r="B131" s="4" t="s">
        <v>297</v>
      </c>
      <c r="C131" s="5" t="s">
        <v>316</v>
      </c>
      <c r="D131" s="5" t="s">
        <v>264</v>
      </c>
      <c r="E131" s="3" t="s">
        <v>14</v>
      </c>
      <c r="F131" s="6">
        <v>27.5</v>
      </c>
      <c r="G131" s="6">
        <v>41.4</v>
      </c>
      <c r="H131" s="6">
        <v>0</v>
      </c>
      <c r="I131" s="7" t="s">
        <v>4315</v>
      </c>
      <c r="J131" s="3" t="s">
        <v>4317</v>
      </c>
      <c r="K131" s="8" t="s">
        <v>4427</v>
      </c>
      <c r="L131" s="9" t="s">
        <v>317</v>
      </c>
      <c r="M131" s="1" t="s">
        <v>318</v>
      </c>
    </row>
    <row r="132" spans="1:13" x14ac:dyDescent="0.3">
      <c r="A132" s="3">
        <v>1221008</v>
      </c>
      <c r="B132" s="4" t="s">
        <v>297</v>
      </c>
      <c r="C132" s="5" t="s">
        <v>316</v>
      </c>
      <c r="D132" s="5" t="s">
        <v>267</v>
      </c>
      <c r="E132" s="3" t="s">
        <v>14</v>
      </c>
      <c r="F132" s="6">
        <v>48.2</v>
      </c>
      <c r="G132" s="6">
        <v>41.4</v>
      </c>
      <c r="H132" s="6">
        <v>0</v>
      </c>
      <c r="I132" s="7" t="s">
        <v>4315</v>
      </c>
      <c r="J132" s="3" t="s">
        <v>4317</v>
      </c>
      <c r="K132" s="8" t="s">
        <v>4428</v>
      </c>
      <c r="L132" s="9" t="s">
        <v>319</v>
      </c>
      <c r="M132" s="1" t="s">
        <v>320</v>
      </c>
    </row>
    <row r="133" spans="1:13" x14ac:dyDescent="0.3">
      <c r="A133" s="3">
        <v>1213009</v>
      </c>
      <c r="B133" s="4" t="s">
        <v>297</v>
      </c>
      <c r="C133" s="5" t="s">
        <v>7831</v>
      </c>
      <c r="D133" s="5" t="s">
        <v>321</v>
      </c>
      <c r="E133" s="3" t="s">
        <v>14</v>
      </c>
      <c r="F133" s="6">
        <v>51.5</v>
      </c>
      <c r="G133" s="6">
        <v>31</v>
      </c>
      <c r="H133" s="6">
        <v>41</v>
      </c>
      <c r="I133" s="7" t="s">
        <v>4344</v>
      </c>
      <c r="J133" s="3" t="s">
        <v>4377</v>
      </c>
      <c r="K133" s="8" t="s">
        <v>4429</v>
      </c>
      <c r="L133" s="9" t="s">
        <v>322</v>
      </c>
      <c r="M133" s="1" t="s">
        <v>7754</v>
      </c>
    </row>
    <row r="134" spans="1:13" x14ac:dyDescent="0.3">
      <c r="A134" s="3">
        <v>12130091</v>
      </c>
      <c r="B134" s="4" t="s">
        <v>297</v>
      </c>
      <c r="C134" s="5" t="s">
        <v>7832</v>
      </c>
      <c r="D134" s="5" t="s">
        <v>321</v>
      </c>
      <c r="E134" s="3" t="s">
        <v>14</v>
      </c>
      <c r="F134" s="6">
        <v>61</v>
      </c>
      <c r="G134" s="6">
        <v>40.700000000000003</v>
      </c>
      <c r="H134" s="6">
        <v>41</v>
      </c>
      <c r="I134" s="7" t="s">
        <v>7833</v>
      </c>
      <c r="J134" s="3" t="s">
        <v>4377</v>
      </c>
      <c r="K134" s="8">
        <v>0.83</v>
      </c>
      <c r="L134" s="9" t="s">
        <v>7834</v>
      </c>
      <c r="M134" s="1" t="s">
        <v>7835</v>
      </c>
    </row>
    <row r="135" spans="1:13" x14ac:dyDescent="0.3">
      <c r="A135" s="3">
        <v>1220010</v>
      </c>
      <c r="B135" s="4" t="s">
        <v>297</v>
      </c>
      <c r="C135" s="5" t="s">
        <v>323</v>
      </c>
      <c r="D135" s="5" t="s">
        <v>264</v>
      </c>
      <c r="E135" s="3" t="s">
        <v>14</v>
      </c>
      <c r="F135" s="6">
        <v>59</v>
      </c>
      <c r="G135" s="6">
        <v>8.6</v>
      </c>
      <c r="H135" s="6">
        <v>0</v>
      </c>
      <c r="I135" s="7" t="s">
        <v>4420</v>
      </c>
      <c r="J135" s="3" t="s">
        <v>4422</v>
      </c>
      <c r="K135" s="8" t="s">
        <v>4430</v>
      </c>
      <c r="L135" s="9" t="s">
        <v>324</v>
      </c>
      <c r="M135" s="1" t="s">
        <v>325</v>
      </c>
    </row>
    <row r="136" spans="1:13" x14ac:dyDescent="0.3">
      <c r="A136" s="3">
        <v>1221011</v>
      </c>
      <c r="B136" s="4" t="s">
        <v>297</v>
      </c>
      <c r="C136" s="5" t="s">
        <v>323</v>
      </c>
      <c r="D136" s="5" t="s">
        <v>267</v>
      </c>
      <c r="E136" s="3" t="s">
        <v>14</v>
      </c>
      <c r="F136" s="6">
        <v>55.6</v>
      </c>
      <c r="G136" s="6">
        <v>8.6</v>
      </c>
      <c r="H136" s="6">
        <v>0</v>
      </c>
      <c r="I136" s="7" t="s">
        <v>4420</v>
      </c>
      <c r="J136" s="3" t="s">
        <v>4422</v>
      </c>
      <c r="K136" s="8" t="s">
        <v>4430</v>
      </c>
      <c r="L136" s="9" t="s">
        <v>326</v>
      </c>
      <c r="M136" s="1" t="s">
        <v>327</v>
      </c>
    </row>
    <row r="137" spans="1:13" x14ac:dyDescent="0.3">
      <c r="A137" s="3">
        <v>1219012</v>
      </c>
      <c r="B137" s="4" t="s">
        <v>297</v>
      </c>
      <c r="C137" s="5" t="s">
        <v>323</v>
      </c>
      <c r="D137" s="5" t="s">
        <v>74</v>
      </c>
      <c r="E137" s="3" t="s">
        <v>14</v>
      </c>
      <c r="F137" s="6">
        <v>59</v>
      </c>
      <c r="G137" s="6">
        <v>55</v>
      </c>
      <c r="H137" s="6">
        <v>0</v>
      </c>
      <c r="I137" s="7" t="s">
        <v>4315</v>
      </c>
      <c r="J137" s="3" t="s">
        <v>4317</v>
      </c>
      <c r="K137" s="8" t="s">
        <v>4431</v>
      </c>
      <c r="L137" s="9" t="s">
        <v>328</v>
      </c>
      <c r="M137" s="1" t="s">
        <v>329</v>
      </c>
    </row>
    <row r="138" spans="1:13" x14ac:dyDescent="0.3">
      <c r="A138" s="3">
        <v>1217013</v>
      </c>
      <c r="B138" s="4" t="s">
        <v>297</v>
      </c>
      <c r="C138" s="5" t="s">
        <v>330</v>
      </c>
      <c r="D138" s="5" t="s">
        <v>180</v>
      </c>
      <c r="E138" s="3" t="s">
        <v>14</v>
      </c>
      <c r="F138" s="6">
        <v>121</v>
      </c>
      <c r="G138" s="6">
        <v>113.5</v>
      </c>
      <c r="H138" s="6">
        <v>68</v>
      </c>
      <c r="I138" s="7" t="s">
        <v>4316</v>
      </c>
      <c r="J138" s="3" t="s">
        <v>4318</v>
      </c>
      <c r="K138" s="8" t="s">
        <v>4432</v>
      </c>
      <c r="L138" s="9" t="s">
        <v>331</v>
      </c>
      <c r="M138" s="1" t="s">
        <v>332</v>
      </c>
    </row>
    <row r="139" spans="1:13" x14ac:dyDescent="0.3">
      <c r="A139" s="3">
        <v>1220014</v>
      </c>
      <c r="B139" s="4" t="s">
        <v>297</v>
      </c>
      <c r="C139" s="5" t="s">
        <v>333</v>
      </c>
      <c r="D139" s="5" t="s">
        <v>264</v>
      </c>
      <c r="E139" s="3" t="s">
        <v>334</v>
      </c>
      <c r="F139" s="6">
        <v>160</v>
      </c>
      <c r="G139" s="6">
        <v>10</v>
      </c>
      <c r="H139" s="6">
        <v>0</v>
      </c>
      <c r="I139" s="7" t="s">
        <v>4316</v>
      </c>
      <c r="J139" s="3" t="s">
        <v>4318</v>
      </c>
      <c r="K139" s="8" t="s">
        <v>4433</v>
      </c>
      <c r="L139" s="9" t="s">
        <v>335</v>
      </c>
      <c r="M139" s="1" t="s">
        <v>336</v>
      </c>
    </row>
    <row r="140" spans="1:13" x14ac:dyDescent="0.3">
      <c r="A140" s="3">
        <v>1220015</v>
      </c>
      <c r="B140" s="4" t="s">
        <v>297</v>
      </c>
      <c r="C140" s="5" t="s">
        <v>337</v>
      </c>
      <c r="D140" s="5" t="s">
        <v>264</v>
      </c>
      <c r="E140" s="3" t="s">
        <v>337</v>
      </c>
      <c r="F140" s="6">
        <v>112</v>
      </c>
      <c r="G140" s="6">
        <v>18</v>
      </c>
      <c r="H140" s="6">
        <v>0</v>
      </c>
      <c r="I140" s="7" t="s">
        <v>4316</v>
      </c>
      <c r="J140" s="3" t="s">
        <v>4318</v>
      </c>
      <c r="K140" s="8" t="s">
        <v>4434</v>
      </c>
      <c r="L140" s="9" t="s">
        <v>338</v>
      </c>
      <c r="M140" s="1" t="s">
        <v>339</v>
      </c>
    </row>
    <row r="141" spans="1:13" x14ac:dyDescent="0.3">
      <c r="A141" s="3">
        <v>1221016</v>
      </c>
      <c r="B141" s="4" t="s">
        <v>297</v>
      </c>
      <c r="C141" s="5" t="s">
        <v>337</v>
      </c>
      <c r="D141" s="5" t="s">
        <v>267</v>
      </c>
      <c r="E141" s="3" t="s">
        <v>337</v>
      </c>
      <c r="F141" s="6">
        <v>119</v>
      </c>
      <c r="G141" s="6">
        <v>33</v>
      </c>
      <c r="H141" s="6">
        <v>0</v>
      </c>
      <c r="I141" s="7" t="s">
        <v>4316</v>
      </c>
      <c r="J141" s="3" t="s">
        <v>4318</v>
      </c>
      <c r="K141" s="8" t="s">
        <v>4435</v>
      </c>
      <c r="L141" s="9" t="s">
        <v>340</v>
      </c>
      <c r="M141" s="1" t="s">
        <v>341</v>
      </c>
    </row>
    <row r="142" spans="1:13" x14ac:dyDescent="0.3">
      <c r="A142" s="3">
        <v>1220017</v>
      </c>
      <c r="B142" s="4" t="s">
        <v>297</v>
      </c>
      <c r="C142" s="5" t="s">
        <v>342</v>
      </c>
      <c r="D142" s="5" t="s">
        <v>264</v>
      </c>
      <c r="E142" s="3" t="s">
        <v>14</v>
      </c>
      <c r="F142" s="6">
        <v>112</v>
      </c>
      <c r="G142" s="6">
        <v>18</v>
      </c>
      <c r="H142" s="6">
        <v>0</v>
      </c>
      <c r="I142" s="7" t="s">
        <v>4316</v>
      </c>
      <c r="J142" s="3" t="s">
        <v>4318</v>
      </c>
      <c r="K142" s="8" t="s">
        <v>4436</v>
      </c>
      <c r="L142" s="9" t="s">
        <v>343</v>
      </c>
      <c r="M142" s="1" t="s">
        <v>344</v>
      </c>
    </row>
    <row r="143" spans="1:13" x14ac:dyDescent="0.3">
      <c r="A143" s="3">
        <v>1221018</v>
      </c>
      <c r="B143" s="4" t="s">
        <v>297</v>
      </c>
      <c r="C143" s="5" t="s">
        <v>342</v>
      </c>
      <c r="D143" s="5" t="s">
        <v>267</v>
      </c>
      <c r="E143" s="3" t="s">
        <v>14</v>
      </c>
      <c r="F143" s="6">
        <v>119</v>
      </c>
      <c r="G143" s="6">
        <v>33</v>
      </c>
      <c r="H143" s="6">
        <v>0</v>
      </c>
      <c r="I143" s="7" t="s">
        <v>4316</v>
      </c>
      <c r="J143" s="3" t="s">
        <v>4318</v>
      </c>
      <c r="K143" s="8" t="s">
        <v>4437</v>
      </c>
      <c r="L143" s="9" t="s">
        <v>345</v>
      </c>
      <c r="M143" s="1" t="s">
        <v>346</v>
      </c>
    </row>
    <row r="144" spans="1:13" x14ac:dyDescent="0.3">
      <c r="A144" s="3">
        <v>1220019</v>
      </c>
      <c r="B144" s="4" t="s">
        <v>297</v>
      </c>
      <c r="C144" s="5" t="s">
        <v>347</v>
      </c>
      <c r="D144" s="5" t="s">
        <v>264</v>
      </c>
      <c r="E144" s="3" t="s">
        <v>14</v>
      </c>
      <c r="F144" s="6">
        <v>36</v>
      </c>
      <c r="G144" s="6">
        <v>28</v>
      </c>
      <c r="H144" s="6">
        <v>0</v>
      </c>
      <c r="I144" s="7" t="s">
        <v>4315</v>
      </c>
      <c r="J144" s="3" t="s">
        <v>4317</v>
      </c>
      <c r="K144" s="8" t="s">
        <v>4438</v>
      </c>
      <c r="L144" s="9" t="s">
        <v>348</v>
      </c>
      <c r="M144" s="1" t="s">
        <v>349</v>
      </c>
    </row>
    <row r="145" spans="1:13" x14ac:dyDescent="0.3">
      <c r="A145" s="3">
        <v>1221020</v>
      </c>
      <c r="B145" s="4" t="s">
        <v>297</v>
      </c>
      <c r="C145" s="5" t="s">
        <v>347</v>
      </c>
      <c r="D145" s="5" t="s">
        <v>267</v>
      </c>
      <c r="E145" s="3" t="s">
        <v>14</v>
      </c>
      <c r="F145" s="6">
        <v>59</v>
      </c>
      <c r="G145" s="6">
        <v>28</v>
      </c>
      <c r="H145" s="6">
        <v>0</v>
      </c>
      <c r="I145" s="7" t="s">
        <v>4315</v>
      </c>
      <c r="J145" s="3" t="s">
        <v>4317</v>
      </c>
      <c r="K145" s="8" t="s">
        <v>4439</v>
      </c>
      <c r="L145" s="9" t="s">
        <v>350</v>
      </c>
      <c r="M145" s="1" t="s">
        <v>351</v>
      </c>
    </row>
    <row r="146" spans="1:13" x14ac:dyDescent="0.3">
      <c r="A146" s="3">
        <v>1211021</v>
      </c>
      <c r="B146" s="4" t="s">
        <v>297</v>
      </c>
      <c r="C146" s="5" t="s">
        <v>352</v>
      </c>
      <c r="D146" s="5" t="s">
        <v>96</v>
      </c>
      <c r="E146" s="3" t="s">
        <v>398</v>
      </c>
      <c r="F146" s="6">
        <v>60.4</v>
      </c>
      <c r="G146" s="6">
        <v>56.4</v>
      </c>
      <c r="H146" s="6">
        <v>46.3</v>
      </c>
      <c r="I146" s="7" t="s">
        <v>4315</v>
      </c>
      <c r="J146" s="3" t="s">
        <v>4317</v>
      </c>
      <c r="K146" s="8">
        <v>2.46</v>
      </c>
      <c r="L146" s="9" t="s">
        <v>353</v>
      </c>
      <c r="M146" s="1" t="s">
        <v>6526</v>
      </c>
    </row>
    <row r="147" spans="1:13" x14ac:dyDescent="0.3">
      <c r="A147" s="3">
        <v>1211022</v>
      </c>
      <c r="B147" s="4" t="s">
        <v>297</v>
      </c>
      <c r="C147" s="5" t="s">
        <v>354</v>
      </c>
      <c r="D147" s="5" t="s">
        <v>154</v>
      </c>
      <c r="E147" s="3" t="s">
        <v>14</v>
      </c>
      <c r="F147" s="6">
        <v>60.5</v>
      </c>
      <c r="G147" s="6">
        <v>27.5</v>
      </c>
      <c r="H147" s="6">
        <v>39</v>
      </c>
      <c r="I147" s="7" t="s">
        <v>4315</v>
      </c>
      <c r="J147" s="3" t="s">
        <v>4317</v>
      </c>
      <c r="K147" s="8" t="s">
        <v>4351</v>
      </c>
      <c r="L147" s="9" t="s">
        <v>355</v>
      </c>
      <c r="M147" s="1" t="s">
        <v>356</v>
      </c>
    </row>
    <row r="148" spans="1:13" x14ac:dyDescent="0.3">
      <c r="A148" s="3">
        <v>1220023</v>
      </c>
      <c r="B148" s="4" t="s">
        <v>297</v>
      </c>
      <c r="C148" s="5" t="s">
        <v>357</v>
      </c>
      <c r="D148" s="5" t="s">
        <v>264</v>
      </c>
      <c r="E148" s="3" t="s">
        <v>14</v>
      </c>
      <c r="F148" s="6">
        <v>46.5</v>
      </c>
      <c r="G148" s="6">
        <v>59.5</v>
      </c>
      <c r="H148" s="6">
        <v>0</v>
      </c>
      <c r="I148" s="7" t="s">
        <v>4315</v>
      </c>
      <c r="J148" s="3" t="s">
        <v>4317</v>
      </c>
      <c r="K148" s="8" t="s">
        <v>4321</v>
      </c>
      <c r="L148" s="9" t="s">
        <v>358</v>
      </c>
      <c r="M148" s="1" t="s">
        <v>359</v>
      </c>
    </row>
    <row r="149" spans="1:13" x14ac:dyDescent="0.3">
      <c r="A149" s="3">
        <v>1221024</v>
      </c>
      <c r="B149" s="4" t="s">
        <v>297</v>
      </c>
      <c r="C149" s="5" t="s">
        <v>360</v>
      </c>
      <c r="D149" s="5" t="s">
        <v>267</v>
      </c>
      <c r="E149" s="3" t="s">
        <v>14</v>
      </c>
      <c r="F149" s="6">
        <v>46.5</v>
      </c>
      <c r="G149" s="6">
        <v>55.9</v>
      </c>
      <c r="H149" s="6">
        <v>0</v>
      </c>
      <c r="I149" s="7" t="s">
        <v>4315</v>
      </c>
      <c r="J149" s="3" t="s">
        <v>4317</v>
      </c>
      <c r="K149" s="8" t="s">
        <v>4350</v>
      </c>
      <c r="L149" s="9" t="s">
        <v>361</v>
      </c>
      <c r="M149" s="1" t="s">
        <v>362</v>
      </c>
    </row>
    <row r="150" spans="1:13" x14ac:dyDescent="0.3">
      <c r="A150" s="3">
        <v>1219025</v>
      </c>
      <c r="B150" s="4" t="s">
        <v>297</v>
      </c>
      <c r="C150" s="5" t="s">
        <v>363</v>
      </c>
      <c r="D150" s="5" t="s">
        <v>74</v>
      </c>
      <c r="E150" s="3" t="s">
        <v>323</v>
      </c>
      <c r="F150" s="6">
        <v>43</v>
      </c>
      <c r="G150" s="6">
        <v>9</v>
      </c>
      <c r="H150" s="6">
        <v>0</v>
      </c>
      <c r="I150" s="7" t="s">
        <v>4315</v>
      </c>
      <c r="J150" s="3" t="s">
        <v>4317</v>
      </c>
      <c r="K150" s="8" t="s">
        <v>4441</v>
      </c>
      <c r="L150" s="9" t="s">
        <v>364</v>
      </c>
      <c r="M150" s="1" t="s">
        <v>365</v>
      </c>
    </row>
    <row r="151" spans="1:13" x14ac:dyDescent="0.3">
      <c r="A151" s="3">
        <v>1219026</v>
      </c>
      <c r="B151" s="4" t="s">
        <v>297</v>
      </c>
      <c r="C151" s="5" t="s">
        <v>366</v>
      </c>
      <c r="D151" s="5" t="s">
        <v>74</v>
      </c>
      <c r="E151" s="3" t="s">
        <v>14</v>
      </c>
      <c r="F151" s="6">
        <v>58</v>
      </c>
      <c r="G151" s="6">
        <v>35</v>
      </c>
      <c r="H151" s="6">
        <v>0</v>
      </c>
      <c r="I151" s="7" t="s">
        <v>4421</v>
      </c>
      <c r="J151" s="3" t="s">
        <v>4423</v>
      </c>
      <c r="K151" s="8" t="s">
        <v>4428</v>
      </c>
      <c r="L151" s="9" t="s">
        <v>367</v>
      </c>
      <c r="M151" s="1" t="s">
        <v>368</v>
      </c>
    </row>
    <row r="152" spans="1:13" x14ac:dyDescent="0.3">
      <c r="A152" s="3">
        <v>1220027</v>
      </c>
      <c r="B152" s="4" t="s">
        <v>297</v>
      </c>
      <c r="C152" s="5" t="s">
        <v>369</v>
      </c>
      <c r="D152" s="5" t="s">
        <v>264</v>
      </c>
      <c r="E152" s="3" t="s">
        <v>14</v>
      </c>
      <c r="F152" s="6">
        <v>159.5</v>
      </c>
      <c r="G152" s="6">
        <v>27</v>
      </c>
      <c r="H152" s="6">
        <v>0</v>
      </c>
      <c r="I152" s="7" t="s">
        <v>4316</v>
      </c>
      <c r="J152" s="3" t="s">
        <v>4318</v>
      </c>
      <c r="K152" s="8" t="s">
        <v>4442</v>
      </c>
      <c r="L152" s="9" t="s">
        <v>370</v>
      </c>
      <c r="M152" s="1" t="s">
        <v>371</v>
      </c>
    </row>
    <row r="153" spans="1:13" x14ac:dyDescent="0.3">
      <c r="A153" s="3">
        <v>1211028</v>
      </c>
      <c r="B153" s="4" t="s">
        <v>297</v>
      </c>
      <c r="C153" s="5" t="s">
        <v>372</v>
      </c>
      <c r="D153" s="5" t="s">
        <v>154</v>
      </c>
      <c r="E153" s="3" t="s">
        <v>14</v>
      </c>
      <c r="F153" s="6">
        <v>41</v>
      </c>
      <c r="G153" s="6">
        <v>33</v>
      </c>
      <c r="H153" s="6">
        <v>35.5</v>
      </c>
      <c r="I153" s="7" t="s">
        <v>4315</v>
      </c>
      <c r="J153" s="3" t="s">
        <v>4317</v>
      </c>
      <c r="K153" s="8" t="s">
        <v>4443</v>
      </c>
      <c r="L153" s="9" t="s">
        <v>373</v>
      </c>
      <c r="M153" s="1" t="s">
        <v>374</v>
      </c>
    </row>
    <row r="154" spans="1:13" x14ac:dyDescent="0.3">
      <c r="A154" s="3">
        <v>1219029</v>
      </c>
      <c r="B154" s="4" t="s">
        <v>297</v>
      </c>
      <c r="C154" s="5" t="s">
        <v>375</v>
      </c>
      <c r="D154" s="5" t="s">
        <v>74</v>
      </c>
      <c r="E154" s="3" t="s">
        <v>14</v>
      </c>
      <c r="F154" s="6">
        <v>41</v>
      </c>
      <c r="G154" s="6">
        <v>27</v>
      </c>
      <c r="H154" s="6">
        <v>0</v>
      </c>
      <c r="I154" s="7" t="s">
        <v>4315</v>
      </c>
      <c r="J154" s="3" t="s">
        <v>4317</v>
      </c>
      <c r="K154" s="8" t="s">
        <v>4405</v>
      </c>
      <c r="L154" s="9" t="s">
        <v>376</v>
      </c>
      <c r="M154" s="1" t="s">
        <v>377</v>
      </c>
    </row>
    <row r="155" spans="1:13" x14ac:dyDescent="0.3">
      <c r="A155" s="3">
        <v>1216030</v>
      </c>
      <c r="B155" s="4" t="s">
        <v>297</v>
      </c>
      <c r="C155" s="5" t="s">
        <v>378</v>
      </c>
      <c r="D155" s="5" t="s">
        <v>105</v>
      </c>
      <c r="E155" s="3" t="s">
        <v>378</v>
      </c>
      <c r="F155" s="6">
        <v>162</v>
      </c>
      <c r="G155" s="6">
        <v>69</v>
      </c>
      <c r="H155" s="6">
        <v>58.5</v>
      </c>
      <c r="I155" s="7" t="s">
        <v>6505</v>
      </c>
      <c r="J155" s="3" t="s">
        <v>4346</v>
      </c>
      <c r="K155" s="8">
        <v>1.39</v>
      </c>
      <c r="L155" s="9" t="s">
        <v>379</v>
      </c>
      <c r="M155" s="1" t="s">
        <v>6506</v>
      </c>
    </row>
    <row r="156" spans="1:13" x14ac:dyDescent="0.3">
      <c r="A156" s="3">
        <v>1211031</v>
      </c>
      <c r="B156" s="4" t="s">
        <v>297</v>
      </c>
      <c r="C156" s="5" t="s">
        <v>380</v>
      </c>
      <c r="D156" s="5" t="s">
        <v>154</v>
      </c>
      <c r="E156" s="3" t="s">
        <v>14</v>
      </c>
      <c r="F156" s="6">
        <v>59.5</v>
      </c>
      <c r="G156" s="6">
        <v>36.5</v>
      </c>
      <c r="H156" s="6">
        <v>29.6</v>
      </c>
      <c r="I156" s="7" t="s">
        <v>4316</v>
      </c>
      <c r="J156" s="3" t="s">
        <v>4318</v>
      </c>
      <c r="K156" s="8" t="s">
        <v>4444</v>
      </c>
      <c r="L156" s="9" t="s">
        <v>381</v>
      </c>
      <c r="M156" s="1" t="s">
        <v>382</v>
      </c>
    </row>
    <row r="157" spans="1:13" x14ac:dyDescent="0.3">
      <c r="A157" s="3">
        <v>1214032</v>
      </c>
      <c r="B157" s="4" t="s">
        <v>297</v>
      </c>
      <c r="C157" s="5" t="s">
        <v>383</v>
      </c>
      <c r="D157" s="5" t="s">
        <v>384</v>
      </c>
      <c r="E157" s="3" t="s">
        <v>14</v>
      </c>
      <c r="F157" s="6">
        <v>124</v>
      </c>
      <c r="G157" s="6">
        <v>116</v>
      </c>
      <c r="H157" s="6">
        <v>10</v>
      </c>
      <c r="I157" s="7" t="s">
        <v>4316</v>
      </c>
      <c r="J157" s="3" t="s">
        <v>4318</v>
      </c>
      <c r="K157" s="8" t="s">
        <v>4445</v>
      </c>
      <c r="L157" s="9" t="s">
        <v>385</v>
      </c>
      <c r="M157" s="1" t="s">
        <v>386</v>
      </c>
    </row>
    <row r="158" spans="1:13" x14ac:dyDescent="0.3">
      <c r="A158" s="3">
        <v>1231033</v>
      </c>
      <c r="B158" s="4" t="s">
        <v>297</v>
      </c>
      <c r="C158" s="5" t="s">
        <v>387</v>
      </c>
      <c r="D158" s="5" t="s">
        <v>261</v>
      </c>
      <c r="E158" s="3" t="s">
        <v>14</v>
      </c>
      <c r="F158" s="6">
        <v>24</v>
      </c>
      <c r="G158" s="6">
        <v>16</v>
      </c>
      <c r="H158" s="6">
        <v>69</v>
      </c>
      <c r="I158" s="7" t="s">
        <v>4315</v>
      </c>
      <c r="J158" s="3" t="s">
        <v>4317</v>
      </c>
      <c r="K158" s="8" t="s">
        <v>4358</v>
      </c>
      <c r="L158" s="9" t="s">
        <v>388</v>
      </c>
      <c r="M158" s="1" t="s">
        <v>389</v>
      </c>
    </row>
    <row r="159" spans="1:13" x14ac:dyDescent="0.3">
      <c r="A159" s="3">
        <v>1219034</v>
      </c>
      <c r="B159" s="4" t="s">
        <v>297</v>
      </c>
      <c r="C159" s="5" t="s">
        <v>378</v>
      </c>
      <c r="D159" s="5" t="s">
        <v>74</v>
      </c>
      <c r="E159" s="3" t="s">
        <v>14</v>
      </c>
      <c r="F159" s="6">
        <v>160</v>
      </c>
      <c r="G159" s="6">
        <v>37</v>
      </c>
      <c r="H159" s="6">
        <v>0</v>
      </c>
      <c r="I159" s="7" t="s">
        <v>4315</v>
      </c>
      <c r="J159" s="3" t="s">
        <v>4317</v>
      </c>
      <c r="K159" s="8" t="s">
        <v>4417</v>
      </c>
      <c r="L159" s="9" t="s">
        <v>390</v>
      </c>
      <c r="M159" s="1" t="s">
        <v>391</v>
      </c>
    </row>
    <row r="160" spans="1:13" x14ac:dyDescent="0.3">
      <c r="A160" s="3">
        <v>1214035</v>
      </c>
      <c r="B160" s="4" t="s">
        <v>297</v>
      </c>
      <c r="C160" s="5" t="s">
        <v>372</v>
      </c>
      <c r="D160" s="5" t="s">
        <v>392</v>
      </c>
      <c r="E160" s="3" t="s">
        <v>14</v>
      </c>
      <c r="F160" s="6">
        <v>104.5</v>
      </c>
      <c r="G160" s="6">
        <v>104.5</v>
      </c>
      <c r="H160" s="6">
        <v>10</v>
      </c>
      <c r="I160" s="7" t="s">
        <v>4315</v>
      </c>
      <c r="J160" s="3" t="s">
        <v>4317</v>
      </c>
      <c r="K160" s="8" t="s">
        <v>4325</v>
      </c>
      <c r="L160" s="9" t="s">
        <v>393</v>
      </c>
      <c r="M160" s="1" t="s">
        <v>394</v>
      </c>
    </row>
    <row r="161" spans="1:13" x14ac:dyDescent="0.3">
      <c r="A161" s="3">
        <v>1220036</v>
      </c>
      <c r="B161" s="4" t="s">
        <v>297</v>
      </c>
      <c r="C161" s="5" t="s">
        <v>395</v>
      </c>
      <c r="D161" s="5" t="s">
        <v>264</v>
      </c>
      <c r="E161" s="3" t="s">
        <v>395</v>
      </c>
      <c r="F161" s="6">
        <v>159</v>
      </c>
      <c r="G161" s="6">
        <v>21.5</v>
      </c>
      <c r="H161" s="6">
        <v>0</v>
      </c>
      <c r="I161" s="7" t="s">
        <v>4316</v>
      </c>
      <c r="J161" s="3" t="s">
        <v>4318</v>
      </c>
      <c r="K161" s="8" t="s">
        <v>4450</v>
      </c>
      <c r="L161" s="9" t="s">
        <v>396</v>
      </c>
      <c r="M161" s="1" t="s">
        <v>397</v>
      </c>
    </row>
    <row r="162" spans="1:13" x14ac:dyDescent="0.3">
      <c r="A162" s="3">
        <v>1216041</v>
      </c>
      <c r="B162" s="4" t="s">
        <v>297</v>
      </c>
      <c r="C162" s="5" t="s">
        <v>400</v>
      </c>
      <c r="D162" s="5" t="s">
        <v>105</v>
      </c>
      <c r="E162" s="3" t="s">
        <v>14</v>
      </c>
      <c r="F162" s="6">
        <v>159.5</v>
      </c>
      <c r="G162" s="6">
        <v>69.5</v>
      </c>
      <c r="H162" s="6">
        <v>58</v>
      </c>
      <c r="I162" s="7" t="s">
        <v>4373</v>
      </c>
      <c r="J162" s="3" t="s">
        <v>4377</v>
      </c>
      <c r="K162" s="8" t="s">
        <v>4454</v>
      </c>
      <c r="L162" s="9" t="s">
        <v>401</v>
      </c>
      <c r="M162" s="1" t="s">
        <v>402</v>
      </c>
    </row>
    <row r="163" spans="1:13" x14ac:dyDescent="0.3">
      <c r="A163" s="3">
        <v>1210042</v>
      </c>
      <c r="B163" s="4" t="s">
        <v>297</v>
      </c>
      <c r="C163" s="5" t="s">
        <v>323</v>
      </c>
      <c r="D163" s="5" t="s">
        <v>96</v>
      </c>
      <c r="E163" s="3" t="s">
        <v>323</v>
      </c>
      <c r="F163" s="6">
        <v>60</v>
      </c>
      <c r="G163" s="6">
        <v>56.5</v>
      </c>
      <c r="H163" s="6">
        <v>28.8</v>
      </c>
      <c r="I163" s="7" t="s">
        <v>4446</v>
      </c>
      <c r="J163" s="3" t="s">
        <v>4318</v>
      </c>
      <c r="K163" s="8" t="s">
        <v>4455</v>
      </c>
      <c r="L163" s="9" t="s">
        <v>403</v>
      </c>
      <c r="M163" s="1" t="s">
        <v>404</v>
      </c>
    </row>
    <row r="164" spans="1:13" x14ac:dyDescent="0.3">
      <c r="A164" s="3">
        <v>1220044</v>
      </c>
      <c r="B164" s="4" t="s">
        <v>297</v>
      </c>
      <c r="C164" s="5" t="s">
        <v>405</v>
      </c>
      <c r="D164" s="5" t="s">
        <v>264</v>
      </c>
      <c r="E164" s="3" t="s">
        <v>406</v>
      </c>
      <c r="F164" s="6">
        <v>111</v>
      </c>
      <c r="G164" s="6">
        <v>10.5</v>
      </c>
      <c r="H164" s="6">
        <v>0</v>
      </c>
      <c r="I164" s="7" t="s">
        <v>4316</v>
      </c>
      <c r="J164" s="3" t="s">
        <v>4318</v>
      </c>
      <c r="K164" s="8" t="s">
        <v>4425</v>
      </c>
      <c r="L164" s="9" t="s">
        <v>407</v>
      </c>
      <c r="M164" s="1" t="s">
        <v>408</v>
      </c>
    </row>
    <row r="165" spans="1:13" x14ac:dyDescent="0.3">
      <c r="A165" s="3">
        <v>12200444</v>
      </c>
      <c r="B165" s="4" t="s">
        <v>297</v>
      </c>
      <c r="C165" s="5" t="s">
        <v>409</v>
      </c>
      <c r="D165" s="5" t="s">
        <v>264</v>
      </c>
      <c r="E165" s="3" t="s">
        <v>410</v>
      </c>
      <c r="F165" s="6">
        <v>104</v>
      </c>
      <c r="G165" s="6">
        <v>10.5</v>
      </c>
      <c r="H165" s="6">
        <v>0</v>
      </c>
      <c r="I165" s="7" t="s">
        <v>4316</v>
      </c>
      <c r="J165" s="3" t="s">
        <v>4318</v>
      </c>
      <c r="K165" s="8" t="s">
        <v>4405</v>
      </c>
      <c r="L165" s="9" t="s">
        <v>407</v>
      </c>
      <c r="M165" s="1" t="s">
        <v>411</v>
      </c>
    </row>
    <row r="166" spans="1:13" x14ac:dyDescent="0.3">
      <c r="A166" s="3">
        <v>1220045</v>
      </c>
      <c r="B166" s="4" t="s">
        <v>297</v>
      </c>
      <c r="C166" s="5" t="s">
        <v>412</v>
      </c>
      <c r="D166" s="5" t="s">
        <v>264</v>
      </c>
      <c r="E166" s="3" t="s">
        <v>406</v>
      </c>
      <c r="F166" s="6">
        <v>104</v>
      </c>
      <c r="G166" s="6">
        <v>68</v>
      </c>
      <c r="H166" s="6">
        <v>0</v>
      </c>
      <c r="I166" s="7" t="s">
        <v>4447</v>
      </c>
      <c r="J166" s="3" t="s">
        <v>4317</v>
      </c>
      <c r="K166" s="8" t="s">
        <v>4389</v>
      </c>
      <c r="L166" s="9" t="s">
        <v>413</v>
      </c>
      <c r="M166" s="1" t="s">
        <v>414</v>
      </c>
    </row>
    <row r="167" spans="1:13" x14ac:dyDescent="0.3">
      <c r="A167" s="3">
        <v>12200045</v>
      </c>
      <c r="B167" s="4" t="s">
        <v>297</v>
      </c>
      <c r="C167" s="5" t="s">
        <v>415</v>
      </c>
      <c r="D167" s="5" t="s">
        <v>264</v>
      </c>
      <c r="E167" s="3" t="s">
        <v>410</v>
      </c>
      <c r="F167" s="6">
        <v>111</v>
      </c>
      <c r="G167" s="6">
        <v>68</v>
      </c>
      <c r="H167" s="6">
        <v>0</v>
      </c>
      <c r="I167" s="7" t="s">
        <v>4447</v>
      </c>
      <c r="J167" s="3" t="s">
        <v>4317</v>
      </c>
      <c r="K167" s="8" t="s">
        <v>4457</v>
      </c>
      <c r="L167" s="9" t="s">
        <v>413</v>
      </c>
      <c r="M167" s="1" t="s">
        <v>416</v>
      </c>
    </row>
    <row r="168" spans="1:13" x14ac:dyDescent="0.3">
      <c r="A168" s="3">
        <v>1219046</v>
      </c>
      <c r="B168" s="4" t="s">
        <v>297</v>
      </c>
      <c r="C168" s="5" t="s">
        <v>417</v>
      </c>
      <c r="D168" s="5" t="s">
        <v>74</v>
      </c>
      <c r="E168" s="3" t="s">
        <v>410</v>
      </c>
      <c r="F168" s="6">
        <v>104</v>
      </c>
      <c r="G168" s="6">
        <v>68</v>
      </c>
      <c r="H168" s="6">
        <v>0</v>
      </c>
      <c r="I168" s="7" t="s">
        <v>4316</v>
      </c>
      <c r="J168" s="3" t="s">
        <v>4318</v>
      </c>
      <c r="K168" s="8" t="s">
        <v>4424</v>
      </c>
      <c r="L168" s="9" t="s">
        <v>418</v>
      </c>
      <c r="M168" s="1" t="s">
        <v>419</v>
      </c>
    </row>
    <row r="169" spans="1:13" x14ac:dyDescent="0.3">
      <c r="A169" s="3">
        <v>1219047</v>
      </c>
      <c r="B169" s="4" t="s">
        <v>297</v>
      </c>
      <c r="C169" s="5" t="s">
        <v>420</v>
      </c>
      <c r="D169" s="5" t="s">
        <v>74</v>
      </c>
      <c r="E169" s="3" t="s">
        <v>410</v>
      </c>
      <c r="F169" s="6">
        <v>111</v>
      </c>
      <c r="G169" s="6">
        <v>68</v>
      </c>
      <c r="H169" s="6">
        <v>0</v>
      </c>
      <c r="I169" s="7" t="s">
        <v>4448</v>
      </c>
      <c r="J169" s="3" t="s">
        <v>4318</v>
      </c>
      <c r="K169" s="8" t="s">
        <v>4405</v>
      </c>
      <c r="L169" s="9" t="s">
        <v>421</v>
      </c>
      <c r="M169" s="1" t="s">
        <v>422</v>
      </c>
    </row>
    <row r="170" spans="1:13" x14ac:dyDescent="0.3">
      <c r="A170" s="3">
        <v>1219048</v>
      </c>
      <c r="B170" s="4" t="s">
        <v>297</v>
      </c>
      <c r="C170" s="5" t="s">
        <v>423</v>
      </c>
      <c r="D170" s="5" t="s">
        <v>74</v>
      </c>
      <c r="E170" s="3" t="s">
        <v>410</v>
      </c>
      <c r="F170" s="6">
        <v>121.9</v>
      </c>
      <c r="G170" s="6">
        <v>114.3</v>
      </c>
      <c r="H170" s="6">
        <v>106</v>
      </c>
      <c r="I170" s="7" t="s">
        <v>4345</v>
      </c>
      <c r="J170" s="3" t="s">
        <v>4347</v>
      </c>
      <c r="K170" s="8" t="s">
        <v>4458</v>
      </c>
      <c r="L170" s="9" t="s">
        <v>424</v>
      </c>
      <c r="M170" s="1" t="s">
        <v>425</v>
      </c>
    </row>
    <row r="171" spans="1:13" x14ac:dyDescent="0.3">
      <c r="A171" s="3">
        <v>1219049</v>
      </c>
      <c r="B171" s="4" t="s">
        <v>297</v>
      </c>
      <c r="C171" s="5" t="s">
        <v>426</v>
      </c>
      <c r="D171" s="5" t="s">
        <v>74</v>
      </c>
      <c r="E171" s="3" t="s">
        <v>323</v>
      </c>
      <c r="F171" s="6">
        <v>119.6</v>
      </c>
      <c r="G171" s="6">
        <v>104.5</v>
      </c>
      <c r="H171" s="6">
        <v>0</v>
      </c>
      <c r="I171" s="7" t="s">
        <v>4316</v>
      </c>
      <c r="J171" s="3" t="s">
        <v>4318</v>
      </c>
      <c r="K171" s="8" t="s">
        <v>4459</v>
      </c>
      <c r="L171" s="9" t="s">
        <v>427</v>
      </c>
      <c r="M171" s="1" t="s">
        <v>428</v>
      </c>
    </row>
    <row r="172" spans="1:13" x14ac:dyDescent="0.3">
      <c r="A172" s="3">
        <v>1217050</v>
      </c>
      <c r="B172" s="4" t="s">
        <v>297</v>
      </c>
      <c r="C172" s="5" t="s">
        <v>429</v>
      </c>
      <c r="D172" s="5" t="s">
        <v>86</v>
      </c>
      <c r="E172" s="3" t="s">
        <v>430</v>
      </c>
      <c r="F172" s="6">
        <v>112</v>
      </c>
      <c r="G172" s="6">
        <v>104.5</v>
      </c>
      <c r="H172" s="6">
        <v>0</v>
      </c>
      <c r="I172" s="7" t="s">
        <v>4316</v>
      </c>
      <c r="J172" s="3" t="s">
        <v>4318</v>
      </c>
      <c r="K172" s="8" t="s">
        <v>4460</v>
      </c>
      <c r="L172" s="9" t="s">
        <v>431</v>
      </c>
      <c r="M172" s="1" t="s">
        <v>432</v>
      </c>
    </row>
    <row r="173" spans="1:13" x14ac:dyDescent="0.3">
      <c r="A173" s="3">
        <v>1220051</v>
      </c>
      <c r="B173" s="4" t="s">
        <v>297</v>
      </c>
      <c r="C173" s="5" t="s">
        <v>433</v>
      </c>
      <c r="D173" s="5" t="s">
        <v>264</v>
      </c>
      <c r="E173" s="3" t="s">
        <v>430</v>
      </c>
      <c r="F173" s="6">
        <v>119</v>
      </c>
      <c r="G173" s="6">
        <v>112</v>
      </c>
      <c r="H173" s="6">
        <v>0</v>
      </c>
      <c r="I173" s="7" t="s">
        <v>4316</v>
      </c>
      <c r="J173" s="3" t="s">
        <v>4318</v>
      </c>
      <c r="K173" s="8" t="s">
        <v>4461</v>
      </c>
      <c r="L173" s="9" t="s">
        <v>434</v>
      </c>
      <c r="M173" s="1" t="s">
        <v>435</v>
      </c>
    </row>
    <row r="174" spans="1:13" x14ac:dyDescent="0.3">
      <c r="A174" s="3">
        <v>1221052</v>
      </c>
      <c r="B174" s="4" t="s">
        <v>297</v>
      </c>
      <c r="C174" s="5" t="s">
        <v>436</v>
      </c>
      <c r="D174" s="5" t="s">
        <v>267</v>
      </c>
      <c r="E174" s="3" t="s">
        <v>430</v>
      </c>
      <c r="F174" s="6">
        <v>123.9</v>
      </c>
      <c r="G174" s="6">
        <v>116.5</v>
      </c>
      <c r="H174" s="6">
        <v>10.7</v>
      </c>
      <c r="I174" s="7" t="s">
        <v>4316</v>
      </c>
      <c r="J174" s="3" t="s">
        <v>4318</v>
      </c>
      <c r="K174" s="8" t="s">
        <v>4463</v>
      </c>
      <c r="L174" s="9" t="s">
        <v>437</v>
      </c>
      <c r="M174" s="1" t="s">
        <v>438</v>
      </c>
    </row>
    <row r="175" spans="1:13" x14ac:dyDescent="0.3">
      <c r="A175" s="3">
        <v>1219053</v>
      </c>
      <c r="B175" s="4" t="s">
        <v>297</v>
      </c>
      <c r="C175" s="5" t="s">
        <v>429</v>
      </c>
      <c r="D175" s="5" t="s">
        <v>74</v>
      </c>
      <c r="E175" s="3" t="s">
        <v>430</v>
      </c>
      <c r="F175" s="6">
        <v>59</v>
      </c>
      <c r="G175" s="6">
        <v>55.5</v>
      </c>
      <c r="H175" s="6">
        <v>0</v>
      </c>
      <c r="I175" s="7" t="s">
        <v>4449</v>
      </c>
      <c r="J175" s="3" t="s">
        <v>4423</v>
      </c>
      <c r="K175" s="8" t="s">
        <v>4439</v>
      </c>
      <c r="L175" s="9" t="s">
        <v>439</v>
      </c>
      <c r="M175" s="1" t="s">
        <v>440</v>
      </c>
    </row>
    <row r="176" spans="1:13" x14ac:dyDescent="0.3">
      <c r="A176" s="3">
        <v>1218054</v>
      </c>
      <c r="B176" s="4" t="s">
        <v>297</v>
      </c>
      <c r="C176" s="5" t="s">
        <v>429</v>
      </c>
      <c r="D176" s="5" t="s">
        <v>441</v>
      </c>
      <c r="E176" s="3" t="s">
        <v>430</v>
      </c>
      <c r="F176" s="6">
        <v>56</v>
      </c>
      <c r="G176" s="6">
        <v>26</v>
      </c>
      <c r="H176" s="6">
        <v>0</v>
      </c>
      <c r="I176" s="7" t="s">
        <v>4449</v>
      </c>
      <c r="J176" s="3" t="s">
        <v>4423</v>
      </c>
      <c r="K176" s="8" t="s">
        <v>4452</v>
      </c>
      <c r="L176" s="9" t="s">
        <v>442</v>
      </c>
      <c r="M176" s="1" t="s">
        <v>443</v>
      </c>
    </row>
    <row r="177" spans="1:13" x14ac:dyDescent="0.3">
      <c r="A177" s="3">
        <v>1214055</v>
      </c>
      <c r="B177" s="4" t="s">
        <v>297</v>
      </c>
      <c r="C177" s="5" t="s">
        <v>429</v>
      </c>
      <c r="D177" s="5" t="s">
        <v>392</v>
      </c>
      <c r="E177" s="3" t="s">
        <v>430</v>
      </c>
      <c r="F177" s="6">
        <v>124</v>
      </c>
      <c r="G177" s="6">
        <v>116</v>
      </c>
      <c r="H177" s="6">
        <v>10</v>
      </c>
      <c r="I177" s="7">
        <v>42</v>
      </c>
      <c r="J177" s="3" t="s">
        <v>4318</v>
      </c>
      <c r="K177" s="8">
        <v>1.96</v>
      </c>
      <c r="L177" s="9" t="s">
        <v>444</v>
      </c>
      <c r="M177" s="1" t="s">
        <v>7996</v>
      </c>
    </row>
    <row r="178" spans="1:13" x14ac:dyDescent="0.3">
      <c r="A178" s="3">
        <v>1219056</v>
      </c>
      <c r="B178" s="4" t="s">
        <v>297</v>
      </c>
      <c r="C178" s="5" t="s">
        <v>445</v>
      </c>
      <c r="D178" s="5" t="s">
        <v>74</v>
      </c>
      <c r="E178" s="3" t="s">
        <v>363</v>
      </c>
      <c r="F178" s="6">
        <v>59</v>
      </c>
      <c r="G178" s="6">
        <v>44</v>
      </c>
      <c r="H178" s="6">
        <v>0</v>
      </c>
      <c r="I178" s="7" t="s">
        <v>4449</v>
      </c>
      <c r="J178" s="3" t="s">
        <v>4423</v>
      </c>
      <c r="K178" s="8" t="s">
        <v>4464</v>
      </c>
      <c r="L178" s="9" t="s">
        <v>446</v>
      </c>
      <c r="M178" s="1" t="s">
        <v>447</v>
      </c>
    </row>
    <row r="179" spans="1:13" x14ac:dyDescent="0.3">
      <c r="A179" s="3">
        <v>1219057</v>
      </c>
      <c r="B179" s="4" t="s">
        <v>297</v>
      </c>
      <c r="C179" s="5" t="s">
        <v>448</v>
      </c>
      <c r="D179" s="5" t="s">
        <v>74</v>
      </c>
      <c r="E179" s="3" t="s">
        <v>449</v>
      </c>
      <c r="F179" s="6">
        <v>59</v>
      </c>
      <c r="G179" s="6">
        <v>55.5</v>
      </c>
      <c r="H179" s="6">
        <v>0</v>
      </c>
      <c r="I179" s="7" t="s">
        <v>4449</v>
      </c>
      <c r="J179" s="3" t="s">
        <v>4423</v>
      </c>
      <c r="K179" s="8" t="s">
        <v>4439</v>
      </c>
      <c r="L179" s="9" t="s">
        <v>450</v>
      </c>
      <c r="M179" s="1" t="s">
        <v>451</v>
      </c>
    </row>
    <row r="180" spans="1:13" x14ac:dyDescent="0.3">
      <c r="A180" s="3">
        <v>1219058</v>
      </c>
      <c r="B180" s="4" t="s">
        <v>297</v>
      </c>
      <c r="C180" s="5" t="s">
        <v>452</v>
      </c>
      <c r="D180" s="5" t="s">
        <v>74</v>
      </c>
      <c r="E180" s="3" t="s">
        <v>453</v>
      </c>
      <c r="F180" s="6">
        <v>56</v>
      </c>
      <c r="G180" s="6">
        <v>26</v>
      </c>
      <c r="H180" s="6">
        <v>0</v>
      </c>
      <c r="I180" s="7" t="s">
        <v>4449</v>
      </c>
      <c r="J180" s="3" t="s">
        <v>4423</v>
      </c>
      <c r="K180" s="8" t="s">
        <v>4452</v>
      </c>
      <c r="L180" s="9" t="s">
        <v>454</v>
      </c>
      <c r="M180" s="1" t="s">
        <v>455</v>
      </c>
    </row>
    <row r="181" spans="1:13" x14ac:dyDescent="0.3">
      <c r="A181" s="3">
        <v>1219059</v>
      </c>
      <c r="B181" s="4" t="s">
        <v>297</v>
      </c>
      <c r="C181" s="5" t="s">
        <v>456</v>
      </c>
      <c r="D181" s="5" t="s">
        <v>74</v>
      </c>
      <c r="E181" s="3" t="s">
        <v>363</v>
      </c>
      <c r="F181" s="6">
        <v>59</v>
      </c>
      <c r="G181" s="6">
        <v>26</v>
      </c>
      <c r="H181" s="6">
        <v>0</v>
      </c>
      <c r="I181" s="7" t="s">
        <v>4449</v>
      </c>
      <c r="J181" s="3" t="s">
        <v>4423</v>
      </c>
      <c r="K181" s="8" t="s">
        <v>4452</v>
      </c>
      <c r="L181" s="9" t="s">
        <v>457</v>
      </c>
      <c r="M181" s="1" t="s">
        <v>458</v>
      </c>
    </row>
    <row r="182" spans="1:13" x14ac:dyDescent="0.3">
      <c r="A182" s="3">
        <v>1219060</v>
      </c>
      <c r="B182" s="4" t="s">
        <v>297</v>
      </c>
      <c r="C182" s="5" t="s">
        <v>459</v>
      </c>
      <c r="D182" s="5" t="s">
        <v>74</v>
      </c>
      <c r="E182" s="3" t="s">
        <v>366</v>
      </c>
      <c r="F182" s="6">
        <v>58</v>
      </c>
      <c r="G182" s="6">
        <v>35</v>
      </c>
      <c r="H182" s="6">
        <v>0</v>
      </c>
      <c r="I182" s="7" t="s">
        <v>4421</v>
      </c>
      <c r="J182" s="3" t="s">
        <v>4423</v>
      </c>
      <c r="K182" s="8" t="s">
        <v>4428</v>
      </c>
      <c r="L182" s="9" t="s">
        <v>460</v>
      </c>
      <c r="M182" s="1" t="s">
        <v>461</v>
      </c>
    </row>
    <row r="183" spans="1:13" x14ac:dyDescent="0.3">
      <c r="A183" s="3">
        <v>1219061</v>
      </c>
      <c r="B183" s="4" t="s">
        <v>297</v>
      </c>
      <c r="C183" s="5" t="s">
        <v>7692</v>
      </c>
      <c r="D183" s="5" t="s">
        <v>74</v>
      </c>
      <c r="E183" s="3" t="s">
        <v>7692</v>
      </c>
      <c r="F183" s="6">
        <v>55.5</v>
      </c>
      <c r="G183" s="6">
        <v>52</v>
      </c>
      <c r="H183" s="6">
        <v>0</v>
      </c>
      <c r="I183" s="7" t="s">
        <v>4449</v>
      </c>
      <c r="J183" s="3" t="s">
        <v>4423</v>
      </c>
      <c r="K183" s="8" t="s">
        <v>4465</v>
      </c>
      <c r="L183" s="9" t="s">
        <v>462</v>
      </c>
      <c r="M183" s="1" t="s">
        <v>463</v>
      </c>
    </row>
    <row r="184" spans="1:13" x14ac:dyDescent="0.3">
      <c r="A184" s="3">
        <v>1210062</v>
      </c>
      <c r="B184" s="4" t="s">
        <v>297</v>
      </c>
      <c r="C184" s="5" t="s">
        <v>464</v>
      </c>
      <c r="D184" s="5" t="s">
        <v>96</v>
      </c>
      <c r="E184" s="3" t="s">
        <v>465</v>
      </c>
      <c r="F184" s="6">
        <v>107</v>
      </c>
      <c r="G184" s="6">
        <v>79</v>
      </c>
      <c r="H184" s="6">
        <v>38</v>
      </c>
      <c r="I184" s="7" t="s">
        <v>4316</v>
      </c>
      <c r="J184" s="3" t="s">
        <v>4318</v>
      </c>
      <c r="K184" s="8" t="s">
        <v>4466</v>
      </c>
      <c r="L184" s="9" t="s">
        <v>466</v>
      </c>
      <c r="M184" s="24" t="s">
        <v>467</v>
      </c>
    </row>
    <row r="185" spans="1:13" x14ac:dyDescent="0.3">
      <c r="A185" s="3">
        <v>1210063</v>
      </c>
      <c r="B185" s="4" t="s">
        <v>297</v>
      </c>
      <c r="C185" s="5" t="s">
        <v>224</v>
      </c>
      <c r="D185" s="5" t="s">
        <v>96</v>
      </c>
      <c r="E185" s="3" t="s">
        <v>465</v>
      </c>
      <c r="F185" s="6">
        <v>107</v>
      </c>
      <c r="G185" s="6">
        <v>56</v>
      </c>
      <c r="H185" s="6">
        <v>38</v>
      </c>
      <c r="I185" s="7" t="s">
        <v>4316</v>
      </c>
      <c r="J185" s="3" t="s">
        <v>4318</v>
      </c>
      <c r="K185" s="8" t="s">
        <v>4467</v>
      </c>
      <c r="L185" s="9" t="s">
        <v>468</v>
      </c>
      <c r="M185" s="1" t="s">
        <v>469</v>
      </c>
    </row>
    <row r="186" spans="1:13" x14ac:dyDescent="0.3">
      <c r="A186" s="3">
        <v>1210064</v>
      </c>
      <c r="B186" s="4" t="s">
        <v>297</v>
      </c>
      <c r="C186" s="5" t="s">
        <v>470</v>
      </c>
      <c r="D186" s="5" t="s">
        <v>96</v>
      </c>
      <c r="E186" s="3" t="s">
        <v>465</v>
      </c>
      <c r="F186" s="6">
        <v>104</v>
      </c>
      <c r="G186" s="6">
        <v>48</v>
      </c>
      <c r="H186" s="6">
        <v>51</v>
      </c>
      <c r="I186" s="7" t="s">
        <v>4316</v>
      </c>
      <c r="J186" s="3" t="s">
        <v>4318</v>
      </c>
      <c r="K186" s="8" t="s">
        <v>4468</v>
      </c>
      <c r="L186" s="9" t="s">
        <v>471</v>
      </c>
      <c r="M186" s="1" t="s">
        <v>472</v>
      </c>
    </row>
    <row r="187" spans="1:13" x14ac:dyDescent="0.3">
      <c r="A187" s="3">
        <v>1219065</v>
      </c>
      <c r="B187" s="4" t="s">
        <v>297</v>
      </c>
      <c r="C187" s="5" t="s">
        <v>473</v>
      </c>
      <c r="D187" s="5" t="s">
        <v>74</v>
      </c>
      <c r="E187" s="3" t="s">
        <v>465</v>
      </c>
      <c r="F187" s="6">
        <v>101.5</v>
      </c>
      <c r="G187" s="6">
        <v>10</v>
      </c>
      <c r="H187" s="6">
        <v>0</v>
      </c>
      <c r="I187" s="7" t="s">
        <v>4315</v>
      </c>
      <c r="J187" s="3" t="s">
        <v>4317</v>
      </c>
      <c r="K187" s="8" t="s">
        <v>4430</v>
      </c>
      <c r="L187" s="9" t="s">
        <v>474</v>
      </c>
      <c r="M187" s="1" t="s">
        <v>475</v>
      </c>
    </row>
    <row r="188" spans="1:13" x14ac:dyDescent="0.3">
      <c r="A188" s="3">
        <v>1219066</v>
      </c>
      <c r="B188" s="4" t="s">
        <v>297</v>
      </c>
      <c r="C188" s="5" t="s">
        <v>476</v>
      </c>
      <c r="D188" s="5" t="s">
        <v>74</v>
      </c>
      <c r="E188" s="3" t="s">
        <v>465</v>
      </c>
      <c r="F188" s="6">
        <v>101.5</v>
      </c>
      <c r="G188" s="6">
        <v>46</v>
      </c>
      <c r="H188" s="6">
        <v>0</v>
      </c>
      <c r="I188" s="7" t="s">
        <v>4315</v>
      </c>
      <c r="J188" s="3" t="s">
        <v>4317</v>
      </c>
      <c r="K188" s="8" t="s">
        <v>4469</v>
      </c>
      <c r="L188" s="9" t="s">
        <v>477</v>
      </c>
      <c r="M188" s="1" t="s">
        <v>478</v>
      </c>
    </row>
    <row r="189" spans="1:13" x14ac:dyDescent="0.3">
      <c r="A189" s="3">
        <v>1215067</v>
      </c>
      <c r="B189" s="4" t="s">
        <v>297</v>
      </c>
      <c r="C189" s="5" t="s">
        <v>479</v>
      </c>
      <c r="D189" s="5" t="s">
        <v>78</v>
      </c>
      <c r="E189" s="3" t="s">
        <v>465</v>
      </c>
      <c r="F189" s="6">
        <v>68.5</v>
      </c>
      <c r="G189" s="6">
        <v>17.5</v>
      </c>
      <c r="H189" s="6">
        <v>128</v>
      </c>
      <c r="I189" s="7" t="s">
        <v>4316</v>
      </c>
      <c r="J189" s="3" t="s">
        <v>4318</v>
      </c>
      <c r="K189" s="8" t="s">
        <v>4470</v>
      </c>
      <c r="L189" s="9" t="s">
        <v>480</v>
      </c>
      <c r="M189" s="1" t="s">
        <v>481</v>
      </c>
    </row>
    <row r="190" spans="1:13" x14ac:dyDescent="0.3">
      <c r="A190" s="3">
        <v>1215068</v>
      </c>
      <c r="B190" s="4" t="s">
        <v>297</v>
      </c>
      <c r="C190" s="5" t="s">
        <v>482</v>
      </c>
      <c r="D190" s="5" t="s">
        <v>96</v>
      </c>
      <c r="E190" s="3" t="s">
        <v>483</v>
      </c>
      <c r="F190" s="6">
        <v>64</v>
      </c>
      <c r="G190" s="6">
        <v>56.5</v>
      </c>
      <c r="H190" s="6">
        <v>25</v>
      </c>
      <c r="I190" s="7" t="s">
        <v>4315</v>
      </c>
      <c r="J190" s="3" t="s">
        <v>4317</v>
      </c>
      <c r="K190" s="8" t="s">
        <v>4472</v>
      </c>
      <c r="L190" s="9" t="s">
        <v>484</v>
      </c>
      <c r="M190" s="1" t="s">
        <v>485</v>
      </c>
    </row>
    <row r="191" spans="1:13" x14ac:dyDescent="0.3">
      <c r="A191" s="3">
        <v>1215071</v>
      </c>
      <c r="B191" s="4" t="s">
        <v>297</v>
      </c>
      <c r="C191" s="5" t="s">
        <v>7500</v>
      </c>
      <c r="D191" s="5" t="s">
        <v>4792</v>
      </c>
      <c r="E191" s="3" t="s">
        <v>14</v>
      </c>
      <c r="F191" s="6">
        <v>113</v>
      </c>
      <c r="G191" s="6">
        <v>22.7</v>
      </c>
      <c r="H191" s="6" t="s">
        <v>14</v>
      </c>
      <c r="I191" s="7">
        <v>42</v>
      </c>
      <c r="J191" s="3" t="s">
        <v>4318</v>
      </c>
      <c r="K191" s="8">
        <v>0.26</v>
      </c>
      <c r="L191" s="9" t="s">
        <v>7504</v>
      </c>
      <c r="M191" s="1" t="s">
        <v>7508</v>
      </c>
    </row>
    <row r="192" spans="1:13" x14ac:dyDescent="0.3">
      <c r="A192" s="3">
        <v>1215072</v>
      </c>
      <c r="B192" s="4" t="s">
        <v>297</v>
      </c>
      <c r="C192" s="5" t="s">
        <v>7501</v>
      </c>
      <c r="D192" s="5" t="s">
        <v>4833</v>
      </c>
      <c r="E192" s="3" t="s">
        <v>14</v>
      </c>
      <c r="F192" s="6">
        <v>110.5</v>
      </c>
      <c r="G192" s="6">
        <v>16.5</v>
      </c>
      <c r="H192" s="6" t="s">
        <v>14</v>
      </c>
      <c r="I192" s="7">
        <v>42</v>
      </c>
      <c r="J192" s="3" t="s">
        <v>4318</v>
      </c>
      <c r="K192" s="8">
        <v>0.18</v>
      </c>
      <c r="L192" s="9" t="s">
        <v>7505</v>
      </c>
      <c r="M192" s="1" t="s">
        <v>7509</v>
      </c>
    </row>
    <row r="193" spans="1:13" x14ac:dyDescent="0.3">
      <c r="A193" s="3">
        <v>1215073</v>
      </c>
      <c r="B193" s="4" t="s">
        <v>297</v>
      </c>
      <c r="C193" s="5" t="s">
        <v>7502</v>
      </c>
      <c r="D193" s="5" t="s">
        <v>90</v>
      </c>
      <c r="E193" s="3" t="s">
        <v>14</v>
      </c>
      <c r="F193" s="6">
        <v>106.7</v>
      </c>
      <c r="G193" s="6">
        <v>22.7</v>
      </c>
      <c r="H193" s="6" t="s">
        <v>14</v>
      </c>
      <c r="I193" s="7">
        <v>42</v>
      </c>
      <c r="J193" s="3" t="s">
        <v>4318</v>
      </c>
      <c r="K193" s="8">
        <v>0.34</v>
      </c>
      <c r="L193" s="9" t="s">
        <v>7506</v>
      </c>
      <c r="M193" s="1" t="s">
        <v>7851</v>
      </c>
    </row>
    <row r="194" spans="1:13" x14ac:dyDescent="0.3">
      <c r="A194" s="3">
        <v>1215074</v>
      </c>
      <c r="B194" s="4" t="s">
        <v>297</v>
      </c>
      <c r="C194" s="5" t="s">
        <v>7503</v>
      </c>
      <c r="D194" s="5" t="s">
        <v>4792</v>
      </c>
      <c r="E194" s="3" t="s">
        <v>14</v>
      </c>
      <c r="F194" s="6">
        <v>104.1</v>
      </c>
      <c r="G194" s="6">
        <v>16.5</v>
      </c>
      <c r="H194" s="6" t="s">
        <v>14</v>
      </c>
      <c r="I194" s="7">
        <v>42</v>
      </c>
      <c r="J194" s="3" t="s">
        <v>4318</v>
      </c>
      <c r="K194" s="8">
        <v>0.17</v>
      </c>
      <c r="L194" s="9" t="s">
        <v>7507</v>
      </c>
      <c r="M194" s="1" t="s">
        <v>7511</v>
      </c>
    </row>
    <row r="195" spans="1:13" x14ac:dyDescent="0.3">
      <c r="A195" s="3">
        <v>1215077</v>
      </c>
      <c r="B195" s="4" t="s">
        <v>297</v>
      </c>
      <c r="C195" s="5" t="s">
        <v>7970</v>
      </c>
      <c r="D195" s="5" t="s">
        <v>4792</v>
      </c>
      <c r="E195" s="3" t="s">
        <v>7970</v>
      </c>
      <c r="F195" s="6">
        <v>111</v>
      </c>
      <c r="G195" s="6">
        <v>10.5</v>
      </c>
      <c r="H195" s="6" t="s">
        <v>14</v>
      </c>
      <c r="I195" s="7">
        <v>42</v>
      </c>
      <c r="J195" s="3" t="s">
        <v>4318</v>
      </c>
      <c r="K195" s="8">
        <v>0.12</v>
      </c>
      <c r="L195" s="9" t="s">
        <v>7971</v>
      </c>
      <c r="M195" s="1" t="s">
        <v>7972</v>
      </c>
    </row>
    <row r="196" spans="1:13" x14ac:dyDescent="0.3">
      <c r="A196" s="3">
        <v>1215078</v>
      </c>
      <c r="B196" s="4" t="s">
        <v>297</v>
      </c>
      <c r="C196" s="5" t="s">
        <v>486</v>
      </c>
      <c r="D196" s="5" t="s">
        <v>74</v>
      </c>
      <c r="E196" s="3" t="s">
        <v>14</v>
      </c>
      <c r="F196" s="6">
        <v>54</v>
      </c>
      <c r="G196" s="6">
        <v>51.5</v>
      </c>
      <c r="H196" s="6">
        <v>0</v>
      </c>
      <c r="I196" s="7" t="s">
        <v>4449</v>
      </c>
      <c r="J196" s="3" t="s">
        <v>4423</v>
      </c>
      <c r="K196" s="8">
        <v>0.28000000000000003</v>
      </c>
      <c r="L196" s="9" t="s">
        <v>487</v>
      </c>
      <c r="M196" s="1" t="s">
        <v>488</v>
      </c>
    </row>
    <row r="197" spans="1:13" x14ac:dyDescent="0.3">
      <c r="A197" s="3">
        <v>1215079</v>
      </c>
      <c r="B197" s="4" t="s">
        <v>297</v>
      </c>
      <c r="C197" s="5" t="s">
        <v>7510</v>
      </c>
      <c r="D197" s="5" t="s">
        <v>13</v>
      </c>
      <c r="E197" s="3" t="s">
        <v>378</v>
      </c>
      <c r="F197" s="6">
        <v>165.5</v>
      </c>
      <c r="G197" s="6">
        <v>72.5</v>
      </c>
      <c r="H197" s="6">
        <v>13</v>
      </c>
      <c r="I197" s="7">
        <v>51</v>
      </c>
      <c r="J197" s="3" t="s">
        <v>4318</v>
      </c>
      <c r="K197" s="8">
        <v>1.89</v>
      </c>
      <c r="L197" s="9" t="s">
        <v>4926</v>
      </c>
      <c r="M197" s="1"/>
    </row>
    <row r="198" spans="1:13" x14ac:dyDescent="0.3">
      <c r="A198" s="3">
        <v>1215080</v>
      </c>
      <c r="B198" s="4" t="s">
        <v>297</v>
      </c>
      <c r="C198" s="5" t="s">
        <v>4930</v>
      </c>
      <c r="D198" s="5" t="s">
        <v>4792</v>
      </c>
      <c r="E198" s="3" t="s">
        <v>4931</v>
      </c>
      <c r="F198" s="6">
        <v>160</v>
      </c>
      <c r="G198" s="6">
        <v>67</v>
      </c>
      <c r="H198" s="6">
        <v>17</v>
      </c>
      <c r="I198" s="7" t="s">
        <v>4344</v>
      </c>
      <c r="J198" s="3" t="s">
        <v>4377</v>
      </c>
      <c r="K198" s="8">
        <v>0.11</v>
      </c>
      <c r="L198" s="9" t="s">
        <v>4927</v>
      </c>
      <c r="M198" s="1" t="s">
        <v>4978</v>
      </c>
    </row>
    <row r="199" spans="1:13" x14ac:dyDescent="0.3">
      <c r="A199" s="3">
        <v>1215081</v>
      </c>
      <c r="B199" s="4" t="s">
        <v>297</v>
      </c>
      <c r="C199" s="5" t="s">
        <v>4932</v>
      </c>
      <c r="D199" s="5" t="s">
        <v>4792</v>
      </c>
      <c r="E199" s="3" t="s">
        <v>4933</v>
      </c>
      <c r="F199" s="6">
        <v>160</v>
      </c>
      <c r="G199" s="6">
        <v>67</v>
      </c>
      <c r="H199" s="6">
        <v>17</v>
      </c>
      <c r="I199" s="7" t="s">
        <v>4344</v>
      </c>
      <c r="J199" s="3" t="s">
        <v>4377</v>
      </c>
      <c r="K199" s="8">
        <v>0.27</v>
      </c>
      <c r="L199" s="9" t="s">
        <v>4928</v>
      </c>
      <c r="M199" s="1" t="s">
        <v>4979</v>
      </c>
    </row>
    <row r="200" spans="1:13" x14ac:dyDescent="0.3">
      <c r="A200" s="3">
        <v>1215082</v>
      </c>
      <c r="B200" s="4" t="s">
        <v>297</v>
      </c>
      <c r="C200" s="5" t="s">
        <v>4934</v>
      </c>
      <c r="D200" s="5" t="s">
        <v>74</v>
      </c>
      <c r="E200" s="3" t="s">
        <v>378</v>
      </c>
      <c r="F200" s="6">
        <v>160</v>
      </c>
      <c r="G200" s="6">
        <v>67.5</v>
      </c>
      <c r="H200" s="6"/>
      <c r="I200" s="7" t="s">
        <v>4344</v>
      </c>
      <c r="J200" s="3" t="s">
        <v>4377</v>
      </c>
      <c r="K200" s="8">
        <v>1.08</v>
      </c>
      <c r="L200" s="9" t="s">
        <v>4929</v>
      </c>
      <c r="M200" s="1" t="s">
        <v>4980</v>
      </c>
    </row>
    <row r="201" spans="1:13" x14ac:dyDescent="0.3">
      <c r="A201" s="3">
        <v>1215083</v>
      </c>
      <c r="B201" s="4" t="s">
        <v>297</v>
      </c>
      <c r="C201" s="5" t="s">
        <v>4935</v>
      </c>
      <c r="D201" s="5" t="s">
        <v>682</v>
      </c>
      <c r="E201" s="3" t="s">
        <v>4935</v>
      </c>
      <c r="F201" s="6">
        <v>159.5</v>
      </c>
      <c r="G201" s="6">
        <v>69.5</v>
      </c>
      <c r="H201" s="6">
        <v>58</v>
      </c>
      <c r="I201" s="7" t="s">
        <v>4344</v>
      </c>
      <c r="J201" s="3" t="s">
        <v>4377</v>
      </c>
      <c r="K201" s="8">
        <v>2.06</v>
      </c>
      <c r="L201" s="9" t="s">
        <v>4945</v>
      </c>
      <c r="M201" s="1" t="s">
        <v>4981</v>
      </c>
    </row>
    <row r="202" spans="1:13" x14ac:dyDescent="0.3">
      <c r="A202" s="3">
        <v>1215084</v>
      </c>
      <c r="B202" s="4" t="s">
        <v>297</v>
      </c>
      <c r="C202" s="5" t="s">
        <v>5158</v>
      </c>
      <c r="D202" s="5" t="s">
        <v>682</v>
      </c>
      <c r="E202" s="3" t="s">
        <v>5159</v>
      </c>
      <c r="F202" s="6">
        <v>8</v>
      </c>
      <c r="G202" s="6">
        <v>19</v>
      </c>
      <c r="H202" s="6">
        <v>69</v>
      </c>
      <c r="I202" s="7">
        <v>32</v>
      </c>
      <c r="J202" s="3" t="s">
        <v>4317</v>
      </c>
      <c r="K202" s="8">
        <v>0.22</v>
      </c>
      <c r="L202" s="9" t="s">
        <v>5157</v>
      </c>
      <c r="M202" s="1" t="s">
        <v>5160</v>
      </c>
    </row>
    <row r="203" spans="1:13" x14ac:dyDescent="0.3">
      <c r="A203" s="3">
        <v>1215085</v>
      </c>
      <c r="B203" s="4" t="s">
        <v>297</v>
      </c>
      <c r="C203" s="5" t="s">
        <v>5182</v>
      </c>
      <c r="D203" s="5" t="s">
        <v>86</v>
      </c>
      <c r="E203" s="3" t="s">
        <v>5183</v>
      </c>
      <c r="F203" s="6">
        <v>128</v>
      </c>
      <c r="G203" s="6">
        <v>115</v>
      </c>
      <c r="H203" s="6">
        <v>80</v>
      </c>
      <c r="I203" s="7">
        <v>51</v>
      </c>
      <c r="J203" s="3" t="s">
        <v>4318</v>
      </c>
      <c r="K203" s="8">
        <v>2.59</v>
      </c>
      <c r="L203" s="9" t="s">
        <v>5176</v>
      </c>
      <c r="M203" s="1" t="s">
        <v>5189</v>
      </c>
    </row>
    <row r="204" spans="1:13" x14ac:dyDescent="0.3">
      <c r="A204" s="3">
        <v>1215086</v>
      </c>
      <c r="B204" s="4" t="s">
        <v>297</v>
      </c>
      <c r="C204" s="5" t="s">
        <v>5184</v>
      </c>
      <c r="D204" s="5" t="s">
        <v>5069</v>
      </c>
      <c r="E204" s="3" t="s">
        <v>5183</v>
      </c>
      <c r="F204" s="6">
        <v>125</v>
      </c>
      <c r="G204" s="6">
        <v>112</v>
      </c>
      <c r="H204" s="6" t="s">
        <v>14</v>
      </c>
      <c r="I204" s="7">
        <v>42</v>
      </c>
      <c r="J204" s="3" t="s">
        <v>4318</v>
      </c>
      <c r="K204" s="8">
        <v>1.4</v>
      </c>
      <c r="L204" s="9" t="s">
        <v>5177</v>
      </c>
      <c r="M204" s="1" t="s">
        <v>5190</v>
      </c>
    </row>
    <row r="205" spans="1:13" x14ac:dyDescent="0.3">
      <c r="A205" s="3">
        <v>1215087</v>
      </c>
      <c r="B205" s="4" t="s">
        <v>297</v>
      </c>
      <c r="C205" s="5" t="s">
        <v>5185</v>
      </c>
      <c r="D205" s="5" t="s">
        <v>74</v>
      </c>
      <c r="E205" s="3" t="s">
        <v>5183</v>
      </c>
      <c r="F205" s="6">
        <v>125</v>
      </c>
      <c r="G205" s="6">
        <v>79</v>
      </c>
      <c r="H205" s="6" t="s">
        <v>14</v>
      </c>
      <c r="I205" s="7">
        <v>32</v>
      </c>
      <c r="J205" s="3" t="s">
        <v>4317</v>
      </c>
      <c r="K205" s="8">
        <v>0.99</v>
      </c>
      <c r="L205" s="9" t="s">
        <v>5178</v>
      </c>
      <c r="M205" s="1" t="s">
        <v>5191</v>
      </c>
    </row>
    <row r="206" spans="1:13" x14ac:dyDescent="0.3">
      <c r="A206" s="3">
        <v>1215088</v>
      </c>
      <c r="B206" s="4" t="s">
        <v>297</v>
      </c>
      <c r="C206" s="5" t="s">
        <v>5186</v>
      </c>
      <c r="D206" s="5" t="s">
        <v>552</v>
      </c>
      <c r="E206" s="3" t="s">
        <v>5183</v>
      </c>
      <c r="F206" s="6">
        <v>7.5</v>
      </c>
      <c r="G206" s="6">
        <v>7.5</v>
      </c>
      <c r="H206" s="6">
        <v>80</v>
      </c>
      <c r="I206" s="7" t="s">
        <v>14</v>
      </c>
      <c r="J206" s="3" t="s">
        <v>14</v>
      </c>
      <c r="K206" s="8" t="s">
        <v>14</v>
      </c>
      <c r="L206" s="9" t="s">
        <v>5179</v>
      </c>
      <c r="M206" s="1" t="s">
        <v>5192</v>
      </c>
    </row>
    <row r="207" spans="1:13" x14ac:dyDescent="0.3">
      <c r="A207" s="3">
        <v>1215089</v>
      </c>
      <c r="B207" s="4" t="s">
        <v>297</v>
      </c>
      <c r="C207" s="5" t="s">
        <v>5187</v>
      </c>
      <c r="D207" s="5" t="s">
        <v>13</v>
      </c>
      <c r="E207" s="3" t="s">
        <v>5183</v>
      </c>
      <c r="F207" s="6">
        <v>125.5</v>
      </c>
      <c r="G207" s="6">
        <v>116.5</v>
      </c>
      <c r="H207" s="6">
        <v>10</v>
      </c>
      <c r="I207" s="7">
        <v>32</v>
      </c>
      <c r="J207" s="3" t="s">
        <v>4317</v>
      </c>
      <c r="K207" s="8">
        <v>2.1</v>
      </c>
      <c r="L207" s="9" t="s">
        <v>5180</v>
      </c>
      <c r="M207" s="1" t="s">
        <v>5193</v>
      </c>
    </row>
    <row r="208" spans="1:13" x14ac:dyDescent="0.3">
      <c r="A208" s="3">
        <v>1215090</v>
      </c>
      <c r="B208" s="4" t="s">
        <v>297</v>
      </c>
      <c r="C208" s="5" t="s">
        <v>5188</v>
      </c>
      <c r="D208" s="5" t="s">
        <v>4792</v>
      </c>
      <c r="E208" s="25" t="s">
        <v>5195</v>
      </c>
      <c r="F208" s="6">
        <v>125</v>
      </c>
      <c r="G208" s="6">
        <v>112</v>
      </c>
      <c r="H208" s="6">
        <v>38.5</v>
      </c>
      <c r="I208" s="7">
        <v>32</v>
      </c>
      <c r="J208" s="3" t="s">
        <v>4317</v>
      </c>
      <c r="K208" s="8">
        <v>0.48</v>
      </c>
      <c r="L208" s="9" t="s">
        <v>5181</v>
      </c>
      <c r="M208" s="1" t="s">
        <v>5194</v>
      </c>
    </row>
    <row r="209" spans="1:13" x14ac:dyDescent="0.3">
      <c r="A209" s="3">
        <v>1215093</v>
      </c>
      <c r="B209" s="4" t="s">
        <v>297</v>
      </c>
      <c r="C209" s="5" t="s">
        <v>5347</v>
      </c>
      <c r="D209" s="5" t="s">
        <v>682</v>
      </c>
      <c r="E209" s="3" t="s">
        <v>5365</v>
      </c>
      <c r="F209" s="6">
        <v>112.5</v>
      </c>
      <c r="G209" s="6">
        <v>105</v>
      </c>
      <c r="H209" s="6">
        <v>97</v>
      </c>
      <c r="I209" s="7">
        <v>51</v>
      </c>
      <c r="J209" s="3" t="s">
        <v>4318</v>
      </c>
      <c r="K209" s="8">
        <v>2.69</v>
      </c>
      <c r="L209" s="9" t="s">
        <v>5348</v>
      </c>
      <c r="M209" s="1" t="s">
        <v>5359</v>
      </c>
    </row>
    <row r="210" spans="1:13" x14ac:dyDescent="0.3">
      <c r="A210" s="3">
        <v>1215094</v>
      </c>
      <c r="B210" s="4" t="s">
        <v>297</v>
      </c>
      <c r="C210" s="5" t="s">
        <v>5354</v>
      </c>
      <c r="D210" s="5" t="s">
        <v>4792</v>
      </c>
      <c r="E210" s="3" t="s">
        <v>8027</v>
      </c>
      <c r="F210" s="6">
        <v>110</v>
      </c>
      <c r="G210" s="6">
        <v>103</v>
      </c>
      <c r="H210" s="6">
        <v>95</v>
      </c>
      <c r="I210" s="7">
        <v>42</v>
      </c>
      <c r="J210" s="3" t="s">
        <v>4318</v>
      </c>
      <c r="K210" s="8">
        <v>1.5</v>
      </c>
      <c r="L210" s="9" t="s">
        <v>5349</v>
      </c>
      <c r="M210" s="1" t="s">
        <v>5360</v>
      </c>
    </row>
    <row r="211" spans="1:13" x14ac:dyDescent="0.3">
      <c r="A211" s="3">
        <v>1215095</v>
      </c>
      <c r="B211" s="4" t="s">
        <v>297</v>
      </c>
      <c r="C211" s="5" t="s">
        <v>5355</v>
      </c>
      <c r="D211" s="5" t="s">
        <v>13</v>
      </c>
      <c r="E211" s="3" t="s">
        <v>5365</v>
      </c>
      <c r="F211" s="6">
        <v>115</v>
      </c>
      <c r="G211" s="6">
        <v>108</v>
      </c>
      <c r="H211" s="6">
        <v>10</v>
      </c>
      <c r="I211" s="7">
        <v>42</v>
      </c>
      <c r="J211" s="3" t="s">
        <v>4318</v>
      </c>
      <c r="K211" s="8">
        <v>1.73</v>
      </c>
      <c r="L211" s="9" t="s">
        <v>5350</v>
      </c>
      <c r="M211" s="1" t="s">
        <v>5361</v>
      </c>
    </row>
    <row r="212" spans="1:13" x14ac:dyDescent="0.3">
      <c r="A212" s="3">
        <v>1215096</v>
      </c>
      <c r="B212" s="4" t="s">
        <v>297</v>
      </c>
      <c r="C212" s="5" t="s">
        <v>5356</v>
      </c>
      <c r="D212" s="5" t="s">
        <v>74</v>
      </c>
      <c r="E212" s="3" t="s">
        <v>5365</v>
      </c>
      <c r="F212" s="6">
        <v>104</v>
      </c>
      <c r="G212" s="6">
        <v>111</v>
      </c>
      <c r="H212" s="6" t="s">
        <v>14</v>
      </c>
      <c r="I212" s="7">
        <v>32</v>
      </c>
      <c r="J212" s="3" t="s">
        <v>4317</v>
      </c>
      <c r="K212" s="8">
        <v>1.1499999999999999</v>
      </c>
      <c r="L212" s="9" t="s">
        <v>5351</v>
      </c>
      <c r="M212" s="1" t="s">
        <v>5362</v>
      </c>
    </row>
    <row r="213" spans="1:13" x14ac:dyDescent="0.3">
      <c r="A213" s="3">
        <v>1215097</v>
      </c>
      <c r="B213" s="4" t="s">
        <v>297</v>
      </c>
      <c r="C213" s="5" t="s">
        <v>5357</v>
      </c>
      <c r="D213" s="5" t="s">
        <v>552</v>
      </c>
      <c r="E213" s="3" t="s">
        <v>5365</v>
      </c>
      <c r="F213" s="6" t="s">
        <v>4783</v>
      </c>
      <c r="G213" s="6" t="s">
        <v>4783</v>
      </c>
      <c r="H213" s="6">
        <v>95</v>
      </c>
      <c r="I213" s="7" t="s">
        <v>14</v>
      </c>
      <c r="J213" s="3" t="s">
        <v>14</v>
      </c>
      <c r="K213" s="8" t="s">
        <v>14</v>
      </c>
      <c r="L213" s="9" t="s">
        <v>5352</v>
      </c>
      <c r="M213" s="1" t="s">
        <v>5363</v>
      </c>
    </row>
    <row r="214" spans="1:13" x14ac:dyDescent="0.3">
      <c r="A214" s="3">
        <v>1215098</v>
      </c>
      <c r="B214" s="4" t="s">
        <v>297</v>
      </c>
      <c r="C214" s="5" t="s">
        <v>613</v>
      </c>
      <c r="D214" s="5" t="s">
        <v>613</v>
      </c>
      <c r="E214" s="3" t="s">
        <v>5365</v>
      </c>
      <c r="F214" s="6" t="s">
        <v>5358</v>
      </c>
      <c r="G214" s="6" t="s">
        <v>5206</v>
      </c>
      <c r="H214" s="6" t="s">
        <v>14</v>
      </c>
      <c r="I214" s="7" t="s">
        <v>14</v>
      </c>
      <c r="J214" s="3" t="s">
        <v>14</v>
      </c>
      <c r="K214" s="8" t="s">
        <v>14</v>
      </c>
      <c r="L214" s="9" t="s">
        <v>5353</v>
      </c>
      <c r="M214" s="1" t="s">
        <v>5364</v>
      </c>
    </row>
    <row r="215" spans="1:13" x14ac:dyDescent="0.3">
      <c r="A215" s="3">
        <v>1215099</v>
      </c>
      <c r="B215" s="4" t="s">
        <v>297</v>
      </c>
      <c r="C215" s="5" t="s">
        <v>465</v>
      </c>
      <c r="D215" s="5" t="s">
        <v>682</v>
      </c>
      <c r="E215" s="3" t="s">
        <v>465</v>
      </c>
      <c r="F215" s="6">
        <v>112.5</v>
      </c>
      <c r="G215" s="6">
        <v>105</v>
      </c>
      <c r="H215" s="6">
        <v>97</v>
      </c>
      <c r="I215" s="7">
        <v>51</v>
      </c>
      <c r="J215" s="3" t="s">
        <v>4318</v>
      </c>
      <c r="K215" s="8">
        <v>2.69</v>
      </c>
      <c r="L215" s="9" t="s">
        <v>6080</v>
      </c>
      <c r="M215" s="1" t="s">
        <v>6081</v>
      </c>
    </row>
    <row r="216" spans="1:13" x14ac:dyDescent="0.3">
      <c r="A216" s="3">
        <v>1215100</v>
      </c>
      <c r="B216" s="4" t="s">
        <v>297</v>
      </c>
      <c r="C216" s="5" t="s">
        <v>6527</v>
      </c>
      <c r="D216" s="5" t="s">
        <v>90</v>
      </c>
      <c r="E216" s="3" t="s">
        <v>6528</v>
      </c>
      <c r="F216" s="6">
        <v>127</v>
      </c>
      <c r="G216" s="6">
        <v>39.5</v>
      </c>
      <c r="H216" s="6" t="s">
        <v>14</v>
      </c>
      <c r="I216" s="7">
        <v>42</v>
      </c>
      <c r="J216" s="3" t="s">
        <v>4318</v>
      </c>
      <c r="K216" s="8">
        <v>0.5</v>
      </c>
      <c r="L216" s="9" t="s">
        <v>6529</v>
      </c>
      <c r="M216" s="1" t="s">
        <v>6537</v>
      </c>
    </row>
    <row r="217" spans="1:13" x14ac:dyDescent="0.3">
      <c r="A217" s="3">
        <v>1215101</v>
      </c>
      <c r="B217" s="4" t="s">
        <v>297</v>
      </c>
      <c r="C217" s="5" t="s">
        <v>6532</v>
      </c>
      <c r="D217" s="5" t="s">
        <v>90</v>
      </c>
      <c r="E217" s="3" t="s">
        <v>6528</v>
      </c>
      <c r="F217" s="6">
        <v>113</v>
      </c>
      <c r="G217" s="6">
        <v>39.5</v>
      </c>
      <c r="H217" s="6" t="s">
        <v>14</v>
      </c>
      <c r="I217" s="7">
        <v>42</v>
      </c>
      <c r="J217" s="3" t="s">
        <v>4318</v>
      </c>
      <c r="K217" s="8">
        <v>0.44</v>
      </c>
      <c r="L217" s="9" t="s">
        <v>6530</v>
      </c>
      <c r="M217" s="1" t="s">
        <v>6539</v>
      </c>
    </row>
    <row r="218" spans="1:13" x14ac:dyDescent="0.3">
      <c r="A218" s="3">
        <v>1215102</v>
      </c>
      <c r="B218" s="4" t="s">
        <v>297</v>
      </c>
      <c r="C218" s="5" t="s">
        <v>6533</v>
      </c>
      <c r="D218" s="5" t="s">
        <v>74</v>
      </c>
      <c r="E218" s="3" t="s">
        <v>6528</v>
      </c>
      <c r="F218" s="6">
        <v>127</v>
      </c>
      <c r="G218" s="6">
        <v>111</v>
      </c>
      <c r="H218" s="6" t="s">
        <v>14</v>
      </c>
      <c r="I218" s="7">
        <v>42</v>
      </c>
      <c r="J218" s="3" t="s">
        <v>4318</v>
      </c>
      <c r="K218" s="8">
        <v>1.41</v>
      </c>
      <c r="L218" s="9" t="s">
        <v>6531</v>
      </c>
      <c r="M218" s="1" t="s">
        <v>6538</v>
      </c>
    </row>
    <row r="219" spans="1:13" x14ac:dyDescent="0.3">
      <c r="A219" s="3">
        <v>1215103</v>
      </c>
      <c r="B219" s="4" t="s">
        <v>297</v>
      </c>
      <c r="C219" s="5" t="s">
        <v>6534</v>
      </c>
      <c r="D219" s="5" t="s">
        <v>90</v>
      </c>
      <c r="E219" s="3" t="s">
        <v>14</v>
      </c>
      <c r="F219" s="6">
        <v>111</v>
      </c>
      <c r="G219" s="6">
        <v>10.5</v>
      </c>
      <c r="H219" s="6" t="s">
        <v>14</v>
      </c>
      <c r="I219" s="7">
        <v>42</v>
      </c>
      <c r="J219" s="3" t="s">
        <v>4318</v>
      </c>
      <c r="K219" s="8">
        <v>0.12</v>
      </c>
      <c r="L219" s="9" t="s">
        <v>6535</v>
      </c>
      <c r="M219" s="1" t="s">
        <v>6536</v>
      </c>
    </row>
    <row r="220" spans="1:13" x14ac:dyDescent="0.3">
      <c r="A220" s="3">
        <v>1215104</v>
      </c>
      <c r="B220" s="4" t="s">
        <v>297</v>
      </c>
      <c r="C220" s="5" t="s">
        <v>7108</v>
      </c>
      <c r="D220" s="5" t="s">
        <v>96</v>
      </c>
      <c r="E220" s="3" t="s">
        <v>7102</v>
      </c>
      <c r="F220" s="6">
        <v>60.4</v>
      </c>
      <c r="G220" s="6">
        <v>56.6</v>
      </c>
      <c r="H220" s="6">
        <v>28.6</v>
      </c>
      <c r="I220" s="7">
        <v>51</v>
      </c>
      <c r="J220" s="3" t="s">
        <v>4318</v>
      </c>
      <c r="K220" s="8">
        <v>2.06</v>
      </c>
      <c r="L220" s="9" t="s">
        <v>7103</v>
      </c>
      <c r="M220" s="1" t="s">
        <v>7109</v>
      </c>
    </row>
    <row r="221" spans="1:13" x14ac:dyDescent="0.3">
      <c r="A221" s="3">
        <v>1215105</v>
      </c>
      <c r="B221" s="4" t="s">
        <v>297</v>
      </c>
      <c r="C221" s="5" t="s">
        <v>7108</v>
      </c>
      <c r="D221" s="5" t="s">
        <v>4792</v>
      </c>
      <c r="E221" s="3" t="s">
        <v>7102</v>
      </c>
      <c r="F221" s="6" t="s">
        <v>7105</v>
      </c>
      <c r="G221" s="6">
        <v>56</v>
      </c>
      <c r="H221" s="6">
        <v>13.2</v>
      </c>
      <c r="I221" s="7" t="s">
        <v>6324</v>
      </c>
      <c r="J221" s="3" t="s">
        <v>4422</v>
      </c>
      <c r="K221" s="8">
        <f>0.08+0.07+0.07</f>
        <v>0.22000000000000003</v>
      </c>
      <c r="L221" s="9" t="s">
        <v>7104</v>
      </c>
      <c r="M221" s="1" t="s">
        <v>7110</v>
      </c>
    </row>
    <row r="222" spans="1:13" x14ac:dyDescent="0.3">
      <c r="A222" s="3">
        <v>1215106</v>
      </c>
      <c r="B222" s="4" t="s">
        <v>297</v>
      </c>
      <c r="C222" s="5" t="s">
        <v>7108</v>
      </c>
      <c r="D222" s="5" t="s">
        <v>74</v>
      </c>
      <c r="E222" s="3" t="s">
        <v>7102</v>
      </c>
      <c r="F222" s="6">
        <v>56</v>
      </c>
      <c r="G222" s="6">
        <v>26</v>
      </c>
      <c r="H222" s="6" t="s">
        <v>14</v>
      </c>
      <c r="I222" s="7" t="s">
        <v>6817</v>
      </c>
      <c r="J222" s="3" t="s">
        <v>4423</v>
      </c>
      <c r="K222" s="8">
        <v>0.15</v>
      </c>
      <c r="L222" s="9" t="s">
        <v>7106</v>
      </c>
      <c r="M222" s="1" t="s">
        <v>7111</v>
      </c>
    </row>
    <row r="223" spans="1:13" x14ac:dyDescent="0.3">
      <c r="A223" s="3">
        <v>1215107</v>
      </c>
      <c r="B223" s="4" t="s">
        <v>297</v>
      </c>
      <c r="C223" s="5" t="s">
        <v>7108</v>
      </c>
      <c r="D223" s="5" t="s">
        <v>74</v>
      </c>
      <c r="E223" s="3" t="s">
        <v>7102</v>
      </c>
      <c r="F223" s="6">
        <v>59</v>
      </c>
      <c r="G223" s="6">
        <v>55.5</v>
      </c>
      <c r="H223" s="6" t="s">
        <v>14</v>
      </c>
      <c r="I223" s="7" t="s">
        <v>6817</v>
      </c>
      <c r="J223" s="3" t="s">
        <v>4423</v>
      </c>
      <c r="K223" s="8">
        <v>0.33</v>
      </c>
      <c r="L223" s="9" t="s">
        <v>7107</v>
      </c>
      <c r="M223" s="1" t="s">
        <v>7112</v>
      </c>
    </row>
    <row r="224" spans="1:13" x14ac:dyDescent="0.3">
      <c r="A224" s="3">
        <v>1215108</v>
      </c>
      <c r="B224" s="4" t="s">
        <v>297</v>
      </c>
      <c r="C224" s="5" t="s">
        <v>7384</v>
      </c>
      <c r="D224" s="5" t="s">
        <v>96</v>
      </c>
      <c r="E224" s="3" t="s">
        <v>14</v>
      </c>
      <c r="F224" s="6">
        <v>89</v>
      </c>
      <c r="G224" s="6">
        <v>73</v>
      </c>
      <c r="H224" s="6">
        <v>35.700000000000003</v>
      </c>
      <c r="I224" s="7">
        <v>42</v>
      </c>
      <c r="J224" s="3" t="s">
        <v>4318</v>
      </c>
      <c r="K224" s="8">
        <f>3.6/2</f>
        <v>1.8</v>
      </c>
      <c r="L224" s="9" t="s">
        <v>7385</v>
      </c>
      <c r="M224" s="1"/>
    </row>
    <row r="225" spans="1:13" x14ac:dyDescent="0.3">
      <c r="A225" s="3">
        <v>1215109</v>
      </c>
      <c r="B225" s="4" t="s">
        <v>297</v>
      </c>
      <c r="C225" s="5" t="s">
        <v>7388</v>
      </c>
      <c r="D225" s="5" t="s">
        <v>4792</v>
      </c>
      <c r="E225" s="3" t="s">
        <v>14</v>
      </c>
      <c r="F225" s="6">
        <v>87</v>
      </c>
      <c r="G225" s="6">
        <v>71</v>
      </c>
      <c r="H225" s="6">
        <v>14</v>
      </c>
      <c r="I225" s="7">
        <v>42</v>
      </c>
      <c r="J225" s="3" t="s">
        <v>4318</v>
      </c>
      <c r="K225" s="8">
        <f>0.12+0.1</f>
        <v>0.22</v>
      </c>
      <c r="L225" s="9" t="s">
        <v>7386</v>
      </c>
      <c r="M225" s="1"/>
    </row>
    <row r="226" spans="1:13" x14ac:dyDescent="0.3">
      <c r="A226" s="3">
        <v>1215110</v>
      </c>
      <c r="B226" s="4" t="s">
        <v>297</v>
      </c>
      <c r="C226" s="5" t="s">
        <v>7389</v>
      </c>
      <c r="D226" s="5" t="s">
        <v>74</v>
      </c>
      <c r="E226" s="3" t="s">
        <v>14</v>
      </c>
      <c r="F226" s="6">
        <v>87</v>
      </c>
      <c r="G226" s="6">
        <v>71</v>
      </c>
      <c r="H226" s="6" t="s">
        <v>14</v>
      </c>
      <c r="I226" s="7">
        <v>42</v>
      </c>
      <c r="J226" s="3" t="s">
        <v>4318</v>
      </c>
      <c r="K226" s="8">
        <v>0.62</v>
      </c>
      <c r="L226" s="9" t="s">
        <v>7387</v>
      </c>
      <c r="M226" s="1"/>
    </row>
    <row r="227" spans="1:13" x14ac:dyDescent="0.3">
      <c r="A227" s="3">
        <v>1215111</v>
      </c>
      <c r="B227" s="4" t="s">
        <v>297</v>
      </c>
      <c r="C227" s="5" t="s">
        <v>7745</v>
      </c>
      <c r="D227" s="5" t="s">
        <v>4792</v>
      </c>
      <c r="E227" s="3" t="s">
        <v>14</v>
      </c>
      <c r="F227" s="6">
        <v>111</v>
      </c>
      <c r="G227" s="6">
        <v>104</v>
      </c>
      <c r="H227" s="6">
        <v>12</v>
      </c>
      <c r="I227" s="7">
        <v>42</v>
      </c>
      <c r="J227" s="3" t="s">
        <v>4318</v>
      </c>
      <c r="K227" s="8">
        <v>0.31</v>
      </c>
      <c r="L227" s="9" t="s">
        <v>7746</v>
      </c>
      <c r="M227" s="1" t="s">
        <v>7819</v>
      </c>
    </row>
    <row r="228" spans="1:13" x14ac:dyDescent="0.3">
      <c r="A228" s="3">
        <v>1215112</v>
      </c>
      <c r="B228" s="4" t="s">
        <v>297</v>
      </c>
      <c r="C228" s="5" t="s">
        <v>7747</v>
      </c>
      <c r="D228" s="5" t="s">
        <v>4792</v>
      </c>
      <c r="E228" s="3" t="s">
        <v>14</v>
      </c>
      <c r="F228" s="6">
        <v>111</v>
      </c>
      <c r="G228" s="6" t="s">
        <v>7748</v>
      </c>
      <c r="H228" s="6">
        <v>29</v>
      </c>
      <c r="I228" s="7">
        <v>42</v>
      </c>
      <c r="J228" s="3" t="s">
        <v>4318</v>
      </c>
      <c r="K228" s="8">
        <f>0.5+0.3+0.24</f>
        <v>1.04</v>
      </c>
      <c r="L228" s="9" t="s">
        <v>7749</v>
      </c>
      <c r="M228" s="1" t="s">
        <v>7818</v>
      </c>
    </row>
    <row r="229" spans="1:13" x14ac:dyDescent="0.3">
      <c r="A229" s="3">
        <v>1215114</v>
      </c>
      <c r="B229" s="4" t="s">
        <v>297</v>
      </c>
      <c r="C229" s="5" t="s">
        <v>7755</v>
      </c>
      <c r="D229" s="5" t="s">
        <v>682</v>
      </c>
      <c r="E229" s="3" t="s">
        <v>7755</v>
      </c>
      <c r="F229" s="6">
        <v>13.5</v>
      </c>
      <c r="G229" s="6">
        <v>9.5</v>
      </c>
      <c r="H229" s="6">
        <v>70</v>
      </c>
      <c r="I229" s="7">
        <v>32</v>
      </c>
      <c r="J229" s="3" t="s">
        <v>4317</v>
      </c>
      <c r="K229" s="8">
        <v>0.36</v>
      </c>
      <c r="L229" s="9" t="s">
        <v>7756</v>
      </c>
      <c r="M229" s="1" t="s">
        <v>7900</v>
      </c>
    </row>
    <row r="230" spans="1:13" x14ac:dyDescent="0.3">
      <c r="A230" s="3">
        <v>1215115</v>
      </c>
      <c r="B230" s="4" t="s">
        <v>297</v>
      </c>
      <c r="C230" s="5" t="s">
        <v>7829</v>
      </c>
      <c r="D230" s="5" t="s">
        <v>23</v>
      </c>
      <c r="E230" s="3" t="s">
        <v>7829</v>
      </c>
      <c r="F230" s="6">
        <v>60</v>
      </c>
      <c r="G230" s="6">
        <v>55</v>
      </c>
      <c r="H230" s="6">
        <v>39.799999999999997</v>
      </c>
      <c r="I230" s="7">
        <v>42</v>
      </c>
      <c r="J230" s="3" t="s">
        <v>4318</v>
      </c>
      <c r="K230" s="8">
        <v>1.59</v>
      </c>
      <c r="L230" s="9" t="s">
        <v>7830</v>
      </c>
      <c r="M230" s="1" t="s">
        <v>7910</v>
      </c>
    </row>
    <row r="231" spans="1:13" x14ac:dyDescent="0.3">
      <c r="A231" s="3">
        <v>1215116</v>
      </c>
      <c r="B231" s="4" t="s">
        <v>297</v>
      </c>
      <c r="C231" s="5" t="s">
        <v>7906</v>
      </c>
      <c r="D231" s="5" t="s">
        <v>74</v>
      </c>
      <c r="E231" s="3" t="s">
        <v>7829</v>
      </c>
      <c r="F231" s="6">
        <v>58.5</v>
      </c>
      <c r="G231" s="6">
        <v>53.5</v>
      </c>
      <c r="H231" s="6" t="s">
        <v>14</v>
      </c>
      <c r="I231" s="7" t="s">
        <v>6600</v>
      </c>
      <c r="J231" s="3" t="s">
        <v>4423</v>
      </c>
      <c r="K231" s="8">
        <v>0.31</v>
      </c>
      <c r="L231" s="9" t="s">
        <v>7908</v>
      </c>
      <c r="M231" s="1" t="s">
        <v>7911</v>
      </c>
    </row>
    <row r="232" spans="1:13" x14ac:dyDescent="0.3">
      <c r="A232" s="3">
        <v>1215117</v>
      </c>
      <c r="B232" s="4" t="s">
        <v>297</v>
      </c>
      <c r="C232" s="5" t="s">
        <v>7907</v>
      </c>
      <c r="D232" s="5" t="s">
        <v>552</v>
      </c>
      <c r="E232" s="3" t="s">
        <v>7829</v>
      </c>
      <c r="F232" s="6" t="s">
        <v>7722</v>
      </c>
      <c r="G232" s="6" t="s">
        <v>7722</v>
      </c>
      <c r="H232" s="6" t="s">
        <v>7913</v>
      </c>
      <c r="I232" s="7" t="s">
        <v>7914</v>
      </c>
      <c r="J232" s="3" t="s">
        <v>7915</v>
      </c>
      <c r="K232" s="8" t="s">
        <v>14</v>
      </c>
      <c r="L232" s="9" t="s">
        <v>7909</v>
      </c>
      <c r="M232" s="1" t="s">
        <v>7912</v>
      </c>
    </row>
    <row r="233" spans="1:13" x14ac:dyDescent="0.3">
      <c r="A233" s="3">
        <v>40240001</v>
      </c>
      <c r="B233" s="4" t="s">
        <v>297</v>
      </c>
      <c r="C233" s="5" t="s">
        <v>429</v>
      </c>
      <c r="D233" s="5" t="s">
        <v>5052</v>
      </c>
      <c r="E233" s="3" t="s">
        <v>429</v>
      </c>
      <c r="F233" s="6" t="s">
        <v>14</v>
      </c>
      <c r="G233" s="6" t="s">
        <v>14</v>
      </c>
      <c r="H233" s="6" t="s">
        <v>14</v>
      </c>
      <c r="I233" s="3" t="s">
        <v>14</v>
      </c>
      <c r="J233" s="3" t="s">
        <v>14</v>
      </c>
      <c r="K233" s="8" t="s">
        <v>14</v>
      </c>
      <c r="L233" s="9" t="s">
        <v>5053</v>
      </c>
      <c r="M233" s="1" t="s">
        <v>5061</v>
      </c>
    </row>
    <row r="234" spans="1:13" x14ac:dyDescent="0.3">
      <c r="A234" s="3">
        <v>40240002</v>
      </c>
      <c r="B234" s="4" t="s">
        <v>297</v>
      </c>
      <c r="C234" s="5" t="s">
        <v>465</v>
      </c>
      <c r="D234" s="5" t="s">
        <v>5052</v>
      </c>
      <c r="E234" s="3" t="s">
        <v>465</v>
      </c>
      <c r="F234" s="6" t="s">
        <v>14</v>
      </c>
      <c r="G234" s="6" t="s">
        <v>14</v>
      </c>
      <c r="H234" s="6" t="s">
        <v>14</v>
      </c>
      <c r="I234" s="3" t="s">
        <v>14</v>
      </c>
      <c r="J234" s="3" t="s">
        <v>14</v>
      </c>
      <c r="K234" s="8" t="s">
        <v>14</v>
      </c>
      <c r="L234" s="9" t="s">
        <v>5054</v>
      </c>
      <c r="M234" s="1" t="s">
        <v>5062</v>
      </c>
    </row>
    <row r="235" spans="1:13" x14ac:dyDescent="0.3">
      <c r="A235" s="3">
        <v>40240008</v>
      </c>
      <c r="B235" s="4" t="s">
        <v>297</v>
      </c>
      <c r="C235" s="5" t="s">
        <v>5266</v>
      </c>
      <c r="D235" s="5" t="s">
        <v>5052</v>
      </c>
      <c r="E235" s="3" t="s">
        <v>5266</v>
      </c>
      <c r="F235" s="6" t="s">
        <v>14</v>
      </c>
      <c r="G235" s="6" t="s">
        <v>14</v>
      </c>
      <c r="H235" s="6" t="s">
        <v>14</v>
      </c>
      <c r="I235" s="3" t="s">
        <v>14</v>
      </c>
      <c r="J235" s="3" t="s">
        <v>14</v>
      </c>
      <c r="K235" s="8" t="s">
        <v>14</v>
      </c>
      <c r="L235" s="9" t="s">
        <v>5267</v>
      </c>
      <c r="M235" s="1" t="s">
        <v>5268</v>
      </c>
    </row>
    <row r="236" spans="1:13" x14ac:dyDescent="0.3">
      <c r="A236" s="3">
        <v>10713001</v>
      </c>
      <c r="B236" s="4" t="s">
        <v>489</v>
      </c>
      <c r="C236" s="5" t="s">
        <v>490</v>
      </c>
      <c r="D236" s="5" t="s">
        <v>491</v>
      </c>
      <c r="E236" s="3" t="s">
        <v>492</v>
      </c>
      <c r="F236" s="6">
        <v>37</v>
      </c>
      <c r="G236" s="6">
        <v>12.4</v>
      </c>
      <c r="H236" s="6">
        <v>30.9</v>
      </c>
      <c r="I236" s="7" t="s">
        <v>4315</v>
      </c>
      <c r="J236" s="3" t="s">
        <v>4317</v>
      </c>
      <c r="K236" s="8">
        <v>0.56999999999999995</v>
      </c>
      <c r="L236" s="9" t="s">
        <v>493</v>
      </c>
      <c r="M236" s="1" t="s">
        <v>494</v>
      </c>
    </row>
    <row r="237" spans="1:13" x14ac:dyDescent="0.3">
      <c r="A237" s="3">
        <v>5113001</v>
      </c>
      <c r="B237" s="4" t="s">
        <v>495</v>
      </c>
      <c r="C237" s="5" t="s">
        <v>496</v>
      </c>
      <c r="D237" s="5" t="s">
        <v>491</v>
      </c>
      <c r="E237" s="3" t="s">
        <v>14</v>
      </c>
      <c r="F237" s="6">
        <v>22</v>
      </c>
      <c r="G237" s="6">
        <v>21.5</v>
      </c>
      <c r="H237" s="6">
        <v>18.5</v>
      </c>
      <c r="I237" s="3" t="s">
        <v>4473</v>
      </c>
      <c r="J237" s="3" t="s">
        <v>4317</v>
      </c>
      <c r="K237" s="8" t="s">
        <v>4462</v>
      </c>
      <c r="L237" s="9" t="s">
        <v>497</v>
      </c>
      <c r="M237" s="1" t="s">
        <v>498</v>
      </c>
    </row>
    <row r="238" spans="1:13" x14ac:dyDescent="0.3">
      <c r="A238" s="3">
        <v>5113002</v>
      </c>
      <c r="B238" s="4" t="s">
        <v>495</v>
      </c>
      <c r="C238" s="5" t="s">
        <v>499</v>
      </c>
      <c r="D238" s="5" t="s">
        <v>491</v>
      </c>
      <c r="E238" s="3" t="s">
        <v>14</v>
      </c>
      <c r="F238" s="6">
        <v>28</v>
      </c>
      <c r="G238" s="6">
        <v>19.5</v>
      </c>
      <c r="H238" s="6">
        <v>16.5</v>
      </c>
      <c r="I238" s="3" t="s">
        <v>4473</v>
      </c>
      <c r="J238" s="3" t="s">
        <v>4317</v>
      </c>
      <c r="K238" s="8" t="s">
        <v>4474</v>
      </c>
      <c r="L238" s="9" t="s">
        <v>500</v>
      </c>
      <c r="M238" s="1" t="s">
        <v>501</v>
      </c>
    </row>
    <row r="239" spans="1:13" x14ac:dyDescent="0.3">
      <c r="A239" s="3">
        <v>5110003</v>
      </c>
      <c r="B239" s="4" t="s">
        <v>495</v>
      </c>
      <c r="C239" s="5" t="s">
        <v>502</v>
      </c>
      <c r="D239" s="5" t="s">
        <v>96</v>
      </c>
      <c r="E239" s="3" t="s">
        <v>14</v>
      </c>
      <c r="F239" s="6">
        <v>33</v>
      </c>
      <c r="G239" s="6">
        <v>25</v>
      </c>
      <c r="H239" s="6">
        <v>15.5</v>
      </c>
      <c r="I239" s="3" t="s">
        <v>4316</v>
      </c>
      <c r="J239" s="3" t="s">
        <v>4318</v>
      </c>
      <c r="K239" s="8" t="s">
        <v>4475</v>
      </c>
      <c r="L239" s="9" t="s">
        <v>503</v>
      </c>
      <c r="M239" s="1" t="s">
        <v>504</v>
      </c>
    </row>
    <row r="240" spans="1:13" x14ac:dyDescent="0.3">
      <c r="A240" s="3">
        <v>5110004</v>
      </c>
      <c r="B240" s="4" t="s">
        <v>495</v>
      </c>
      <c r="C240" s="5" t="s">
        <v>505</v>
      </c>
      <c r="D240" s="5" t="s">
        <v>96</v>
      </c>
      <c r="E240" s="3" t="s">
        <v>14</v>
      </c>
      <c r="F240" s="6">
        <v>33</v>
      </c>
      <c r="G240" s="6">
        <v>25</v>
      </c>
      <c r="H240" s="6">
        <v>15.5</v>
      </c>
      <c r="I240" s="3" t="s">
        <v>4316</v>
      </c>
      <c r="J240" s="3" t="s">
        <v>4318</v>
      </c>
      <c r="K240" s="8" t="s">
        <v>4475</v>
      </c>
      <c r="L240" s="9" t="s">
        <v>506</v>
      </c>
      <c r="M240" s="1" t="s">
        <v>507</v>
      </c>
    </row>
    <row r="241" spans="1:13" x14ac:dyDescent="0.3">
      <c r="A241" s="3">
        <v>10611001</v>
      </c>
      <c r="B241" s="4" t="s">
        <v>508</v>
      </c>
      <c r="C241" s="5" t="s">
        <v>509</v>
      </c>
      <c r="D241" s="5" t="s">
        <v>154</v>
      </c>
      <c r="E241" s="3" t="s">
        <v>509</v>
      </c>
      <c r="F241" s="6">
        <v>58</v>
      </c>
      <c r="G241" s="6">
        <v>35.5</v>
      </c>
      <c r="H241" s="6">
        <v>29</v>
      </c>
      <c r="I241" s="7" t="s">
        <v>4316</v>
      </c>
      <c r="J241" s="3" t="s">
        <v>4318</v>
      </c>
      <c r="K241" s="8" t="s">
        <v>4476</v>
      </c>
      <c r="L241" s="9" t="s">
        <v>510</v>
      </c>
      <c r="M241" s="1" t="s">
        <v>511</v>
      </c>
    </row>
    <row r="242" spans="1:13" x14ac:dyDescent="0.3">
      <c r="A242" s="3">
        <v>10634002</v>
      </c>
      <c r="B242" s="4" t="s">
        <v>508</v>
      </c>
      <c r="C242" s="5" t="s">
        <v>509</v>
      </c>
      <c r="D242" s="5" t="s">
        <v>512</v>
      </c>
      <c r="E242" s="3" t="s">
        <v>509</v>
      </c>
      <c r="F242" s="6">
        <v>59</v>
      </c>
      <c r="G242" s="6">
        <v>37</v>
      </c>
      <c r="H242" s="6">
        <v>7</v>
      </c>
      <c r="I242" s="7" t="s">
        <v>4447</v>
      </c>
      <c r="J242" s="3" t="s">
        <v>4317</v>
      </c>
      <c r="K242" s="8" t="s">
        <v>4477</v>
      </c>
      <c r="L242" s="9" t="s">
        <v>513</v>
      </c>
      <c r="M242" s="1" t="s">
        <v>514</v>
      </c>
    </row>
    <row r="243" spans="1:13" x14ac:dyDescent="0.3">
      <c r="A243" s="3">
        <v>10610003</v>
      </c>
      <c r="B243" s="4" t="s">
        <v>508</v>
      </c>
      <c r="C243" s="5" t="s">
        <v>515</v>
      </c>
      <c r="D243" s="5" t="s">
        <v>96</v>
      </c>
      <c r="E243" s="3" t="s">
        <v>515</v>
      </c>
      <c r="F243" s="6">
        <v>57.5</v>
      </c>
      <c r="G243" s="6">
        <v>34.5</v>
      </c>
      <c r="H243" s="6">
        <v>11</v>
      </c>
      <c r="I243" s="7" t="s">
        <v>4316</v>
      </c>
      <c r="J243" s="3" t="s">
        <v>4318</v>
      </c>
      <c r="K243" s="8" t="s">
        <v>4478</v>
      </c>
      <c r="L243" s="9" t="s">
        <v>516</v>
      </c>
      <c r="M243" s="1" t="s">
        <v>517</v>
      </c>
    </row>
    <row r="244" spans="1:13" x14ac:dyDescent="0.3">
      <c r="A244" s="3">
        <v>10610004</v>
      </c>
      <c r="B244" s="4" t="s">
        <v>508</v>
      </c>
      <c r="C244" s="5" t="s">
        <v>518</v>
      </c>
      <c r="D244" s="5" t="s">
        <v>96</v>
      </c>
      <c r="E244" s="3" t="s">
        <v>518</v>
      </c>
      <c r="F244" s="6">
        <v>36</v>
      </c>
      <c r="G244" s="6">
        <v>28.5</v>
      </c>
      <c r="H244" s="6">
        <v>14</v>
      </c>
      <c r="I244" s="7" t="s">
        <v>4316</v>
      </c>
      <c r="J244" s="3" t="s">
        <v>4318</v>
      </c>
      <c r="K244" s="8" t="s">
        <v>4479</v>
      </c>
      <c r="L244" s="9" t="s">
        <v>519</v>
      </c>
      <c r="M244" s="1" t="s">
        <v>520</v>
      </c>
    </row>
    <row r="245" spans="1:13" x14ac:dyDescent="0.3">
      <c r="A245" s="3">
        <v>10611005</v>
      </c>
      <c r="B245" s="4" t="s">
        <v>508</v>
      </c>
      <c r="C245" s="5" t="s">
        <v>521</v>
      </c>
      <c r="D245" s="5" t="s">
        <v>154</v>
      </c>
      <c r="E245" s="3" t="s">
        <v>521</v>
      </c>
      <c r="F245" s="6">
        <v>58</v>
      </c>
      <c r="G245" s="6">
        <v>48</v>
      </c>
      <c r="H245" s="6">
        <v>38</v>
      </c>
      <c r="I245" s="7" t="s">
        <v>4316</v>
      </c>
      <c r="J245" s="3" t="s">
        <v>4318</v>
      </c>
      <c r="K245" s="8" t="s">
        <v>4480</v>
      </c>
      <c r="L245" s="9" t="s">
        <v>522</v>
      </c>
      <c r="M245" s="1" t="s">
        <v>523</v>
      </c>
    </row>
    <row r="246" spans="1:13" x14ac:dyDescent="0.3">
      <c r="A246" s="3">
        <v>10634006</v>
      </c>
      <c r="B246" s="4" t="s">
        <v>508</v>
      </c>
      <c r="C246" s="5" t="s">
        <v>521</v>
      </c>
      <c r="D246" s="5" t="s">
        <v>524</v>
      </c>
      <c r="E246" s="3" t="s">
        <v>521</v>
      </c>
      <c r="F246" s="6">
        <v>59</v>
      </c>
      <c r="G246" s="6">
        <v>48.5</v>
      </c>
      <c r="H246" s="6">
        <v>7.7</v>
      </c>
      <c r="I246" s="7" t="s">
        <v>4315</v>
      </c>
      <c r="J246" s="3" t="s">
        <v>4317</v>
      </c>
      <c r="K246" s="8" t="s">
        <v>4366</v>
      </c>
      <c r="L246" s="9" t="s">
        <v>525</v>
      </c>
      <c r="M246" s="1" t="s">
        <v>526</v>
      </c>
    </row>
    <row r="247" spans="1:13" x14ac:dyDescent="0.3">
      <c r="A247" s="3">
        <v>10611007</v>
      </c>
      <c r="B247" s="4" t="s">
        <v>508</v>
      </c>
      <c r="C247" s="5">
        <v>7147</v>
      </c>
      <c r="D247" s="5" t="s">
        <v>154</v>
      </c>
      <c r="E247" s="3">
        <v>7147</v>
      </c>
      <c r="F247" s="6">
        <v>102</v>
      </c>
      <c r="G247" s="6">
        <v>50.5</v>
      </c>
      <c r="H247" s="6">
        <v>37</v>
      </c>
      <c r="I247" s="7" t="s">
        <v>4345</v>
      </c>
      <c r="J247" s="3" t="s">
        <v>4347</v>
      </c>
      <c r="K247" s="8" t="s">
        <v>4481</v>
      </c>
      <c r="L247" s="9" t="s">
        <v>527</v>
      </c>
      <c r="M247" s="1" t="s">
        <v>528</v>
      </c>
    </row>
    <row r="248" spans="1:13" x14ac:dyDescent="0.3">
      <c r="A248" s="3">
        <v>10619008</v>
      </c>
      <c r="B248" s="4" t="s">
        <v>508</v>
      </c>
      <c r="C248" s="5">
        <v>7147</v>
      </c>
      <c r="D248" s="5" t="s">
        <v>74</v>
      </c>
      <c r="E248" s="3">
        <v>7147</v>
      </c>
      <c r="F248" s="6">
        <v>93.5</v>
      </c>
      <c r="G248" s="6">
        <v>40.5</v>
      </c>
      <c r="H248" s="6">
        <v>0</v>
      </c>
      <c r="I248" s="7" t="s">
        <v>4447</v>
      </c>
      <c r="J248" s="3" t="s">
        <v>4317</v>
      </c>
      <c r="K248" s="8" t="s">
        <v>4482</v>
      </c>
      <c r="L248" s="9" t="s">
        <v>529</v>
      </c>
      <c r="M248" s="1" t="s">
        <v>530</v>
      </c>
    </row>
    <row r="249" spans="1:13" x14ac:dyDescent="0.3">
      <c r="A249" s="3">
        <v>10610009</v>
      </c>
      <c r="B249" s="4" t="s">
        <v>508</v>
      </c>
      <c r="C249" s="5">
        <v>7148</v>
      </c>
      <c r="D249" s="5" t="s">
        <v>96</v>
      </c>
      <c r="E249" s="3">
        <v>7148</v>
      </c>
      <c r="F249" s="6">
        <v>35.5</v>
      </c>
      <c r="G249" s="6">
        <v>15</v>
      </c>
      <c r="H249" s="6">
        <v>20</v>
      </c>
      <c r="I249" s="7" t="s">
        <v>4447</v>
      </c>
      <c r="J249" s="3" t="s">
        <v>4317</v>
      </c>
      <c r="K249" s="8" t="s">
        <v>4482</v>
      </c>
      <c r="L249" s="9" t="s">
        <v>531</v>
      </c>
      <c r="M249" s="1" t="s">
        <v>532</v>
      </c>
    </row>
    <row r="250" spans="1:13" x14ac:dyDescent="0.3">
      <c r="A250" s="3">
        <v>10610010</v>
      </c>
      <c r="B250" s="4" t="s">
        <v>508</v>
      </c>
      <c r="C250" s="5">
        <v>5582</v>
      </c>
      <c r="D250" s="5" t="s">
        <v>96</v>
      </c>
      <c r="E250" s="3">
        <v>5582</v>
      </c>
      <c r="F250" s="6">
        <v>52.5</v>
      </c>
      <c r="G250" s="6">
        <v>34.5</v>
      </c>
      <c r="H250" s="6">
        <v>38.5</v>
      </c>
      <c r="I250" s="7" t="s">
        <v>4316</v>
      </c>
      <c r="J250" s="3" t="s">
        <v>4318</v>
      </c>
      <c r="K250" s="8" t="s">
        <v>4461</v>
      </c>
      <c r="L250" s="9" t="s">
        <v>533</v>
      </c>
      <c r="M250" s="1" t="s">
        <v>534</v>
      </c>
    </row>
    <row r="251" spans="1:13" x14ac:dyDescent="0.3">
      <c r="A251" s="3">
        <v>10610011</v>
      </c>
      <c r="B251" s="4" t="s">
        <v>508</v>
      </c>
      <c r="C251" s="5" t="s">
        <v>535</v>
      </c>
      <c r="D251" s="5" t="s">
        <v>96</v>
      </c>
      <c r="E251" s="3" t="s">
        <v>535</v>
      </c>
      <c r="F251" s="6">
        <v>52.5</v>
      </c>
      <c r="G251" s="6">
        <v>34.5</v>
      </c>
      <c r="H251" s="6">
        <v>17</v>
      </c>
      <c r="I251" s="7" t="s">
        <v>4316</v>
      </c>
      <c r="J251" s="3" t="s">
        <v>4318</v>
      </c>
      <c r="K251" s="8">
        <v>0.94</v>
      </c>
      <c r="L251" s="9" t="s">
        <v>536</v>
      </c>
      <c r="M251" s="1" t="s">
        <v>537</v>
      </c>
    </row>
    <row r="252" spans="1:13" x14ac:dyDescent="0.3">
      <c r="A252" s="3">
        <v>10610013</v>
      </c>
      <c r="B252" s="4" t="s">
        <v>508</v>
      </c>
      <c r="C252" s="5" t="s">
        <v>538</v>
      </c>
      <c r="D252" s="5" t="s">
        <v>96</v>
      </c>
      <c r="E252" s="3" t="s">
        <v>538</v>
      </c>
      <c r="F252" s="6">
        <v>51</v>
      </c>
      <c r="G252" s="6">
        <v>51</v>
      </c>
      <c r="H252" s="6">
        <v>21</v>
      </c>
      <c r="I252" s="7" t="s">
        <v>4315</v>
      </c>
      <c r="J252" s="3" t="s">
        <v>4317</v>
      </c>
      <c r="K252" s="8">
        <v>1.52</v>
      </c>
      <c r="L252" s="9" t="s">
        <v>539</v>
      </c>
      <c r="M252" s="1" t="s">
        <v>540</v>
      </c>
    </row>
    <row r="253" spans="1:13" x14ac:dyDescent="0.3">
      <c r="A253" s="3">
        <v>10610014</v>
      </c>
      <c r="B253" s="4" t="s">
        <v>508</v>
      </c>
      <c r="C253" s="5" t="s">
        <v>541</v>
      </c>
      <c r="D253" s="5" t="s">
        <v>96</v>
      </c>
      <c r="E253" s="3" t="s">
        <v>541</v>
      </c>
      <c r="F253" s="6">
        <v>34.5</v>
      </c>
      <c r="G253" s="6">
        <v>32.5</v>
      </c>
      <c r="H253" s="6">
        <v>23</v>
      </c>
      <c r="I253" s="7" t="s">
        <v>4316</v>
      </c>
      <c r="J253" s="3" t="s">
        <v>4318</v>
      </c>
      <c r="K253" s="8">
        <v>0.64</v>
      </c>
      <c r="L253" s="9" t="s">
        <v>542</v>
      </c>
      <c r="M253" s="1" t="s">
        <v>543</v>
      </c>
    </row>
    <row r="254" spans="1:13" x14ac:dyDescent="0.3">
      <c r="A254" s="3">
        <v>10610015</v>
      </c>
      <c r="B254" s="4" t="s">
        <v>508</v>
      </c>
      <c r="C254" s="5" t="s">
        <v>6945</v>
      </c>
      <c r="D254" s="5" t="s">
        <v>96</v>
      </c>
      <c r="E254" s="3" t="s">
        <v>14</v>
      </c>
      <c r="F254" s="6">
        <v>58</v>
      </c>
      <c r="G254" s="6">
        <v>35.5</v>
      </c>
      <c r="H254" s="6">
        <v>29</v>
      </c>
      <c r="I254" s="7">
        <v>42</v>
      </c>
      <c r="J254" s="3" t="s">
        <v>4318</v>
      </c>
      <c r="K254" s="8">
        <v>1.25</v>
      </c>
      <c r="L254" s="9" t="s">
        <v>6947</v>
      </c>
      <c r="M254" s="1" t="s">
        <v>6980</v>
      </c>
    </row>
    <row r="255" spans="1:13" x14ac:dyDescent="0.3">
      <c r="A255" s="3">
        <v>10610016</v>
      </c>
      <c r="B255" s="4" t="s">
        <v>508</v>
      </c>
      <c r="C255" s="5" t="s">
        <v>6946</v>
      </c>
      <c r="D255" s="5" t="s">
        <v>96</v>
      </c>
      <c r="E255" s="3" t="s">
        <v>14</v>
      </c>
      <c r="F255" s="6">
        <v>58</v>
      </c>
      <c r="G255" s="6">
        <v>48</v>
      </c>
      <c r="H255" s="6">
        <v>48</v>
      </c>
      <c r="I255" s="7">
        <v>42</v>
      </c>
      <c r="J255" s="3" t="s">
        <v>4318</v>
      </c>
      <c r="K255" s="8">
        <v>1.88</v>
      </c>
      <c r="L255" s="9" t="s">
        <v>6948</v>
      </c>
      <c r="M255" s="1" t="s">
        <v>6979</v>
      </c>
    </row>
    <row r="256" spans="1:13" x14ac:dyDescent="0.3">
      <c r="A256" s="3">
        <v>50240001</v>
      </c>
      <c r="B256" s="4" t="s">
        <v>5214</v>
      </c>
      <c r="C256" s="4" t="s">
        <v>5204</v>
      </c>
      <c r="D256" s="4" t="s">
        <v>613</v>
      </c>
      <c r="E256" s="3" t="s">
        <v>5205</v>
      </c>
      <c r="F256" s="6" t="s">
        <v>5206</v>
      </c>
      <c r="G256" s="6" t="s">
        <v>5207</v>
      </c>
      <c r="H256" s="6" t="s">
        <v>14</v>
      </c>
      <c r="I256" s="3" t="s">
        <v>5208</v>
      </c>
      <c r="J256" s="3" t="s">
        <v>14</v>
      </c>
      <c r="K256" s="8" t="s">
        <v>14</v>
      </c>
      <c r="L256" s="9" t="s">
        <v>5209</v>
      </c>
      <c r="M256" s="1" t="s">
        <v>5219</v>
      </c>
    </row>
    <row r="257" spans="1:13" x14ac:dyDescent="0.3">
      <c r="A257" s="3">
        <v>6010001</v>
      </c>
      <c r="B257" s="4" t="s">
        <v>544</v>
      </c>
      <c r="C257" s="5" t="s">
        <v>545</v>
      </c>
      <c r="D257" s="5" t="s">
        <v>96</v>
      </c>
      <c r="E257" s="3" t="s">
        <v>14</v>
      </c>
      <c r="F257" s="6">
        <v>89.4</v>
      </c>
      <c r="G257" s="6">
        <v>59.4</v>
      </c>
      <c r="H257" s="6">
        <v>49.4</v>
      </c>
      <c r="I257" s="7" t="s">
        <v>4316</v>
      </c>
      <c r="J257" s="3" t="s">
        <v>4318</v>
      </c>
      <c r="K257" s="8" t="s">
        <v>4365</v>
      </c>
      <c r="L257" s="9" t="s">
        <v>546</v>
      </c>
      <c r="M257" s="1" t="s">
        <v>547</v>
      </c>
    </row>
    <row r="258" spans="1:13" x14ac:dyDescent="0.3">
      <c r="A258" s="3">
        <v>6010002</v>
      </c>
      <c r="B258" s="4" t="s">
        <v>544</v>
      </c>
      <c r="C258" s="5" t="s">
        <v>548</v>
      </c>
      <c r="D258" s="5" t="s">
        <v>96</v>
      </c>
      <c r="E258" s="3" t="s">
        <v>549</v>
      </c>
      <c r="F258" s="6">
        <v>88</v>
      </c>
      <c r="G258" s="6">
        <v>48</v>
      </c>
      <c r="H258" s="6">
        <v>38</v>
      </c>
      <c r="I258" s="7" t="s">
        <v>4316</v>
      </c>
      <c r="J258" s="3" t="s">
        <v>4318</v>
      </c>
      <c r="K258" s="8" t="s">
        <v>4451</v>
      </c>
      <c r="L258" s="9" t="s">
        <v>550</v>
      </c>
      <c r="M258" s="1" t="s">
        <v>551</v>
      </c>
    </row>
    <row r="259" spans="1:13" x14ac:dyDescent="0.3">
      <c r="A259" s="3">
        <v>6028003</v>
      </c>
      <c r="B259" s="4" t="s">
        <v>544</v>
      </c>
      <c r="C259" s="5" t="s">
        <v>548</v>
      </c>
      <c r="D259" s="5" t="s">
        <v>552</v>
      </c>
      <c r="E259" s="3" t="s">
        <v>553</v>
      </c>
      <c r="F259" s="6">
        <v>7.6</v>
      </c>
      <c r="G259" s="6">
        <v>7.6</v>
      </c>
      <c r="H259" s="6">
        <v>36.5</v>
      </c>
      <c r="I259" s="7" t="s">
        <v>14</v>
      </c>
      <c r="J259" s="3" t="s">
        <v>14</v>
      </c>
      <c r="K259" s="8" t="s">
        <v>14</v>
      </c>
      <c r="L259" s="9" t="s">
        <v>554</v>
      </c>
      <c r="M259" s="1" t="s">
        <v>555</v>
      </c>
    </row>
    <row r="260" spans="1:13" x14ac:dyDescent="0.3">
      <c r="A260" s="3">
        <v>6010004</v>
      </c>
      <c r="B260" s="4" t="s">
        <v>544</v>
      </c>
      <c r="C260" s="5" t="s">
        <v>556</v>
      </c>
      <c r="D260" s="5" t="s">
        <v>557</v>
      </c>
      <c r="E260" s="3" t="s">
        <v>558</v>
      </c>
      <c r="F260" s="6">
        <v>88</v>
      </c>
      <c r="G260" s="6">
        <v>48</v>
      </c>
      <c r="H260" s="6">
        <v>48</v>
      </c>
      <c r="I260" s="7" t="s">
        <v>4316</v>
      </c>
      <c r="J260" s="3" t="s">
        <v>4318</v>
      </c>
      <c r="K260" s="8" t="s">
        <v>4483</v>
      </c>
      <c r="L260" s="9" t="s">
        <v>559</v>
      </c>
      <c r="M260" s="1" t="s">
        <v>560</v>
      </c>
    </row>
    <row r="261" spans="1:13" x14ac:dyDescent="0.3">
      <c r="A261" s="3">
        <v>6028005</v>
      </c>
      <c r="B261" s="4" t="s">
        <v>544</v>
      </c>
      <c r="C261" s="5" t="s">
        <v>556</v>
      </c>
      <c r="D261" s="5" t="s">
        <v>552</v>
      </c>
      <c r="E261" s="3" t="s">
        <v>561</v>
      </c>
      <c r="F261" s="6">
        <v>7.6</v>
      </c>
      <c r="G261" s="6">
        <v>7.6</v>
      </c>
      <c r="H261" s="6">
        <v>46.5</v>
      </c>
      <c r="I261" s="7" t="s">
        <v>14</v>
      </c>
      <c r="J261" s="3" t="s">
        <v>14</v>
      </c>
      <c r="K261" s="8" t="s">
        <v>14</v>
      </c>
      <c r="L261" s="9" t="s">
        <v>562</v>
      </c>
      <c r="M261" s="1" t="s">
        <v>563</v>
      </c>
    </row>
    <row r="262" spans="1:13" x14ac:dyDescent="0.3">
      <c r="A262" s="3">
        <v>6710001</v>
      </c>
      <c r="B262" s="4" t="s">
        <v>564</v>
      </c>
      <c r="C262" s="5" t="s">
        <v>565</v>
      </c>
      <c r="D262" s="5" t="s">
        <v>96</v>
      </c>
      <c r="E262" s="3" t="s">
        <v>14</v>
      </c>
      <c r="F262" s="6">
        <v>56.7</v>
      </c>
      <c r="G262" s="6">
        <v>56.7</v>
      </c>
      <c r="H262" s="6">
        <v>21.5</v>
      </c>
      <c r="I262" s="7" t="s">
        <v>4315</v>
      </c>
      <c r="J262" s="3" t="s">
        <v>4317</v>
      </c>
      <c r="K262" s="8" t="s">
        <v>4484</v>
      </c>
      <c r="L262" s="9" t="s">
        <v>566</v>
      </c>
      <c r="M262" s="1" t="s">
        <v>567</v>
      </c>
    </row>
    <row r="263" spans="1:13" x14ac:dyDescent="0.3">
      <c r="A263" s="3">
        <v>6720002</v>
      </c>
      <c r="B263" s="4" t="s">
        <v>564</v>
      </c>
      <c r="C263" s="5" t="s">
        <v>568</v>
      </c>
      <c r="D263" s="5" t="s">
        <v>264</v>
      </c>
      <c r="E263" s="3" t="s">
        <v>17</v>
      </c>
      <c r="F263" s="6">
        <v>60</v>
      </c>
      <c r="G263" s="6">
        <v>34.6</v>
      </c>
      <c r="H263" s="6">
        <v>0</v>
      </c>
      <c r="I263" s="7" t="s">
        <v>4315</v>
      </c>
      <c r="J263" s="3" t="s">
        <v>4317</v>
      </c>
      <c r="K263" s="8" t="s">
        <v>4485</v>
      </c>
      <c r="L263" s="9" t="s">
        <v>569</v>
      </c>
      <c r="M263" s="1" t="s">
        <v>570</v>
      </c>
    </row>
    <row r="264" spans="1:13" x14ac:dyDescent="0.3">
      <c r="A264" s="3">
        <v>6721003</v>
      </c>
      <c r="B264" s="4" t="s">
        <v>564</v>
      </c>
      <c r="C264" s="5" t="s">
        <v>568</v>
      </c>
      <c r="D264" s="5" t="s">
        <v>267</v>
      </c>
      <c r="E264" s="3" t="s">
        <v>17</v>
      </c>
      <c r="F264" s="6">
        <v>56</v>
      </c>
      <c r="G264" s="6">
        <v>34.6</v>
      </c>
      <c r="H264" s="6">
        <v>0</v>
      </c>
      <c r="I264" s="7" t="s">
        <v>4315</v>
      </c>
      <c r="J264" s="3" t="s">
        <v>4317</v>
      </c>
      <c r="K264" s="8" t="s">
        <v>4486</v>
      </c>
      <c r="L264" s="9" t="s">
        <v>571</v>
      </c>
      <c r="M264" s="1" t="s">
        <v>572</v>
      </c>
    </row>
    <row r="265" spans="1:13" x14ac:dyDescent="0.3">
      <c r="A265" s="3">
        <v>6710004</v>
      </c>
      <c r="B265" s="4" t="s">
        <v>564</v>
      </c>
      <c r="C265" s="5" t="s">
        <v>568</v>
      </c>
      <c r="D265" s="5" t="s">
        <v>552</v>
      </c>
      <c r="E265" s="3" t="s">
        <v>573</v>
      </c>
      <c r="F265" s="6">
        <v>60.5</v>
      </c>
      <c r="G265" s="6">
        <v>56.5</v>
      </c>
      <c r="H265" s="6">
        <v>35.5</v>
      </c>
      <c r="I265" s="7" t="s">
        <v>4315</v>
      </c>
      <c r="J265" s="3" t="s">
        <v>4317</v>
      </c>
      <c r="K265" s="8" t="s">
        <v>4487</v>
      </c>
      <c r="L265" s="9" t="s">
        <v>574</v>
      </c>
      <c r="M265" s="1" t="s">
        <v>575</v>
      </c>
    </row>
    <row r="266" spans="1:13" x14ac:dyDescent="0.3">
      <c r="A266" s="3">
        <v>8410001</v>
      </c>
      <c r="B266" s="4" t="s">
        <v>576</v>
      </c>
      <c r="C266" s="5" t="s">
        <v>577</v>
      </c>
      <c r="D266" s="5" t="s">
        <v>96</v>
      </c>
      <c r="E266" s="3" t="s">
        <v>578</v>
      </c>
      <c r="F266" s="6">
        <v>55.2</v>
      </c>
      <c r="G266" s="6">
        <v>33.799999999999997</v>
      </c>
      <c r="H266" s="6">
        <v>27.6</v>
      </c>
      <c r="I266" s="7" t="s">
        <v>4473</v>
      </c>
      <c r="J266" s="3" t="s">
        <v>4317</v>
      </c>
      <c r="K266" s="8" t="s">
        <v>4488</v>
      </c>
      <c r="L266" s="9" t="s">
        <v>579</v>
      </c>
      <c r="M266" s="1" t="s">
        <v>580</v>
      </c>
    </row>
    <row r="267" spans="1:13" x14ac:dyDescent="0.3">
      <c r="A267" s="3">
        <v>8413002</v>
      </c>
      <c r="B267" s="4" t="s">
        <v>576</v>
      </c>
      <c r="C267" s="5" t="s">
        <v>581</v>
      </c>
      <c r="D267" s="5" t="s">
        <v>491</v>
      </c>
      <c r="E267" s="3" t="s">
        <v>581</v>
      </c>
      <c r="F267" s="6">
        <v>64.5</v>
      </c>
      <c r="G267" s="6">
        <v>16.2</v>
      </c>
      <c r="H267" s="6">
        <v>16.2</v>
      </c>
      <c r="I267" s="7" t="s">
        <v>4315</v>
      </c>
      <c r="J267" s="3" t="s">
        <v>4317</v>
      </c>
      <c r="K267" s="8" t="s">
        <v>4443</v>
      </c>
      <c r="L267" s="9" t="s">
        <v>582</v>
      </c>
      <c r="M267" s="1" t="s">
        <v>583</v>
      </c>
    </row>
    <row r="268" spans="1:13" x14ac:dyDescent="0.3">
      <c r="A268" s="3">
        <v>1310001</v>
      </c>
      <c r="B268" s="4" t="s">
        <v>584</v>
      </c>
      <c r="C268" s="5" t="s">
        <v>585</v>
      </c>
      <c r="D268" s="5" t="s">
        <v>96</v>
      </c>
      <c r="E268" s="3" t="s">
        <v>14</v>
      </c>
      <c r="F268" s="6">
        <v>115.5</v>
      </c>
      <c r="G268" s="6">
        <v>96.5</v>
      </c>
      <c r="H268" s="6">
        <v>20</v>
      </c>
      <c r="I268" s="7" t="s">
        <v>4316</v>
      </c>
      <c r="J268" s="3" t="s">
        <v>4318</v>
      </c>
      <c r="K268" s="8" t="s">
        <v>4489</v>
      </c>
      <c r="L268" s="9" t="s">
        <v>586</v>
      </c>
      <c r="M268" s="1" t="s">
        <v>587</v>
      </c>
    </row>
    <row r="269" spans="1:13" x14ac:dyDescent="0.3">
      <c r="A269" s="3">
        <v>1320002</v>
      </c>
      <c r="B269" s="4" t="s">
        <v>584</v>
      </c>
      <c r="C269" s="5" t="s">
        <v>588</v>
      </c>
      <c r="D269" s="5" t="s">
        <v>264</v>
      </c>
      <c r="E269" s="3" t="s">
        <v>14</v>
      </c>
      <c r="F269" s="6">
        <v>108.5</v>
      </c>
      <c r="G269" s="6">
        <v>17.5</v>
      </c>
      <c r="H269" s="6">
        <v>0</v>
      </c>
      <c r="I269" s="7" t="s">
        <v>4316</v>
      </c>
      <c r="J269" s="3" t="s">
        <v>4318</v>
      </c>
      <c r="K269" s="8" t="s">
        <v>4490</v>
      </c>
      <c r="L269" s="9" t="s">
        <v>589</v>
      </c>
      <c r="M269" s="1" t="s">
        <v>590</v>
      </c>
    </row>
    <row r="270" spans="1:13" x14ac:dyDescent="0.3">
      <c r="A270" s="3">
        <v>1320003</v>
      </c>
      <c r="B270" s="4" t="s">
        <v>584</v>
      </c>
      <c r="C270" s="5" t="s">
        <v>588</v>
      </c>
      <c r="D270" s="5" t="s">
        <v>267</v>
      </c>
      <c r="E270" s="3" t="s">
        <v>14</v>
      </c>
      <c r="F270" s="6">
        <v>92.5</v>
      </c>
      <c r="G270" s="6">
        <v>17.5</v>
      </c>
      <c r="H270" s="6">
        <v>0</v>
      </c>
      <c r="I270" s="7" t="s">
        <v>4316</v>
      </c>
      <c r="J270" s="3" t="s">
        <v>4318</v>
      </c>
      <c r="K270" s="8" t="s">
        <v>4431</v>
      </c>
      <c r="L270" s="9" t="s">
        <v>591</v>
      </c>
      <c r="M270" s="1" t="s">
        <v>592</v>
      </c>
    </row>
    <row r="271" spans="1:13" x14ac:dyDescent="0.3">
      <c r="A271" s="3">
        <v>1319004</v>
      </c>
      <c r="B271" s="4" t="s">
        <v>584</v>
      </c>
      <c r="C271" s="5" t="s">
        <v>593</v>
      </c>
      <c r="D271" s="5" t="s">
        <v>74</v>
      </c>
      <c r="E271" s="3" t="s">
        <v>14</v>
      </c>
      <c r="F271" s="6">
        <v>124</v>
      </c>
      <c r="G271" s="6">
        <v>98</v>
      </c>
      <c r="H271" s="6">
        <v>0</v>
      </c>
      <c r="I271" s="7" t="s">
        <v>4316</v>
      </c>
      <c r="J271" s="3" t="s">
        <v>4318</v>
      </c>
      <c r="K271" s="8" t="s">
        <v>4491</v>
      </c>
      <c r="L271" s="9" t="s">
        <v>594</v>
      </c>
      <c r="M271" s="1" t="s">
        <v>595</v>
      </c>
    </row>
    <row r="272" spans="1:13" x14ac:dyDescent="0.3">
      <c r="A272" s="3">
        <v>1314005</v>
      </c>
      <c r="B272" s="4" t="s">
        <v>584</v>
      </c>
      <c r="C272" s="5" t="s">
        <v>593</v>
      </c>
      <c r="D272" s="5" t="s">
        <v>13</v>
      </c>
      <c r="E272" s="3" t="s">
        <v>14</v>
      </c>
      <c r="F272" s="6">
        <v>125.5</v>
      </c>
      <c r="G272" s="6">
        <v>99.5</v>
      </c>
      <c r="H272" s="6">
        <v>10.5</v>
      </c>
      <c r="I272" s="7" t="s">
        <v>4315</v>
      </c>
      <c r="J272" s="3" t="s">
        <v>4317</v>
      </c>
      <c r="K272" s="8" t="s">
        <v>4440</v>
      </c>
      <c r="L272" s="9" t="s">
        <v>596</v>
      </c>
      <c r="M272" s="1" t="s">
        <v>597</v>
      </c>
    </row>
    <row r="273" spans="1:13" x14ac:dyDescent="0.3">
      <c r="A273" s="3">
        <v>1313006</v>
      </c>
      <c r="B273" s="4" t="s">
        <v>584</v>
      </c>
      <c r="C273" s="5" t="s">
        <v>598</v>
      </c>
      <c r="D273" s="5" t="s">
        <v>599</v>
      </c>
      <c r="E273" s="3" t="s">
        <v>14</v>
      </c>
      <c r="F273" s="6">
        <v>35.6</v>
      </c>
      <c r="G273" s="6">
        <v>7.6</v>
      </c>
      <c r="H273" s="6">
        <v>0</v>
      </c>
      <c r="I273" s="7" t="s">
        <v>4316</v>
      </c>
      <c r="J273" s="3" t="s">
        <v>4318</v>
      </c>
      <c r="K273" s="8" t="s">
        <v>4490</v>
      </c>
      <c r="L273" s="9" t="s">
        <v>600</v>
      </c>
      <c r="M273" s="1" t="s">
        <v>601</v>
      </c>
    </row>
    <row r="274" spans="1:13" x14ac:dyDescent="0.3">
      <c r="A274" s="3">
        <v>1313007</v>
      </c>
      <c r="B274" s="4" t="s">
        <v>584</v>
      </c>
      <c r="C274" s="5" t="s">
        <v>598</v>
      </c>
      <c r="D274" s="5" t="s">
        <v>599</v>
      </c>
      <c r="E274" s="3" t="s">
        <v>14</v>
      </c>
      <c r="F274" s="6">
        <v>62.2</v>
      </c>
      <c r="G274" s="6">
        <v>7.6</v>
      </c>
      <c r="H274" s="6">
        <v>0</v>
      </c>
      <c r="I274" s="7" t="s">
        <v>4316</v>
      </c>
      <c r="J274" s="3" t="s">
        <v>4318</v>
      </c>
      <c r="K274" s="8" t="s">
        <v>4469</v>
      </c>
      <c r="L274" s="9" t="s">
        <v>602</v>
      </c>
      <c r="M274" s="1" t="s">
        <v>603</v>
      </c>
    </row>
    <row r="275" spans="1:13" x14ac:dyDescent="0.3">
      <c r="A275" s="3">
        <v>1311008</v>
      </c>
      <c r="B275" s="4" t="s">
        <v>584</v>
      </c>
      <c r="C275" s="5" t="s">
        <v>604</v>
      </c>
      <c r="D275" s="5" t="s">
        <v>154</v>
      </c>
      <c r="E275" s="3" t="s">
        <v>14</v>
      </c>
      <c r="F275" s="6">
        <v>116</v>
      </c>
      <c r="G275" s="6">
        <v>112.5</v>
      </c>
      <c r="H275" s="6">
        <v>36</v>
      </c>
      <c r="I275" s="7" t="s">
        <v>4316</v>
      </c>
      <c r="J275" s="3" t="s">
        <v>4318</v>
      </c>
      <c r="K275" s="8" t="s">
        <v>4492</v>
      </c>
      <c r="L275" s="9" t="s">
        <v>605</v>
      </c>
      <c r="M275" s="1" t="s">
        <v>606</v>
      </c>
    </row>
    <row r="276" spans="1:13" x14ac:dyDescent="0.3">
      <c r="A276" s="3">
        <v>1314009</v>
      </c>
      <c r="B276" s="4" t="s">
        <v>584</v>
      </c>
      <c r="C276" s="5" t="s">
        <v>604</v>
      </c>
      <c r="D276" s="5" t="s">
        <v>13</v>
      </c>
      <c r="E276" s="3" t="s">
        <v>14</v>
      </c>
      <c r="F276" s="6">
        <v>118</v>
      </c>
      <c r="G276" s="6">
        <v>114</v>
      </c>
      <c r="H276" s="6">
        <v>10.5</v>
      </c>
      <c r="I276" s="7" t="s">
        <v>4315</v>
      </c>
      <c r="J276" s="3" t="s">
        <v>4317</v>
      </c>
      <c r="K276" s="8" t="s">
        <v>4493</v>
      </c>
      <c r="L276" s="9" t="s">
        <v>607</v>
      </c>
      <c r="M276" s="1" t="s">
        <v>608</v>
      </c>
    </row>
    <row r="277" spans="1:13" x14ac:dyDescent="0.3">
      <c r="A277" s="3">
        <v>1320010</v>
      </c>
      <c r="B277" s="4" t="s">
        <v>584</v>
      </c>
      <c r="C277" s="5" t="s">
        <v>604</v>
      </c>
      <c r="D277" s="5" t="s">
        <v>264</v>
      </c>
      <c r="E277" s="3" t="s">
        <v>14</v>
      </c>
      <c r="F277" s="6">
        <v>114</v>
      </c>
      <c r="G277" s="6">
        <v>35</v>
      </c>
      <c r="H277" s="6">
        <v>0</v>
      </c>
      <c r="I277" s="7" t="s">
        <v>4315</v>
      </c>
      <c r="J277" s="3" t="s">
        <v>4317</v>
      </c>
      <c r="K277" s="8" t="s">
        <v>4494</v>
      </c>
      <c r="L277" s="9" t="s">
        <v>609</v>
      </c>
      <c r="M277" s="1" t="s">
        <v>610</v>
      </c>
    </row>
    <row r="278" spans="1:13" x14ac:dyDescent="0.3">
      <c r="A278" s="3">
        <v>1321011</v>
      </c>
      <c r="B278" s="4" t="s">
        <v>584</v>
      </c>
      <c r="C278" s="5" t="s">
        <v>604</v>
      </c>
      <c r="D278" s="5" t="s">
        <v>267</v>
      </c>
      <c r="E278" s="3" t="s">
        <v>14</v>
      </c>
      <c r="F278" s="6">
        <v>111</v>
      </c>
      <c r="G278" s="6">
        <v>35</v>
      </c>
      <c r="H278" s="6">
        <v>0</v>
      </c>
      <c r="I278" s="7" t="s">
        <v>4315</v>
      </c>
      <c r="J278" s="3" t="s">
        <v>4317</v>
      </c>
      <c r="K278" s="8" t="s">
        <v>4495</v>
      </c>
      <c r="L278" s="9" t="s">
        <v>611</v>
      </c>
      <c r="M278" s="1" t="s">
        <v>612</v>
      </c>
    </row>
    <row r="279" spans="1:13" x14ac:dyDescent="0.3">
      <c r="A279" s="3">
        <v>1330012</v>
      </c>
      <c r="B279" s="4" t="s">
        <v>584</v>
      </c>
      <c r="C279" s="5" t="s">
        <v>604</v>
      </c>
      <c r="D279" s="5" t="s">
        <v>613</v>
      </c>
      <c r="E279" s="3" t="s">
        <v>14</v>
      </c>
      <c r="F279" s="6" t="s">
        <v>14</v>
      </c>
      <c r="G279" s="6" t="s">
        <v>14</v>
      </c>
      <c r="H279" s="6" t="s">
        <v>14</v>
      </c>
      <c r="I279" s="7" t="s">
        <v>14</v>
      </c>
      <c r="J279" s="3" t="s">
        <v>14</v>
      </c>
      <c r="K279" s="8" t="s">
        <v>14</v>
      </c>
      <c r="L279" s="9" t="s">
        <v>614</v>
      </c>
      <c r="M279" s="1" t="s">
        <v>615</v>
      </c>
    </row>
    <row r="280" spans="1:13" x14ac:dyDescent="0.3">
      <c r="A280" s="3">
        <v>1332013</v>
      </c>
      <c r="B280" s="4" t="s">
        <v>584</v>
      </c>
      <c r="C280" s="5" t="s">
        <v>604</v>
      </c>
      <c r="D280" s="5" t="s">
        <v>14</v>
      </c>
      <c r="E280" s="3" t="s">
        <v>616</v>
      </c>
      <c r="F280" s="6" t="s">
        <v>14</v>
      </c>
      <c r="G280" s="6" t="s">
        <v>14</v>
      </c>
      <c r="H280" s="6" t="s">
        <v>14</v>
      </c>
      <c r="I280" s="7" t="s">
        <v>14</v>
      </c>
      <c r="J280" s="3" t="s">
        <v>14</v>
      </c>
      <c r="K280" s="8" t="s">
        <v>14</v>
      </c>
      <c r="L280" s="9" t="s">
        <v>617</v>
      </c>
      <c r="M280" s="1" t="s">
        <v>618</v>
      </c>
    </row>
    <row r="281" spans="1:13" x14ac:dyDescent="0.3">
      <c r="A281" s="3">
        <v>1310014</v>
      </c>
      <c r="B281" s="4" t="s">
        <v>584</v>
      </c>
      <c r="C281" s="5" t="s">
        <v>619</v>
      </c>
      <c r="D281" s="5" t="s">
        <v>96</v>
      </c>
      <c r="E281" s="3" t="s">
        <v>14</v>
      </c>
      <c r="F281" s="6">
        <v>48.3</v>
      </c>
      <c r="G281" s="6">
        <v>37</v>
      </c>
      <c r="H281" s="6">
        <v>15.7</v>
      </c>
      <c r="I281" s="7" t="s">
        <v>4315</v>
      </c>
      <c r="J281" s="3" t="s">
        <v>4317</v>
      </c>
      <c r="K281" s="8" t="s">
        <v>4496</v>
      </c>
      <c r="L281" s="9" t="s">
        <v>620</v>
      </c>
      <c r="M281" s="1" t="s">
        <v>621</v>
      </c>
    </row>
    <row r="282" spans="1:13" x14ac:dyDescent="0.3">
      <c r="A282" s="3">
        <v>1320015</v>
      </c>
      <c r="B282" s="4" t="s">
        <v>584</v>
      </c>
      <c r="C282" s="5" t="s">
        <v>622</v>
      </c>
      <c r="D282" s="5" t="s">
        <v>264</v>
      </c>
      <c r="E282" s="3" t="s">
        <v>14</v>
      </c>
      <c r="F282" s="6">
        <v>134</v>
      </c>
      <c r="G282" s="6">
        <v>21</v>
      </c>
      <c r="H282" s="6">
        <v>0</v>
      </c>
      <c r="I282" s="7" t="s">
        <v>4316</v>
      </c>
      <c r="J282" s="3" t="s">
        <v>4318</v>
      </c>
      <c r="K282" s="8" t="s">
        <v>4488</v>
      </c>
      <c r="L282" s="9" t="s">
        <v>623</v>
      </c>
      <c r="M282" s="1" t="s">
        <v>624</v>
      </c>
    </row>
    <row r="283" spans="1:13" x14ac:dyDescent="0.3">
      <c r="A283" s="3">
        <v>1321016</v>
      </c>
      <c r="B283" s="4" t="s">
        <v>584</v>
      </c>
      <c r="C283" s="5" t="s">
        <v>622</v>
      </c>
      <c r="D283" s="5" t="s">
        <v>267</v>
      </c>
      <c r="E283" s="3" t="s">
        <v>14</v>
      </c>
      <c r="F283" s="6">
        <v>108</v>
      </c>
      <c r="G283" s="6">
        <v>21</v>
      </c>
      <c r="H283" s="6">
        <v>0</v>
      </c>
      <c r="I283" s="7" t="s">
        <v>4316</v>
      </c>
      <c r="J283" s="3" t="s">
        <v>4318</v>
      </c>
      <c r="K283" s="8" t="s">
        <v>4476</v>
      </c>
      <c r="L283" s="9" t="s">
        <v>625</v>
      </c>
      <c r="M283" s="1" t="s">
        <v>626</v>
      </c>
    </row>
    <row r="284" spans="1:13" x14ac:dyDescent="0.3">
      <c r="A284" s="3">
        <v>1311017</v>
      </c>
      <c r="B284" s="4" t="s">
        <v>584</v>
      </c>
      <c r="C284" s="5" t="s">
        <v>627</v>
      </c>
      <c r="D284" s="5" t="s">
        <v>154</v>
      </c>
      <c r="E284" s="3" t="s">
        <v>14</v>
      </c>
      <c r="F284" s="6">
        <v>135</v>
      </c>
      <c r="G284" s="6">
        <v>121</v>
      </c>
      <c r="H284" s="6">
        <v>65.8</v>
      </c>
      <c r="I284" s="7" t="s">
        <v>4345</v>
      </c>
      <c r="J284" s="3" t="s">
        <v>4347</v>
      </c>
      <c r="K284" s="8" t="s">
        <v>4497</v>
      </c>
      <c r="L284" s="9" t="s">
        <v>628</v>
      </c>
      <c r="M284" s="1" t="s">
        <v>629</v>
      </c>
    </row>
    <row r="285" spans="1:13" x14ac:dyDescent="0.3">
      <c r="A285" s="3">
        <v>1317018</v>
      </c>
      <c r="B285" s="4" t="s">
        <v>584</v>
      </c>
      <c r="C285" s="5" t="s">
        <v>630</v>
      </c>
      <c r="D285" s="5" t="s">
        <v>86</v>
      </c>
      <c r="E285" s="3" t="s">
        <v>14</v>
      </c>
      <c r="F285" s="6">
        <v>132.6</v>
      </c>
      <c r="G285" s="6">
        <v>122.2</v>
      </c>
      <c r="H285" s="6">
        <v>127.6</v>
      </c>
      <c r="I285" s="7" t="s">
        <v>4316</v>
      </c>
      <c r="J285" s="3" t="s">
        <v>4318</v>
      </c>
      <c r="K285" s="8" t="s">
        <v>4498</v>
      </c>
      <c r="L285" s="9" t="s">
        <v>631</v>
      </c>
      <c r="M285" s="1" t="s">
        <v>632</v>
      </c>
    </row>
    <row r="286" spans="1:13" x14ac:dyDescent="0.3">
      <c r="A286" s="3">
        <v>1314019</v>
      </c>
      <c r="B286" s="4" t="s">
        <v>584</v>
      </c>
      <c r="C286" s="5" t="s">
        <v>633</v>
      </c>
      <c r="D286" s="5" t="s">
        <v>13</v>
      </c>
      <c r="E286" s="3" t="s">
        <v>14</v>
      </c>
      <c r="F286" s="6">
        <v>129</v>
      </c>
      <c r="G286" s="6">
        <v>118.6</v>
      </c>
      <c r="H286" s="6">
        <v>21</v>
      </c>
      <c r="I286" s="7" t="s">
        <v>4316</v>
      </c>
      <c r="J286" s="3" t="s">
        <v>4318</v>
      </c>
      <c r="K286" s="8" t="s">
        <v>4349</v>
      </c>
      <c r="L286" s="9" t="s">
        <v>634</v>
      </c>
      <c r="M286" s="1" t="s">
        <v>635</v>
      </c>
    </row>
    <row r="287" spans="1:13" x14ac:dyDescent="0.3">
      <c r="A287" s="3">
        <v>1314020</v>
      </c>
      <c r="B287" s="4" t="s">
        <v>584</v>
      </c>
      <c r="C287" s="5" t="s">
        <v>633</v>
      </c>
      <c r="D287" s="5" t="s">
        <v>13</v>
      </c>
      <c r="E287" s="3" t="s">
        <v>14</v>
      </c>
      <c r="F287" s="6">
        <v>134</v>
      </c>
      <c r="G287" s="6">
        <v>125.1</v>
      </c>
      <c r="H287" s="6">
        <v>10.7</v>
      </c>
      <c r="I287" s="7" t="s">
        <v>4316</v>
      </c>
      <c r="J287" s="3" t="s">
        <v>4318</v>
      </c>
      <c r="K287" s="8" t="s">
        <v>4499</v>
      </c>
      <c r="L287" s="9" t="s">
        <v>636</v>
      </c>
      <c r="M287" s="1" t="s">
        <v>637</v>
      </c>
    </row>
    <row r="288" spans="1:13" x14ac:dyDescent="0.3">
      <c r="A288" s="3">
        <v>1320021</v>
      </c>
      <c r="B288" s="4" t="s">
        <v>584</v>
      </c>
      <c r="C288" s="5" t="s">
        <v>633</v>
      </c>
      <c r="D288" s="5" t="s">
        <v>264</v>
      </c>
      <c r="E288" s="3" t="s">
        <v>14</v>
      </c>
      <c r="F288" s="6">
        <v>108.1</v>
      </c>
      <c r="G288" s="6">
        <v>20.2</v>
      </c>
      <c r="H288" s="6">
        <v>0</v>
      </c>
      <c r="I288" s="7" t="s">
        <v>4316</v>
      </c>
      <c r="J288" s="3" t="s">
        <v>4318</v>
      </c>
      <c r="K288" s="8" t="s">
        <v>4500</v>
      </c>
      <c r="L288" s="9" t="s">
        <v>638</v>
      </c>
      <c r="M288" s="1" t="s">
        <v>639</v>
      </c>
    </row>
    <row r="289" spans="1:13" x14ac:dyDescent="0.3">
      <c r="A289" s="3">
        <v>1321022</v>
      </c>
      <c r="B289" s="4" t="s">
        <v>584</v>
      </c>
      <c r="C289" s="5" t="s">
        <v>633</v>
      </c>
      <c r="D289" s="5" t="s">
        <v>267</v>
      </c>
      <c r="E289" s="3" t="s">
        <v>14</v>
      </c>
      <c r="F289" s="6">
        <v>108.1</v>
      </c>
      <c r="G289" s="6">
        <v>20.2</v>
      </c>
      <c r="H289" s="6">
        <v>0</v>
      </c>
      <c r="I289" s="7" t="s">
        <v>4316</v>
      </c>
      <c r="J289" s="3" t="s">
        <v>4318</v>
      </c>
      <c r="K289" s="8" t="s">
        <v>4500</v>
      </c>
      <c r="L289" s="9" t="s">
        <v>640</v>
      </c>
      <c r="M289" s="1" t="s">
        <v>641</v>
      </c>
    </row>
    <row r="290" spans="1:13" x14ac:dyDescent="0.3">
      <c r="A290" s="3">
        <v>1322023</v>
      </c>
      <c r="B290" s="4" t="s">
        <v>584</v>
      </c>
      <c r="C290" s="5" t="s">
        <v>633</v>
      </c>
      <c r="D290" s="5" t="s">
        <v>399</v>
      </c>
      <c r="E290" s="3" t="s">
        <v>14</v>
      </c>
      <c r="F290" s="6">
        <v>108.1</v>
      </c>
      <c r="G290" s="6">
        <v>20.2</v>
      </c>
      <c r="H290" s="6">
        <v>0</v>
      </c>
      <c r="I290" s="7" t="s">
        <v>4316</v>
      </c>
      <c r="J290" s="3" t="s">
        <v>4318</v>
      </c>
      <c r="K290" s="8" t="s">
        <v>4357</v>
      </c>
      <c r="L290" s="9" t="s">
        <v>642</v>
      </c>
      <c r="M290" s="1" t="s">
        <v>643</v>
      </c>
    </row>
    <row r="291" spans="1:13" x14ac:dyDescent="0.3">
      <c r="A291" s="3">
        <v>1323024</v>
      </c>
      <c r="B291" s="4" t="s">
        <v>584</v>
      </c>
      <c r="C291" s="5" t="s">
        <v>633</v>
      </c>
      <c r="D291" s="5" t="s">
        <v>644</v>
      </c>
      <c r="E291" s="3" t="s">
        <v>14</v>
      </c>
      <c r="F291" s="6">
        <v>127.5</v>
      </c>
      <c r="G291" s="6">
        <v>20.2</v>
      </c>
      <c r="H291" s="6">
        <v>0</v>
      </c>
      <c r="I291" s="7" t="s">
        <v>4316</v>
      </c>
      <c r="J291" s="3" t="s">
        <v>4318</v>
      </c>
      <c r="K291" s="8" t="s">
        <v>4350</v>
      </c>
      <c r="L291" s="9" t="s">
        <v>645</v>
      </c>
      <c r="M291" s="1" t="s">
        <v>646</v>
      </c>
    </row>
    <row r="292" spans="1:13" x14ac:dyDescent="0.3">
      <c r="A292" s="3">
        <v>1324025</v>
      </c>
      <c r="B292" s="4" t="s">
        <v>584</v>
      </c>
      <c r="C292" s="5" t="s">
        <v>633</v>
      </c>
      <c r="D292" s="5" t="s">
        <v>647</v>
      </c>
      <c r="E292" s="3" t="s">
        <v>14</v>
      </c>
      <c r="F292" s="6">
        <v>127.5</v>
      </c>
      <c r="G292" s="6">
        <v>20.2</v>
      </c>
      <c r="H292" s="6">
        <v>0</v>
      </c>
      <c r="I292" s="7" t="s">
        <v>4316</v>
      </c>
      <c r="J292" s="3" t="s">
        <v>4318</v>
      </c>
      <c r="K292" s="8" t="s">
        <v>4350</v>
      </c>
      <c r="L292" s="9" t="s">
        <v>648</v>
      </c>
      <c r="M292" s="24" t="s">
        <v>649</v>
      </c>
    </row>
    <row r="293" spans="1:13" x14ac:dyDescent="0.3">
      <c r="A293" s="3">
        <v>1333026</v>
      </c>
      <c r="B293" s="4" t="s">
        <v>584</v>
      </c>
      <c r="C293" s="5" t="s">
        <v>633</v>
      </c>
      <c r="D293" s="5" t="s">
        <v>650</v>
      </c>
      <c r="E293" s="3" t="s">
        <v>14</v>
      </c>
      <c r="F293" s="6">
        <v>127.5</v>
      </c>
      <c r="G293" s="6">
        <v>20.2</v>
      </c>
      <c r="H293" s="6">
        <v>0</v>
      </c>
      <c r="I293" s="7" t="s">
        <v>4316</v>
      </c>
      <c r="J293" s="3" t="s">
        <v>4318</v>
      </c>
      <c r="K293" s="8" t="s">
        <v>4464</v>
      </c>
      <c r="L293" s="9" t="s">
        <v>651</v>
      </c>
      <c r="M293" s="1" t="s">
        <v>652</v>
      </c>
    </row>
    <row r="294" spans="1:13" x14ac:dyDescent="0.3">
      <c r="A294" s="3">
        <v>1310027</v>
      </c>
      <c r="B294" s="4" t="s">
        <v>584</v>
      </c>
      <c r="C294" s="5" t="s">
        <v>653</v>
      </c>
      <c r="D294" s="5" t="s">
        <v>96</v>
      </c>
      <c r="E294" s="3" t="s">
        <v>14</v>
      </c>
      <c r="F294" s="6">
        <v>47.7</v>
      </c>
      <c r="G294" s="6">
        <v>37.200000000000003</v>
      </c>
      <c r="H294" s="6">
        <v>18.7</v>
      </c>
      <c r="I294" s="7" t="s">
        <v>4316</v>
      </c>
      <c r="J294" s="3" t="s">
        <v>4318</v>
      </c>
      <c r="K294" s="8" t="s">
        <v>4333</v>
      </c>
      <c r="L294" s="9" t="s">
        <v>654</v>
      </c>
      <c r="M294" s="1" t="s">
        <v>655</v>
      </c>
    </row>
    <row r="295" spans="1:13" x14ac:dyDescent="0.3">
      <c r="A295" s="3">
        <v>1314028</v>
      </c>
      <c r="B295" s="4" t="s">
        <v>584</v>
      </c>
      <c r="C295" s="5" t="s">
        <v>653</v>
      </c>
      <c r="D295" s="5" t="s">
        <v>13</v>
      </c>
      <c r="E295" s="3" t="s">
        <v>14</v>
      </c>
      <c r="F295" s="6">
        <v>35.9</v>
      </c>
      <c r="G295" s="6">
        <v>11</v>
      </c>
      <c r="H295" s="6">
        <v>9.9</v>
      </c>
      <c r="I295" s="7" t="s">
        <v>4315</v>
      </c>
      <c r="J295" s="3" t="s">
        <v>4317</v>
      </c>
      <c r="K295" s="8" t="s">
        <v>4501</v>
      </c>
      <c r="L295" s="9" t="s">
        <v>656</v>
      </c>
      <c r="M295" s="1" t="s">
        <v>657</v>
      </c>
    </row>
    <row r="296" spans="1:13" x14ac:dyDescent="0.3">
      <c r="A296" s="3">
        <v>1312029</v>
      </c>
      <c r="B296" s="4" t="s">
        <v>584</v>
      </c>
      <c r="C296" s="5" t="s">
        <v>653</v>
      </c>
      <c r="D296" s="5" t="s">
        <v>161</v>
      </c>
      <c r="E296" s="3" t="s">
        <v>14</v>
      </c>
      <c r="F296" s="6">
        <v>35.1</v>
      </c>
      <c r="G296" s="6">
        <v>9.3000000000000007</v>
      </c>
      <c r="H296" s="6">
        <v>9.5</v>
      </c>
      <c r="I296" s="7" t="s">
        <v>4315</v>
      </c>
      <c r="J296" s="3" t="s">
        <v>4317</v>
      </c>
      <c r="K296" s="8" t="s">
        <v>4452</v>
      </c>
      <c r="L296" s="9" t="s">
        <v>658</v>
      </c>
      <c r="M296" s="1" t="s">
        <v>659</v>
      </c>
    </row>
    <row r="297" spans="1:13" x14ac:dyDescent="0.3">
      <c r="A297" s="3">
        <v>1311030</v>
      </c>
      <c r="B297" s="4" t="s">
        <v>584</v>
      </c>
      <c r="C297" s="5">
        <v>73161605</v>
      </c>
      <c r="D297" s="5" t="s">
        <v>154</v>
      </c>
      <c r="E297" s="3">
        <v>73161605</v>
      </c>
      <c r="F297" s="6">
        <v>121.9</v>
      </c>
      <c r="G297" s="6">
        <v>114.3</v>
      </c>
      <c r="H297" s="6">
        <v>99</v>
      </c>
      <c r="I297" s="7" t="s">
        <v>4316</v>
      </c>
      <c r="J297" s="3" t="s">
        <v>4318</v>
      </c>
      <c r="K297" s="8" t="s">
        <v>4502</v>
      </c>
      <c r="L297" s="9" t="s">
        <v>660</v>
      </c>
      <c r="M297" s="1" t="s">
        <v>661</v>
      </c>
    </row>
    <row r="298" spans="1:13" x14ac:dyDescent="0.3">
      <c r="A298" s="3">
        <v>1320031</v>
      </c>
      <c r="B298" s="4" t="s">
        <v>584</v>
      </c>
      <c r="C298" s="5">
        <v>73161605</v>
      </c>
      <c r="D298" s="5" t="s">
        <v>264</v>
      </c>
      <c r="E298" s="3">
        <v>73161605</v>
      </c>
      <c r="F298" s="6">
        <v>120</v>
      </c>
      <c r="G298" s="6">
        <v>18.5</v>
      </c>
      <c r="H298" s="6">
        <v>0</v>
      </c>
      <c r="I298" s="7" t="s">
        <v>4316</v>
      </c>
      <c r="J298" s="3" t="s">
        <v>4318</v>
      </c>
      <c r="K298" s="8" t="s">
        <v>4410</v>
      </c>
      <c r="L298" s="9" t="s">
        <v>662</v>
      </c>
      <c r="M298" s="1" t="s">
        <v>663</v>
      </c>
    </row>
    <row r="299" spans="1:13" x14ac:dyDescent="0.3">
      <c r="A299" s="3">
        <v>1321032</v>
      </c>
      <c r="B299" s="4" t="s">
        <v>584</v>
      </c>
      <c r="C299" s="5">
        <v>73161605</v>
      </c>
      <c r="D299" s="5" t="s">
        <v>267</v>
      </c>
      <c r="E299" s="3">
        <v>73161605</v>
      </c>
      <c r="F299" s="6">
        <v>112.5</v>
      </c>
      <c r="G299" s="6">
        <v>18.5</v>
      </c>
      <c r="H299" s="6">
        <v>0</v>
      </c>
      <c r="I299" s="7" t="s">
        <v>4316</v>
      </c>
      <c r="J299" s="3" t="s">
        <v>4318</v>
      </c>
      <c r="K299" s="8" t="s">
        <v>4485</v>
      </c>
      <c r="L299" s="9" t="s">
        <v>664</v>
      </c>
      <c r="M299" s="1" t="s">
        <v>665</v>
      </c>
    </row>
    <row r="300" spans="1:13" x14ac:dyDescent="0.3">
      <c r="A300" s="3">
        <v>1319033</v>
      </c>
      <c r="B300" s="4" t="s">
        <v>584</v>
      </c>
      <c r="C300" s="5">
        <v>73161605</v>
      </c>
      <c r="D300" s="5" t="s">
        <v>74</v>
      </c>
      <c r="E300" s="3">
        <v>73161605</v>
      </c>
      <c r="F300" s="6">
        <v>120</v>
      </c>
      <c r="G300" s="6">
        <v>112.5</v>
      </c>
      <c r="H300" s="6">
        <v>0</v>
      </c>
      <c r="I300" s="7" t="s">
        <v>4316</v>
      </c>
      <c r="J300" s="3" t="s">
        <v>4318</v>
      </c>
      <c r="K300" s="8" t="s">
        <v>4367</v>
      </c>
      <c r="L300" s="9" t="s">
        <v>666</v>
      </c>
      <c r="M300" s="1" t="s">
        <v>667</v>
      </c>
    </row>
    <row r="301" spans="1:13" x14ac:dyDescent="0.3">
      <c r="A301" s="3">
        <v>1314034</v>
      </c>
      <c r="B301" s="4" t="s">
        <v>584</v>
      </c>
      <c r="C301" s="5">
        <v>73161605</v>
      </c>
      <c r="D301" s="5" t="s">
        <v>13</v>
      </c>
      <c r="E301" s="3">
        <v>73161605</v>
      </c>
      <c r="F301" s="6">
        <v>123.5</v>
      </c>
      <c r="G301" s="6">
        <v>117.5</v>
      </c>
      <c r="H301" s="6">
        <v>10</v>
      </c>
      <c r="I301" s="7" t="s">
        <v>4316</v>
      </c>
      <c r="J301" s="3" t="s">
        <v>4318</v>
      </c>
      <c r="K301" s="8" t="s">
        <v>4352</v>
      </c>
      <c r="L301" s="9" t="s">
        <v>668</v>
      </c>
      <c r="M301" s="1" t="s">
        <v>669</v>
      </c>
    </row>
    <row r="302" spans="1:13" x14ac:dyDescent="0.3">
      <c r="A302" s="3">
        <v>1331035</v>
      </c>
      <c r="B302" s="4" t="s">
        <v>584</v>
      </c>
      <c r="C302" s="5" t="s">
        <v>653</v>
      </c>
      <c r="D302" s="5" t="s">
        <v>261</v>
      </c>
      <c r="E302" s="3" t="s">
        <v>14</v>
      </c>
      <c r="F302" s="6">
        <v>66.099999999999994</v>
      </c>
      <c r="G302" s="6">
        <v>35.799999999999997</v>
      </c>
      <c r="H302" s="6">
        <v>0</v>
      </c>
      <c r="I302" s="7" t="s">
        <v>4315</v>
      </c>
      <c r="J302" s="3" t="s">
        <v>4317</v>
      </c>
      <c r="K302" s="8" t="s">
        <v>4503</v>
      </c>
      <c r="L302" s="9" t="s">
        <v>670</v>
      </c>
      <c r="M302" s="1" t="s">
        <v>671</v>
      </c>
    </row>
    <row r="303" spans="1:13" x14ac:dyDescent="0.3">
      <c r="A303" s="3">
        <v>1311036</v>
      </c>
      <c r="B303" s="4" t="s">
        <v>584</v>
      </c>
      <c r="C303" s="5" t="s">
        <v>622</v>
      </c>
      <c r="D303" s="5" t="s">
        <v>154</v>
      </c>
      <c r="E303" s="3" t="s">
        <v>14</v>
      </c>
      <c r="F303" s="6">
        <v>124.5</v>
      </c>
      <c r="G303" s="6">
        <v>98.5</v>
      </c>
      <c r="H303" s="6">
        <v>107.5</v>
      </c>
      <c r="I303" s="7" t="s">
        <v>4315</v>
      </c>
      <c r="J303" s="3" t="s">
        <v>4317</v>
      </c>
      <c r="K303" s="8" t="s">
        <v>4504</v>
      </c>
      <c r="L303" s="9" t="s">
        <v>672</v>
      </c>
      <c r="M303" s="1" t="s">
        <v>673</v>
      </c>
    </row>
    <row r="304" spans="1:13" x14ac:dyDescent="0.3">
      <c r="A304" s="3">
        <v>1500003</v>
      </c>
      <c r="B304" s="4" t="s">
        <v>674</v>
      </c>
      <c r="C304" s="5">
        <v>470824</v>
      </c>
      <c r="D304" s="5" t="s">
        <v>96</v>
      </c>
      <c r="E304" s="3" t="s">
        <v>14</v>
      </c>
      <c r="F304" s="6">
        <v>118</v>
      </c>
      <c r="G304" s="6">
        <v>114</v>
      </c>
      <c r="H304" s="6">
        <v>70</v>
      </c>
      <c r="I304" s="7">
        <v>42</v>
      </c>
      <c r="J304" s="3" t="s">
        <v>4318</v>
      </c>
      <c r="K304" s="8">
        <v>8.8699999999999992</v>
      </c>
      <c r="L304" s="9" t="s">
        <v>6065</v>
      </c>
      <c r="M304" s="1" t="s">
        <v>6340</v>
      </c>
    </row>
    <row r="305" spans="1:13" x14ac:dyDescent="0.3">
      <c r="A305" s="3">
        <v>1500004</v>
      </c>
      <c r="B305" s="4" t="s">
        <v>674</v>
      </c>
      <c r="C305" s="5">
        <v>470825</v>
      </c>
      <c r="D305" s="5" t="s">
        <v>90</v>
      </c>
      <c r="E305" s="3" t="s">
        <v>14</v>
      </c>
      <c r="F305" s="6">
        <v>117</v>
      </c>
      <c r="G305" s="6">
        <v>112.8</v>
      </c>
      <c r="H305" s="6">
        <v>69</v>
      </c>
      <c r="I305" s="7">
        <v>32</v>
      </c>
      <c r="J305" s="3" t="s">
        <v>4317</v>
      </c>
      <c r="K305" s="8">
        <v>0.78</v>
      </c>
      <c r="L305" s="9" t="s">
        <v>6066</v>
      </c>
      <c r="M305" s="1" t="s">
        <v>6341</v>
      </c>
    </row>
    <row r="306" spans="1:13" x14ac:dyDescent="0.3">
      <c r="A306" s="3">
        <v>1500005</v>
      </c>
      <c r="B306" s="4" t="s">
        <v>674</v>
      </c>
      <c r="C306" s="5">
        <v>470826</v>
      </c>
      <c r="D306" s="5" t="s">
        <v>96</v>
      </c>
      <c r="E306" s="3" t="s">
        <v>14</v>
      </c>
      <c r="F306" s="6">
        <v>35.5</v>
      </c>
      <c r="G306" s="6">
        <v>30.5</v>
      </c>
      <c r="H306" s="6">
        <v>25</v>
      </c>
      <c r="I306" s="7">
        <v>32</v>
      </c>
      <c r="J306" s="3" t="s">
        <v>4317</v>
      </c>
      <c r="K306" s="8">
        <v>0.78</v>
      </c>
      <c r="L306" s="9" t="s">
        <v>6067</v>
      </c>
      <c r="M306" s="1" t="s">
        <v>6342</v>
      </c>
    </row>
    <row r="307" spans="1:13" x14ac:dyDescent="0.3">
      <c r="A307" s="3">
        <v>1500006</v>
      </c>
      <c r="B307" s="4" t="s">
        <v>674</v>
      </c>
      <c r="C307" s="5" t="s">
        <v>6082</v>
      </c>
      <c r="D307" s="5" t="s">
        <v>682</v>
      </c>
      <c r="E307" s="3" t="s">
        <v>6078</v>
      </c>
      <c r="F307" s="6">
        <v>112.5</v>
      </c>
      <c r="G307" s="6">
        <v>105</v>
      </c>
      <c r="H307" s="6">
        <v>97</v>
      </c>
      <c r="I307" s="7">
        <v>51</v>
      </c>
      <c r="J307" s="3" t="s">
        <v>4318</v>
      </c>
      <c r="K307" s="8">
        <v>2.69</v>
      </c>
      <c r="L307" s="9" t="s">
        <v>6077</v>
      </c>
      <c r="M307" s="1" t="s">
        <v>6079</v>
      </c>
    </row>
    <row r="308" spans="1:13" x14ac:dyDescent="0.3">
      <c r="A308" s="3">
        <v>1500007</v>
      </c>
      <c r="B308" s="4" t="s">
        <v>674</v>
      </c>
      <c r="C308" s="5">
        <v>461001</v>
      </c>
      <c r="D308" s="5" t="s">
        <v>96</v>
      </c>
      <c r="E308" s="3" t="s">
        <v>14</v>
      </c>
      <c r="F308" s="6">
        <v>86.3</v>
      </c>
      <c r="G308" s="6">
        <v>53.3</v>
      </c>
      <c r="H308" s="6">
        <v>38</v>
      </c>
      <c r="I308" s="7">
        <v>42</v>
      </c>
      <c r="J308" s="3" t="s">
        <v>4318</v>
      </c>
      <c r="K308" s="8">
        <v>2.62</v>
      </c>
      <c r="L308" s="9" t="s">
        <v>7653</v>
      </c>
      <c r="M308" s="1" t="s">
        <v>7659</v>
      </c>
    </row>
    <row r="309" spans="1:13" x14ac:dyDescent="0.3">
      <c r="A309" s="3">
        <v>1500008</v>
      </c>
      <c r="B309" s="4" t="s">
        <v>674</v>
      </c>
      <c r="C309" s="5">
        <v>461002</v>
      </c>
      <c r="D309" s="5" t="s">
        <v>74</v>
      </c>
      <c r="E309" s="3" t="s">
        <v>14</v>
      </c>
      <c r="F309" s="6">
        <v>85</v>
      </c>
      <c r="G309" s="6">
        <v>52</v>
      </c>
      <c r="H309" s="6" t="s">
        <v>14</v>
      </c>
      <c r="I309" s="7">
        <v>32</v>
      </c>
      <c r="J309" s="3" t="s">
        <v>4317</v>
      </c>
      <c r="K309" s="8">
        <v>0.44</v>
      </c>
      <c r="L309" s="9" t="s">
        <v>7654</v>
      </c>
      <c r="M309" s="1" t="s">
        <v>7660</v>
      </c>
    </row>
    <row r="310" spans="1:13" x14ac:dyDescent="0.3">
      <c r="A310" s="3">
        <v>1500009</v>
      </c>
      <c r="B310" s="4" t="s">
        <v>674</v>
      </c>
      <c r="C310" s="5">
        <v>461003</v>
      </c>
      <c r="D310" s="5" t="s">
        <v>96</v>
      </c>
      <c r="E310" s="3" t="s">
        <v>14</v>
      </c>
      <c r="F310" s="6">
        <v>35.5</v>
      </c>
      <c r="G310" s="6">
        <v>30.4</v>
      </c>
      <c r="H310" s="6">
        <v>25.4</v>
      </c>
      <c r="I310" s="7">
        <v>42</v>
      </c>
      <c r="J310" s="3" t="s">
        <v>4318</v>
      </c>
      <c r="K310" s="8">
        <v>0.77</v>
      </c>
      <c r="L310" s="9" t="s">
        <v>7655</v>
      </c>
      <c r="M310" s="1" t="s">
        <v>7661</v>
      </c>
    </row>
    <row r="311" spans="1:13" x14ac:dyDescent="0.3">
      <c r="A311" s="3">
        <v>1500010</v>
      </c>
      <c r="B311" s="4" t="s">
        <v>674</v>
      </c>
      <c r="C311" s="5">
        <v>461004</v>
      </c>
      <c r="D311" s="5" t="s">
        <v>74</v>
      </c>
      <c r="E311" s="3" t="s">
        <v>14</v>
      </c>
      <c r="F311" s="6">
        <v>34</v>
      </c>
      <c r="G311" s="6">
        <v>29</v>
      </c>
      <c r="H311" s="6" t="s">
        <v>14</v>
      </c>
      <c r="I311" s="7">
        <v>32</v>
      </c>
      <c r="J311" s="3" t="s">
        <v>4317</v>
      </c>
      <c r="K311" s="8">
        <v>0.12</v>
      </c>
      <c r="L311" s="9" t="s">
        <v>7656</v>
      </c>
      <c r="M311" s="1" t="s">
        <v>7662</v>
      </c>
    </row>
    <row r="312" spans="1:13" x14ac:dyDescent="0.3">
      <c r="A312" s="3">
        <v>1500011</v>
      </c>
      <c r="B312" s="4" t="s">
        <v>674</v>
      </c>
      <c r="C312" s="5">
        <v>461005</v>
      </c>
      <c r="D312" s="5" t="s">
        <v>96</v>
      </c>
      <c r="E312" s="3" t="s">
        <v>14</v>
      </c>
      <c r="F312" s="6">
        <v>17.7</v>
      </c>
      <c r="G312" s="6">
        <v>15.2</v>
      </c>
      <c r="H312" s="6">
        <v>12.7</v>
      </c>
      <c r="I312" s="7">
        <v>42</v>
      </c>
      <c r="J312" s="3" t="s">
        <v>4318</v>
      </c>
      <c r="K312" s="8">
        <v>0.2</v>
      </c>
      <c r="L312" s="9" t="s">
        <v>7657</v>
      </c>
      <c r="M312" s="1" t="s">
        <v>7663</v>
      </c>
    </row>
    <row r="313" spans="1:13" x14ac:dyDescent="0.3">
      <c r="A313" s="3">
        <v>1500012</v>
      </c>
      <c r="B313" s="4" t="s">
        <v>674</v>
      </c>
      <c r="C313" s="5">
        <v>461006</v>
      </c>
      <c r="D313" s="5" t="s">
        <v>74</v>
      </c>
      <c r="E313" s="3" t="s">
        <v>14</v>
      </c>
      <c r="F313" s="6">
        <v>17</v>
      </c>
      <c r="G313" s="6">
        <v>14</v>
      </c>
      <c r="H313" s="6" t="s">
        <v>14</v>
      </c>
      <c r="I313" s="7">
        <v>32</v>
      </c>
      <c r="J313" s="3" t="s">
        <v>4317</v>
      </c>
      <c r="K313" s="8">
        <v>0.02</v>
      </c>
      <c r="L313" s="9" t="s">
        <v>7658</v>
      </c>
      <c r="M313" s="1" t="s">
        <v>7664</v>
      </c>
    </row>
    <row r="314" spans="1:13" x14ac:dyDescent="0.3">
      <c r="A314" s="3">
        <v>80722001</v>
      </c>
      <c r="B314" s="4" t="s">
        <v>6483</v>
      </c>
      <c r="C314" s="5" t="s">
        <v>6479</v>
      </c>
      <c r="D314" s="5" t="s">
        <v>161</v>
      </c>
      <c r="E314" s="3" t="s">
        <v>6480</v>
      </c>
      <c r="F314" s="6">
        <v>178</v>
      </c>
      <c r="G314" s="6">
        <v>137</v>
      </c>
      <c r="H314" s="6">
        <v>24</v>
      </c>
      <c r="I314" s="3">
        <v>48</v>
      </c>
      <c r="J314" s="3" t="s">
        <v>4318</v>
      </c>
      <c r="K314" s="8">
        <v>4.18</v>
      </c>
      <c r="L314" s="9" t="s">
        <v>6484</v>
      </c>
      <c r="M314" s="1"/>
    </row>
    <row r="315" spans="1:13" x14ac:dyDescent="0.3">
      <c r="A315" s="3">
        <v>80722002</v>
      </c>
      <c r="B315" s="4" t="s">
        <v>6483</v>
      </c>
      <c r="C315" s="5" t="s">
        <v>6479</v>
      </c>
      <c r="D315" s="5" t="s">
        <v>13</v>
      </c>
      <c r="E315" s="3" t="s">
        <v>6480</v>
      </c>
      <c r="F315" s="6">
        <v>181</v>
      </c>
      <c r="G315" s="6">
        <v>140</v>
      </c>
      <c r="H315" s="6">
        <v>24</v>
      </c>
      <c r="I315" s="3">
        <v>48</v>
      </c>
      <c r="J315" s="3" t="s">
        <v>4318</v>
      </c>
      <c r="K315" s="8">
        <v>4.3099999999999996</v>
      </c>
      <c r="L315" s="9" t="s">
        <v>6485</v>
      </c>
      <c r="M315" s="1"/>
    </row>
    <row r="316" spans="1:13" x14ac:dyDescent="0.3">
      <c r="A316" s="3">
        <v>80722003</v>
      </c>
      <c r="B316" s="4" t="s">
        <v>6483</v>
      </c>
      <c r="C316" s="5" t="s">
        <v>6482</v>
      </c>
      <c r="D316" s="5" t="s">
        <v>161</v>
      </c>
      <c r="E316" s="3" t="s">
        <v>6481</v>
      </c>
      <c r="F316" s="6">
        <v>142</v>
      </c>
      <c r="G316" s="6">
        <v>137</v>
      </c>
      <c r="H316" s="6">
        <v>24</v>
      </c>
      <c r="I316" s="3">
        <v>48</v>
      </c>
      <c r="J316" s="3" t="s">
        <v>4318</v>
      </c>
      <c r="K316" s="8">
        <v>3.52</v>
      </c>
      <c r="L316" s="9" t="s">
        <v>6486</v>
      </c>
      <c r="M316" s="1"/>
    </row>
    <row r="317" spans="1:13" x14ac:dyDescent="0.3">
      <c r="A317" s="3">
        <v>80722004</v>
      </c>
      <c r="B317" s="4" t="s">
        <v>6483</v>
      </c>
      <c r="C317" s="5">
        <v>56.6</v>
      </c>
      <c r="D317" s="5" t="s">
        <v>13</v>
      </c>
      <c r="E317" s="3" t="s">
        <v>6481</v>
      </c>
      <c r="F317" s="6">
        <v>145</v>
      </c>
      <c r="G317" s="6">
        <v>140</v>
      </c>
      <c r="H317" s="6">
        <v>24</v>
      </c>
      <c r="I317" s="3">
        <v>48</v>
      </c>
      <c r="J317" s="3" t="s">
        <v>4318</v>
      </c>
      <c r="K317" s="8">
        <v>3.63</v>
      </c>
      <c r="L317" s="9" t="s">
        <v>6487</v>
      </c>
      <c r="M317" s="1"/>
    </row>
    <row r="318" spans="1:13" x14ac:dyDescent="0.3">
      <c r="A318" s="3">
        <v>8613001</v>
      </c>
      <c r="B318" s="4" t="s">
        <v>676</v>
      </c>
      <c r="C318" s="5" t="s">
        <v>677</v>
      </c>
      <c r="D318" s="5" t="s">
        <v>491</v>
      </c>
      <c r="E318" s="3" t="s">
        <v>678</v>
      </c>
      <c r="F318" s="6">
        <v>12.7</v>
      </c>
      <c r="G318" s="6">
        <v>8.3000000000000007</v>
      </c>
      <c r="H318" s="6">
        <v>10</v>
      </c>
      <c r="I318" s="7" t="s">
        <v>4505</v>
      </c>
      <c r="J318" s="3" t="s">
        <v>4422</v>
      </c>
      <c r="K318" s="8">
        <v>0.11</v>
      </c>
      <c r="L318" s="9" t="s">
        <v>679</v>
      </c>
      <c r="M318" s="24" t="s">
        <v>680</v>
      </c>
    </row>
    <row r="319" spans="1:13" x14ac:dyDescent="0.3">
      <c r="A319" s="3">
        <v>9717001</v>
      </c>
      <c r="B319" s="4" t="s">
        <v>681</v>
      </c>
      <c r="C319" s="5" t="s">
        <v>682</v>
      </c>
      <c r="D319" s="5" t="s">
        <v>86</v>
      </c>
      <c r="E319" s="3" t="s">
        <v>683</v>
      </c>
      <c r="F319" s="6">
        <v>126</v>
      </c>
      <c r="G319" s="6">
        <v>114</v>
      </c>
      <c r="H319" s="6">
        <v>105.5</v>
      </c>
      <c r="I319" s="7" t="s">
        <v>4316</v>
      </c>
      <c r="J319" s="3" t="s">
        <v>4318</v>
      </c>
      <c r="K319" s="8" t="s">
        <v>4506</v>
      </c>
      <c r="L319" s="9" t="s">
        <v>684</v>
      </c>
      <c r="M319" s="1" t="s">
        <v>685</v>
      </c>
    </row>
    <row r="320" spans="1:13" x14ac:dyDescent="0.3">
      <c r="A320" s="3">
        <v>9720002</v>
      </c>
      <c r="B320" s="4" t="s">
        <v>681</v>
      </c>
      <c r="C320" s="5" t="s">
        <v>90</v>
      </c>
      <c r="D320" s="5" t="s">
        <v>264</v>
      </c>
      <c r="E320" s="3" t="s">
        <v>683</v>
      </c>
      <c r="F320" s="6">
        <v>124</v>
      </c>
      <c r="G320" s="6">
        <v>35</v>
      </c>
      <c r="H320" s="6">
        <v>0</v>
      </c>
      <c r="I320" s="7" t="s">
        <v>4315</v>
      </c>
      <c r="J320" s="3" t="s">
        <v>4317</v>
      </c>
      <c r="K320" s="8" t="s">
        <v>4507</v>
      </c>
      <c r="L320" s="9" t="s">
        <v>686</v>
      </c>
      <c r="M320" s="1" t="s">
        <v>687</v>
      </c>
    </row>
    <row r="321" spans="1:13" x14ac:dyDescent="0.3">
      <c r="A321" s="3">
        <v>9721003</v>
      </c>
      <c r="B321" s="4" t="s">
        <v>681</v>
      </c>
      <c r="C321" s="5" t="s">
        <v>131</v>
      </c>
      <c r="D321" s="5" t="s">
        <v>267</v>
      </c>
      <c r="E321" s="3" t="s">
        <v>683</v>
      </c>
      <c r="F321" s="6">
        <v>112.5</v>
      </c>
      <c r="G321" s="6">
        <v>35</v>
      </c>
      <c r="H321" s="6">
        <v>0</v>
      </c>
      <c r="I321" s="7" t="s">
        <v>4315</v>
      </c>
      <c r="J321" s="3" t="s">
        <v>4317</v>
      </c>
      <c r="K321" s="8" t="s">
        <v>4508</v>
      </c>
      <c r="L321" s="9" t="s">
        <v>688</v>
      </c>
      <c r="M321" s="1" t="s">
        <v>689</v>
      </c>
    </row>
    <row r="322" spans="1:13" x14ac:dyDescent="0.3">
      <c r="A322" s="3">
        <v>9719004</v>
      </c>
      <c r="B322" s="4" t="s">
        <v>681</v>
      </c>
      <c r="C322" s="5" t="s">
        <v>74</v>
      </c>
      <c r="D322" s="5" t="s">
        <v>74</v>
      </c>
      <c r="E322" s="3" t="s">
        <v>683</v>
      </c>
      <c r="F322" s="6">
        <v>121</v>
      </c>
      <c r="G322" s="6">
        <v>113</v>
      </c>
      <c r="H322" s="6">
        <v>0</v>
      </c>
      <c r="I322" s="7" t="s">
        <v>4315</v>
      </c>
      <c r="J322" s="3" t="s">
        <v>4317</v>
      </c>
      <c r="K322" s="8" t="s">
        <v>4328</v>
      </c>
      <c r="L322" s="9" t="s">
        <v>690</v>
      </c>
      <c r="M322" s="1" t="s">
        <v>691</v>
      </c>
    </row>
    <row r="323" spans="1:13" x14ac:dyDescent="0.3">
      <c r="A323" s="3">
        <v>9714005</v>
      </c>
      <c r="B323" s="4" t="s">
        <v>681</v>
      </c>
      <c r="C323" s="5" t="s">
        <v>13</v>
      </c>
      <c r="D323" s="5" t="s">
        <v>26</v>
      </c>
      <c r="E323" s="3" t="s">
        <v>683</v>
      </c>
      <c r="F323" s="6">
        <v>127</v>
      </c>
      <c r="G323" s="6">
        <v>115</v>
      </c>
      <c r="H323" s="6">
        <v>11</v>
      </c>
      <c r="I323" s="7" t="s">
        <v>4316</v>
      </c>
      <c r="J323" s="3" t="s">
        <v>4318</v>
      </c>
      <c r="K323" s="8" t="s">
        <v>4509</v>
      </c>
      <c r="L323" s="9" t="s">
        <v>692</v>
      </c>
      <c r="M323" s="1" t="s">
        <v>693</v>
      </c>
    </row>
    <row r="324" spans="1:13" x14ac:dyDescent="0.3">
      <c r="A324" s="3">
        <v>1410001</v>
      </c>
      <c r="B324" s="4" t="s">
        <v>694</v>
      </c>
      <c r="C324" s="5">
        <v>8531783001</v>
      </c>
      <c r="D324" s="5" t="s">
        <v>96</v>
      </c>
      <c r="E324" s="3" t="s">
        <v>14</v>
      </c>
      <c r="F324" s="6">
        <v>58.2</v>
      </c>
      <c r="G324" s="6">
        <v>48</v>
      </c>
      <c r="H324" s="6">
        <v>101.3</v>
      </c>
      <c r="I324" s="7" t="s">
        <v>4316</v>
      </c>
      <c r="J324" s="3" t="s">
        <v>4318</v>
      </c>
      <c r="K324" s="8" t="s">
        <v>4511</v>
      </c>
      <c r="L324" s="9" t="s">
        <v>695</v>
      </c>
      <c r="M324" s="1" t="s">
        <v>696</v>
      </c>
    </row>
    <row r="325" spans="1:13" x14ac:dyDescent="0.3">
      <c r="A325" s="3">
        <v>1415002</v>
      </c>
      <c r="B325" s="4" t="s">
        <v>694</v>
      </c>
      <c r="C325" s="5">
        <v>8531783002</v>
      </c>
      <c r="D325" s="5" t="s">
        <v>697</v>
      </c>
      <c r="E325" s="3" t="s">
        <v>14</v>
      </c>
      <c r="F325" s="6">
        <v>51.7</v>
      </c>
      <c r="G325" s="6">
        <v>45.1</v>
      </c>
      <c r="H325" s="6">
        <v>10.199999999999999</v>
      </c>
      <c r="I325" s="7" t="s">
        <v>4510</v>
      </c>
      <c r="J325" s="3" t="s">
        <v>4318</v>
      </c>
      <c r="K325" s="8" t="s">
        <v>4485</v>
      </c>
      <c r="L325" s="9" t="s">
        <v>698</v>
      </c>
      <c r="M325" s="1" t="s">
        <v>699</v>
      </c>
    </row>
    <row r="326" spans="1:13" x14ac:dyDescent="0.3">
      <c r="A326" s="3">
        <v>1410003</v>
      </c>
      <c r="B326" s="4" t="s">
        <v>694</v>
      </c>
      <c r="C326" s="5">
        <v>8531783501</v>
      </c>
      <c r="D326" s="5" t="s">
        <v>700</v>
      </c>
      <c r="E326" s="3" t="s">
        <v>14</v>
      </c>
      <c r="F326" s="6">
        <v>93.7</v>
      </c>
      <c r="G326" s="6">
        <v>70.2</v>
      </c>
      <c r="H326" s="6">
        <v>132.6</v>
      </c>
      <c r="I326" s="7" t="s">
        <v>4316</v>
      </c>
      <c r="J326" s="3" t="s">
        <v>4318</v>
      </c>
      <c r="K326" s="8" t="s">
        <v>4512</v>
      </c>
      <c r="L326" s="9" t="s">
        <v>701</v>
      </c>
      <c r="M326" s="1" t="s">
        <v>702</v>
      </c>
    </row>
    <row r="327" spans="1:13" x14ac:dyDescent="0.3">
      <c r="A327" s="3">
        <v>1410004</v>
      </c>
      <c r="B327" s="4" t="s">
        <v>694</v>
      </c>
      <c r="C327" s="5">
        <v>8537780701</v>
      </c>
      <c r="D327" s="5" t="s">
        <v>96</v>
      </c>
      <c r="E327" s="3" t="s">
        <v>14</v>
      </c>
      <c r="F327" s="6">
        <v>42.3</v>
      </c>
      <c r="G327" s="6">
        <v>41.6</v>
      </c>
      <c r="H327" s="6">
        <v>88</v>
      </c>
      <c r="I327" s="7" t="s">
        <v>4510</v>
      </c>
      <c r="J327" s="3" t="s">
        <v>4318</v>
      </c>
      <c r="K327" s="8" t="s">
        <v>4513</v>
      </c>
      <c r="L327" s="9" t="s">
        <v>703</v>
      </c>
      <c r="M327" s="1" t="s">
        <v>704</v>
      </c>
    </row>
    <row r="328" spans="1:13" x14ac:dyDescent="0.3">
      <c r="A328" s="3">
        <v>1416005</v>
      </c>
      <c r="B328" s="4" t="s">
        <v>694</v>
      </c>
      <c r="C328" s="5">
        <v>8503026350</v>
      </c>
      <c r="D328" s="5" t="s">
        <v>105</v>
      </c>
      <c r="E328" s="3" t="s">
        <v>14</v>
      </c>
      <c r="F328" s="6">
        <v>88.5</v>
      </c>
      <c r="G328" s="6">
        <v>78.3</v>
      </c>
      <c r="H328" s="6">
        <v>91.5</v>
      </c>
      <c r="I328" s="7" t="s">
        <v>4345</v>
      </c>
      <c r="J328" s="3" t="s">
        <v>4347</v>
      </c>
      <c r="K328" s="8" t="s">
        <v>4468</v>
      </c>
      <c r="L328" s="9" t="s">
        <v>705</v>
      </c>
      <c r="M328" s="1" t="s">
        <v>706</v>
      </c>
    </row>
    <row r="329" spans="1:13" x14ac:dyDescent="0.3">
      <c r="A329" s="3">
        <v>1410006</v>
      </c>
      <c r="B329" s="4" t="s">
        <v>694</v>
      </c>
      <c r="C329" s="5">
        <v>8508862000</v>
      </c>
      <c r="D329" s="5" t="s">
        <v>96</v>
      </c>
      <c r="E329" s="3" t="s">
        <v>14</v>
      </c>
      <c r="F329" s="6">
        <v>56.9</v>
      </c>
      <c r="G329" s="6">
        <v>44.2</v>
      </c>
      <c r="H329" s="6">
        <v>18.8</v>
      </c>
      <c r="I329" s="7" t="s">
        <v>4316</v>
      </c>
      <c r="J329" s="3" t="s">
        <v>4318</v>
      </c>
      <c r="K329" s="8" t="s">
        <v>4461</v>
      </c>
      <c r="L329" s="9" t="s">
        <v>707</v>
      </c>
      <c r="M329" s="1" t="s">
        <v>708</v>
      </c>
    </row>
    <row r="330" spans="1:13" x14ac:dyDescent="0.3">
      <c r="A330" s="3">
        <v>1410007</v>
      </c>
      <c r="B330" s="4" t="s">
        <v>694</v>
      </c>
      <c r="C330" s="5">
        <v>8500504000</v>
      </c>
      <c r="D330" s="5" t="s">
        <v>96</v>
      </c>
      <c r="E330" s="3" t="s">
        <v>14</v>
      </c>
      <c r="F330" s="6">
        <v>53</v>
      </c>
      <c r="G330" s="6">
        <v>40</v>
      </c>
      <c r="H330" s="6">
        <v>24</v>
      </c>
      <c r="I330" s="7" t="s">
        <v>4316</v>
      </c>
      <c r="J330" s="3" t="s">
        <v>4318</v>
      </c>
      <c r="K330" s="8" t="s">
        <v>4514</v>
      </c>
      <c r="L330" s="9" t="s">
        <v>709</v>
      </c>
      <c r="M330" s="1" t="s">
        <v>710</v>
      </c>
    </row>
    <row r="331" spans="1:13" x14ac:dyDescent="0.3">
      <c r="A331" s="3">
        <v>1410008</v>
      </c>
      <c r="B331" s="4" t="s">
        <v>694</v>
      </c>
      <c r="C331" s="5">
        <v>8531926390</v>
      </c>
      <c r="D331" s="5" t="s">
        <v>96</v>
      </c>
      <c r="E331" s="3" t="s">
        <v>14</v>
      </c>
      <c r="F331" s="6">
        <v>67.599999999999994</v>
      </c>
      <c r="G331" s="6">
        <v>48</v>
      </c>
      <c r="H331" s="6">
        <v>101.9</v>
      </c>
      <c r="I331" s="7" t="s">
        <v>4510</v>
      </c>
      <c r="J331" s="3" t="s">
        <v>4318</v>
      </c>
      <c r="K331" s="8" t="s">
        <v>4515</v>
      </c>
      <c r="L331" s="9" t="s">
        <v>711</v>
      </c>
      <c r="M331" s="1" t="s">
        <v>712</v>
      </c>
    </row>
    <row r="332" spans="1:13" x14ac:dyDescent="0.3">
      <c r="A332" s="3">
        <v>1410009</v>
      </c>
      <c r="B332" s="4" t="s">
        <v>694</v>
      </c>
      <c r="C332" s="5">
        <v>8535779201</v>
      </c>
      <c r="D332" s="5" t="s">
        <v>96</v>
      </c>
      <c r="E332" s="3" t="s">
        <v>14</v>
      </c>
      <c r="F332" s="6">
        <v>61.4</v>
      </c>
      <c r="G332" s="6">
        <v>61.4</v>
      </c>
      <c r="H332" s="6">
        <v>18</v>
      </c>
      <c r="I332" s="7" t="s">
        <v>4510</v>
      </c>
      <c r="J332" s="3" t="s">
        <v>4318</v>
      </c>
      <c r="K332" s="8" t="s">
        <v>4516</v>
      </c>
      <c r="L332" s="9" t="s">
        <v>713</v>
      </c>
      <c r="M332" s="1" t="s">
        <v>714</v>
      </c>
    </row>
    <row r="333" spans="1:13" x14ac:dyDescent="0.3">
      <c r="A333" s="3">
        <v>1410010</v>
      </c>
      <c r="B333" s="4" t="s">
        <v>694</v>
      </c>
      <c r="C333" s="5">
        <v>8500527000</v>
      </c>
      <c r="D333" s="5" t="s">
        <v>96</v>
      </c>
      <c r="E333" s="3" t="s">
        <v>14</v>
      </c>
      <c r="F333" s="6">
        <v>53.5</v>
      </c>
      <c r="G333" s="6">
        <v>53</v>
      </c>
      <c r="H333" s="6">
        <v>87</v>
      </c>
      <c r="I333" s="7" t="s">
        <v>4510</v>
      </c>
      <c r="J333" s="3" t="s">
        <v>4318</v>
      </c>
      <c r="K333" s="8" t="s">
        <v>4517</v>
      </c>
      <c r="L333" s="9" t="s">
        <v>715</v>
      </c>
      <c r="M333" s="1" t="s">
        <v>716</v>
      </c>
    </row>
    <row r="334" spans="1:13" x14ac:dyDescent="0.3">
      <c r="A334" s="3">
        <v>1419011</v>
      </c>
      <c r="B334" s="4" t="s">
        <v>694</v>
      </c>
      <c r="C334" s="5">
        <v>8531607502</v>
      </c>
      <c r="D334" s="5" t="s">
        <v>74</v>
      </c>
      <c r="E334" s="3" t="s">
        <v>14</v>
      </c>
      <c r="F334" s="6">
        <v>183</v>
      </c>
      <c r="G334" s="6">
        <v>76.2</v>
      </c>
      <c r="H334" s="6">
        <v>0</v>
      </c>
      <c r="I334" s="7" t="s">
        <v>4315</v>
      </c>
      <c r="J334" s="3" t="s">
        <v>4317</v>
      </c>
      <c r="K334" s="8" t="s">
        <v>4518</v>
      </c>
      <c r="L334" s="9" t="s">
        <v>717</v>
      </c>
      <c r="M334" s="1" t="s">
        <v>718</v>
      </c>
    </row>
    <row r="335" spans="1:13" x14ac:dyDescent="0.3">
      <c r="A335" s="3">
        <v>1415012</v>
      </c>
      <c r="B335" s="4" t="s">
        <v>694</v>
      </c>
      <c r="C335" s="5">
        <v>8500610400</v>
      </c>
      <c r="D335" s="5" t="s">
        <v>697</v>
      </c>
      <c r="E335" s="3" t="s">
        <v>14</v>
      </c>
      <c r="F335" s="6">
        <v>23.2</v>
      </c>
      <c r="G335" s="6">
        <v>10.199999999999999</v>
      </c>
      <c r="H335" s="6">
        <v>156.5</v>
      </c>
      <c r="I335" s="7" t="s">
        <v>4316</v>
      </c>
      <c r="J335" s="3" t="s">
        <v>4318</v>
      </c>
      <c r="K335" s="8" t="s">
        <v>4519</v>
      </c>
      <c r="L335" s="9" t="s">
        <v>719</v>
      </c>
      <c r="M335" s="1" t="s">
        <v>720</v>
      </c>
    </row>
    <row r="336" spans="1:13" x14ac:dyDescent="0.3">
      <c r="A336" s="3">
        <v>1415013</v>
      </c>
      <c r="B336" s="4" t="s">
        <v>694</v>
      </c>
      <c r="C336" s="5">
        <v>8500835000</v>
      </c>
      <c r="D336" s="5" t="s">
        <v>697</v>
      </c>
      <c r="E336" s="3" t="s">
        <v>14</v>
      </c>
      <c r="F336" s="6">
        <v>49.5</v>
      </c>
      <c r="G336" s="6">
        <v>16</v>
      </c>
      <c r="H336" s="6">
        <v>113.2</v>
      </c>
      <c r="I336" s="7" t="s">
        <v>4316</v>
      </c>
      <c r="J336" s="3" t="s">
        <v>4318</v>
      </c>
      <c r="K336" s="8" t="s">
        <v>4352</v>
      </c>
      <c r="L336" s="9" t="s">
        <v>721</v>
      </c>
      <c r="M336" s="1" t="s">
        <v>722</v>
      </c>
    </row>
    <row r="337" spans="1:13" x14ac:dyDescent="0.3">
      <c r="A337" s="3">
        <v>1410014</v>
      </c>
      <c r="B337" s="4" t="s">
        <v>694</v>
      </c>
      <c r="C337" s="5">
        <v>8531783301</v>
      </c>
      <c r="D337" s="5" t="s">
        <v>96</v>
      </c>
      <c r="E337" s="3" t="s">
        <v>14</v>
      </c>
      <c r="F337" s="6">
        <v>102.1</v>
      </c>
      <c r="G337" s="6">
        <v>70.2</v>
      </c>
      <c r="H337" s="6">
        <v>92.7</v>
      </c>
      <c r="I337" s="7" t="s">
        <v>4316</v>
      </c>
      <c r="J337" s="3" t="s">
        <v>4318</v>
      </c>
      <c r="K337" s="8" t="s">
        <v>4520</v>
      </c>
      <c r="L337" s="9" t="s">
        <v>723</v>
      </c>
      <c r="M337" s="1" t="s">
        <v>724</v>
      </c>
    </row>
    <row r="338" spans="1:13" x14ac:dyDescent="0.3">
      <c r="A338" s="3">
        <v>1410015</v>
      </c>
      <c r="B338" s="4" t="s">
        <v>694</v>
      </c>
      <c r="C338" s="5">
        <v>8537780801</v>
      </c>
      <c r="D338" s="5" t="s">
        <v>96</v>
      </c>
      <c r="E338" s="3" t="s">
        <v>14</v>
      </c>
      <c r="F338" s="6">
        <v>80.099999999999994</v>
      </c>
      <c r="G338" s="6">
        <v>45.3</v>
      </c>
      <c r="H338" s="6">
        <v>99.3</v>
      </c>
      <c r="I338" s="7" t="s">
        <v>4316</v>
      </c>
      <c r="J338" s="3" t="s">
        <v>4318</v>
      </c>
      <c r="K338" s="8" t="s">
        <v>4521</v>
      </c>
      <c r="L338" s="9" t="s">
        <v>725</v>
      </c>
      <c r="M338" s="1" t="s">
        <v>726</v>
      </c>
    </row>
    <row r="339" spans="1:13" x14ac:dyDescent="0.3">
      <c r="A339" s="3">
        <v>1410016</v>
      </c>
      <c r="B339" s="4" t="s">
        <v>694</v>
      </c>
      <c r="C339" s="5">
        <v>8554753501</v>
      </c>
      <c r="D339" s="5" t="s">
        <v>96</v>
      </c>
      <c r="E339" s="3" t="s">
        <v>14</v>
      </c>
      <c r="F339" s="6">
        <v>80.099999999999994</v>
      </c>
      <c r="G339" s="6">
        <v>52.8</v>
      </c>
      <c r="H339" s="6">
        <v>108.8</v>
      </c>
      <c r="I339" s="7" t="s">
        <v>4316</v>
      </c>
      <c r="J339" s="3" t="s">
        <v>4318</v>
      </c>
      <c r="K339" s="8" t="s">
        <v>4522</v>
      </c>
      <c r="L339" s="9" t="s">
        <v>727</v>
      </c>
      <c r="M339" s="1" t="s">
        <v>728</v>
      </c>
    </row>
    <row r="340" spans="1:13" x14ac:dyDescent="0.3">
      <c r="A340" s="3">
        <v>1410017</v>
      </c>
      <c r="B340" s="4" t="s">
        <v>694</v>
      </c>
      <c r="C340" s="5" t="s">
        <v>729</v>
      </c>
      <c r="D340" s="5" t="s">
        <v>96</v>
      </c>
      <c r="E340" s="3" t="s">
        <v>14</v>
      </c>
      <c r="F340" s="6">
        <v>59.1</v>
      </c>
      <c r="G340" s="6">
        <v>59.1</v>
      </c>
      <c r="H340" s="6">
        <v>18.399999999999999</v>
      </c>
      <c r="I340" s="7" t="s">
        <v>4446</v>
      </c>
      <c r="J340" s="3" t="s">
        <v>4318</v>
      </c>
      <c r="K340" s="8" t="s">
        <v>4330</v>
      </c>
      <c r="L340" s="9" t="s">
        <v>730</v>
      </c>
      <c r="M340" s="1" t="s">
        <v>731</v>
      </c>
    </row>
    <row r="341" spans="1:13" x14ac:dyDescent="0.3">
      <c r="A341" s="3">
        <v>1416018</v>
      </c>
      <c r="B341" s="4" t="s">
        <v>694</v>
      </c>
      <c r="C341" s="5">
        <v>8503026740</v>
      </c>
      <c r="D341" s="5" t="s">
        <v>105</v>
      </c>
      <c r="E341" s="3" t="s">
        <v>14</v>
      </c>
      <c r="F341" s="6">
        <v>88.5</v>
      </c>
      <c r="G341" s="6">
        <v>78.3</v>
      </c>
      <c r="H341" s="6">
        <v>190.5</v>
      </c>
      <c r="I341" s="7" t="s">
        <v>4345</v>
      </c>
      <c r="J341" s="3" t="s">
        <v>4347</v>
      </c>
      <c r="K341" s="8" t="s">
        <v>4523</v>
      </c>
      <c r="L341" s="9" t="s">
        <v>732</v>
      </c>
      <c r="M341" s="1" t="s">
        <v>733</v>
      </c>
    </row>
    <row r="342" spans="1:13" x14ac:dyDescent="0.3">
      <c r="A342" s="3">
        <v>1410019</v>
      </c>
      <c r="B342" s="4" t="s">
        <v>694</v>
      </c>
      <c r="C342" s="5">
        <v>8531782201</v>
      </c>
      <c r="D342" s="5" t="s">
        <v>96</v>
      </c>
      <c r="E342" s="3" t="s">
        <v>14</v>
      </c>
      <c r="F342" s="6">
        <v>114</v>
      </c>
      <c r="G342" s="6">
        <v>70</v>
      </c>
      <c r="H342" s="6">
        <v>132</v>
      </c>
      <c r="I342" s="7" t="s">
        <v>4316</v>
      </c>
      <c r="J342" s="3" t="s">
        <v>4318</v>
      </c>
      <c r="K342" s="8">
        <v>7.67</v>
      </c>
      <c r="L342" s="9" t="s">
        <v>734</v>
      </c>
      <c r="M342" s="1" t="s">
        <v>737</v>
      </c>
    </row>
    <row r="343" spans="1:13" x14ac:dyDescent="0.3">
      <c r="A343" s="3">
        <v>1414020</v>
      </c>
      <c r="B343" s="4" t="s">
        <v>694</v>
      </c>
      <c r="C343" s="5">
        <v>8531782202</v>
      </c>
      <c r="D343" s="5" t="s">
        <v>13</v>
      </c>
      <c r="E343" s="3" t="s">
        <v>14</v>
      </c>
      <c r="F343" s="6">
        <v>109.1</v>
      </c>
      <c r="G343" s="6">
        <v>66.5</v>
      </c>
      <c r="H343" s="6">
        <v>14.3</v>
      </c>
      <c r="I343" s="7" t="s">
        <v>4316</v>
      </c>
      <c r="J343" s="3" t="s">
        <v>4318</v>
      </c>
      <c r="K343" s="8">
        <v>1.38</v>
      </c>
      <c r="L343" s="9" t="s">
        <v>736</v>
      </c>
      <c r="M343" s="1" t="s">
        <v>735</v>
      </c>
    </row>
    <row r="344" spans="1:13" x14ac:dyDescent="0.3">
      <c r="A344" s="3">
        <v>5910001</v>
      </c>
      <c r="B344" s="4" t="s">
        <v>738</v>
      </c>
      <c r="C344" s="5" t="s">
        <v>739</v>
      </c>
      <c r="D344" s="5" t="s">
        <v>96</v>
      </c>
      <c r="E344" s="3" t="s">
        <v>14</v>
      </c>
      <c r="F344" s="6">
        <v>33.5</v>
      </c>
      <c r="G344" s="6">
        <v>10</v>
      </c>
      <c r="H344" s="6">
        <v>64.5</v>
      </c>
      <c r="I344" s="7" t="s">
        <v>4315</v>
      </c>
      <c r="J344" s="3" t="s">
        <v>4317</v>
      </c>
      <c r="K344" s="8" t="s">
        <v>4524</v>
      </c>
      <c r="L344" s="9" t="s">
        <v>740</v>
      </c>
      <c r="M344" s="1" t="s">
        <v>741</v>
      </c>
    </row>
    <row r="345" spans="1:13" x14ac:dyDescent="0.3">
      <c r="A345" s="3">
        <v>5910002</v>
      </c>
      <c r="B345" s="4" t="s">
        <v>738</v>
      </c>
      <c r="C345" s="5" t="s">
        <v>742</v>
      </c>
      <c r="D345" s="5" t="s">
        <v>96</v>
      </c>
      <c r="E345" s="3" t="s">
        <v>14</v>
      </c>
      <c r="F345" s="6">
        <v>30</v>
      </c>
      <c r="G345" s="6">
        <v>30</v>
      </c>
      <c r="H345" s="6">
        <v>27</v>
      </c>
      <c r="I345" s="7" t="s">
        <v>4315</v>
      </c>
      <c r="J345" s="3" t="s">
        <v>4317</v>
      </c>
      <c r="K345" s="8" t="s">
        <v>4320</v>
      </c>
      <c r="L345" s="9" t="s">
        <v>743</v>
      </c>
      <c r="M345" s="1" t="s">
        <v>744</v>
      </c>
    </row>
    <row r="346" spans="1:13" x14ac:dyDescent="0.3">
      <c r="A346" s="3">
        <v>5910003</v>
      </c>
      <c r="B346" s="4" t="s">
        <v>738</v>
      </c>
      <c r="C346" s="5" t="s">
        <v>745</v>
      </c>
      <c r="D346" s="5" t="s">
        <v>96</v>
      </c>
      <c r="E346" s="3" t="s">
        <v>14</v>
      </c>
      <c r="F346" s="6">
        <v>30</v>
      </c>
      <c r="G346" s="6">
        <v>30</v>
      </c>
      <c r="H346" s="6">
        <v>11</v>
      </c>
      <c r="I346" s="7" t="s">
        <v>4315</v>
      </c>
      <c r="J346" s="3" t="s">
        <v>4317</v>
      </c>
      <c r="K346" s="8" t="s">
        <v>4350</v>
      </c>
      <c r="L346" s="9" t="s">
        <v>746</v>
      </c>
      <c r="M346" s="1" t="s">
        <v>747</v>
      </c>
    </row>
    <row r="347" spans="1:13" x14ac:dyDescent="0.3">
      <c r="A347" s="3">
        <v>5910004</v>
      </c>
      <c r="B347" s="4" t="s">
        <v>738</v>
      </c>
      <c r="C347" s="5" t="s">
        <v>748</v>
      </c>
      <c r="D347" s="5" t="s">
        <v>96</v>
      </c>
      <c r="E347" s="3" t="s">
        <v>14</v>
      </c>
      <c r="F347" s="6">
        <v>26.8</v>
      </c>
      <c r="G347" s="6">
        <v>26.8</v>
      </c>
      <c r="H347" s="6">
        <v>26.8</v>
      </c>
      <c r="I347" s="7" t="s">
        <v>4315</v>
      </c>
      <c r="J347" s="3" t="s">
        <v>4317</v>
      </c>
      <c r="K347" s="8" t="s">
        <v>4337</v>
      </c>
      <c r="L347" s="9" t="s">
        <v>749</v>
      </c>
      <c r="M347" s="1" t="s">
        <v>750</v>
      </c>
    </row>
    <row r="348" spans="1:13" x14ac:dyDescent="0.3">
      <c r="A348" s="3">
        <v>5910005</v>
      </c>
      <c r="B348" s="4" t="s">
        <v>738</v>
      </c>
      <c r="C348" s="5" t="s">
        <v>751</v>
      </c>
      <c r="D348" s="5" t="s">
        <v>96</v>
      </c>
      <c r="E348" s="3" t="s">
        <v>14</v>
      </c>
      <c r="F348" s="6">
        <v>29.8</v>
      </c>
      <c r="G348" s="6">
        <v>29.8</v>
      </c>
      <c r="H348" s="6">
        <v>27.8</v>
      </c>
      <c r="I348" s="7" t="s">
        <v>4315</v>
      </c>
      <c r="J348" s="3" t="s">
        <v>4317</v>
      </c>
      <c r="K348" s="8" t="s">
        <v>4525</v>
      </c>
      <c r="L348" s="9" t="s">
        <v>752</v>
      </c>
      <c r="M348" s="1" t="s">
        <v>753</v>
      </c>
    </row>
    <row r="349" spans="1:13" x14ac:dyDescent="0.3">
      <c r="A349" s="3">
        <v>5910006</v>
      </c>
      <c r="B349" s="4" t="s">
        <v>738</v>
      </c>
      <c r="C349" s="5" t="s">
        <v>754</v>
      </c>
      <c r="D349" s="5" t="s">
        <v>96</v>
      </c>
      <c r="E349" s="3" t="s">
        <v>754</v>
      </c>
      <c r="F349" s="6">
        <v>30.3</v>
      </c>
      <c r="G349" s="6">
        <v>30.3</v>
      </c>
      <c r="H349" s="6">
        <v>12.2</v>
      </c>
      <c r="I349" s="7" t="s">
        <v>4315</v>
      </c>
      <c r="J349" s="3" t="s">
        <v>4317</v>
      </c>
      <c r="K349" s="8" t="s">
        <v>4526</v>
      </c>
      <c r="L349" s="9" t="s">
        <v>755</v>
      </c>
      <c r="M349" s="1" t="s">
        <v>756</v>
      </c>
    </row>
    <row r="350" spans="1:13" x14ac:dyDescent="0.3">
      <c r="A350" s="3">
        <v>5910007</v>
      </c>
      <c r="B350" s="4" t="s">
        <v>738</v>
      </c>
      <c r="C350" s="5" t="s">
        <v>757</v>
      </c>
      <c r="D350" s="5" t="s">
        <v>96</v>
      </c>
      <c r="E350" s="3" t="s">
        <v>14</v>
      </c>
      <c r="F350" s="6">
        <v>54.8</v>
      </c>
      <c r="G350" s="6">
        <v>52.8</v>
      </c>
      <c r="H350" s="6">
        <v>43.2</v>
      </c>
      <c r="I350" s="7" t="s">
        <v>4447</v>
      </c>
      <c r="J350" s="3" t="s">
        <v>4317</v>
      </c>
      <c r="K350" s="8" t="s">
        <v>4527</v>
      </c>
      <c r="L350" s="9" t="s">
        <v>758</v>
      </c>
      <c r="M350" s="1" t="s">
        <v>759</v>
      </c>
    </row>
    <row r="351" spans="1:13" x14ac:dyDescent="0.3">
      <c r="A351" s="3">
        <v>5910008</v>
      </c>
      <c r="B351" s="4" t="s">
        <v>738</v>
      </c>
      <c r="C351" s="5" t="s">
        <v>760</v>
      </c>
      <c r="D351" s="5" t="s">
        <v>96</v>
      </c>
      <c r="E351" s="3" t="s">
        <v>761</v>
      </c>
      <c r="F351" s="6">
        <v>30.8</v>
      </c>
      <c r="G351" s="6">
        <v>30.8</v>
      </c>
      <c r="H351" s="6">
        <v>8.1999999999999993</v>
      </c>
      <c r="I351" s="7" t="s">
        <v>4315</v>
      </c>
      <c r="J351" s="3" t="s">
        <v>4317</v>
      </c>
      <c r="K351" s="8" t="s">
        <v>4391</v>
      </c>
      <c r="L351" s="9" t="s">
        <v>762</v>
      </c>
      <c r="M351" s="1" t="s">
        <v>763</v>
      </c>
    </row>
    <row r="352" spans="1:13" x14ac:dyDescent="0.3">
      <c r="A352" s="3">
        <v>5910009</v>
      </c>
      <c r="B352" s="4" t="s">
        <v>738</v>
      </c>
      <c r="C352" s="5" t="s">
        <v>764</v>
      </c>
      <c r="D352" s="5" t="s">
        <v>96</v>
      </c>
      <c r="E352" s="3" t="s">
        <v>765</v>
      </c>
      <c r="F352" s="6">
        <v>30.4</v>
      </c>
      <c r="G352" s="6">
        <v>30.4</v>
      </c>
      <c r="H352" s="6">
        <v>49.8</v>
      </c>
      <c r="I352" s="7" t="s">
        <v>4315</v>
      </c>
      <c r="J352" s="3" t="s">
        <v>4317</v>
      </c>
      <c r="K352" s="8" t="s">
        <v>4401</v>
      </c>
      <c r="L352" s="9" t="s">
        <v>766</v>
      </c>
      <c r="M352" s="1" t="s">
        <v>767</v>
      </c>
    </row>
    <row r="353" spans="1:13" x14ac:dyDescent="0.3">
      <c r="A353" s="3">
        <v>8913001</v>
      </c>
      <c r="B353" s="4" t="s">
        <v>768</v>
      </c>
      <c r="C353" s="5" t="s">
        <v>769</v>
      </c>
      <c r="D353" s="5" t="s">
        <v>491</v>
      </c>
      <c r="E353" s="3" t="s">
        <v>770</v>
      </c>
      <c r="F353" s="6">
        <v>37.6</v>
      </c>
      <c r="G353" s="6">
        <v>13.3</v>
      </c>
      <c r="H353" s="6">
        <v>13.3</v>
      </c>
      <c r="I353" s="7" t="s">
        <v>4473</v>
      </c>
      <c r="J353" s="3" t="s">
        <v>4317</v>
      </c>
      <c r="K353" s="8" t="s">
        <v>4528</v>
      </c>
      <c r="L353" s="9" t="s">
        <v>771</v>
      </c>
      <c r="M353" s="1" t="s">
        <v>772</v>
      </c>
    </row>
    <row r="354" spans="1:13" x14ac:dyDescent="0.3">
      <c r="A354" s="3">
        <v>8313002</v>
      </c>
      <c r="B354" s="4" t="s">
        <v>768</v>
      </c>
      <c r="C354" s="5" t="s">
        <v>773</v>
      </c>
      <c r="D354" s="5" t="s">
        <v>491</v>
      </c>
      <c r="E354" s="3" t="s">
        <v>774</v>
      </c>
      <c r="F354" s="6">
        <v>47.6</v>
      </c>
      <c r="G354" s="6">
        <v>13.3</v>
      </c>
      <c r="H354" s="6">
        <v>13.3</v>
      </c>
      <c r="I354" s="7" t="s">
        <v>4473</v>
      </c>
      <c r="J354" s="3" t="s">
        <v>4317</v>
      </c>
      <c r="K354" s="8" t="s">
        <v>4429</v>
      </c>
      <c r="L354" s="9" t="s">
        <v>775</v>
      </c>
      <c r="M354" s="1" t="s">
        <v>776</v>
      </c>
    </row>
    <row r="355" spans="1:13" x14ac:dyDescent="0.3">
      <c r="A355" s="3">
        <v>8310003</v>
      </c>
      <c r="B355" s="4" t="s">
        <v>768</v>
      </c>
      <c r="C355" s="5" t="s">
        <v>777</v>
      </c>
      <c r="D355" s="5" t="s">
        <v>96</v>
      </c>
      <c r="E355" s="3" t="s">
        <v>778</v>
      </c>
      <c r="F355" s="6">
        <v>63</v>
      </c>
      <c r="G355" s="6">
        <v>58.3</v>
      </c>
      <c r="H355" s="6">
        <v>135.1</v>
      </c>
      <c r="I355" s="7" t="s">
        <v>4446</v>
      </c>
      <c r="J355" s="3" t="s">
        <v>4318</v>
      </c>
      <c r="K355" s="8" t="s">
        <v>4529</v>
      </c>
      <c r="L355" s="9" t="s">
        <v>779</v>
      </c>
      <c r="M355" s="1" t="s">
        <v>780</v>
      </c>
    </row>
    <row r="356" spans="1:13" x14ac:dyDescent="0.3">
      <c r="A356" s="3">
        <v>8310004</v>
      </c>
      <c r="B356" s="4" t="s">
        <v>768</v>
      </c>
      <c r="C356" s="5" t="s">
        <v>781</v>
      </c>
      <c r="D356" s="5" t="s">
        <v>96</v>
      </c>
      <c r="E356" s="3" t="s">
        <v>778</v>
      </c>
      <c r="F356" s="6">
        <v>73.5</v>
      </c>
      <c r="G356" s="6">
        <v>68.8</v>
      </c>
      <c r="H356" s="6">
        <v>136.9</v>
      </c>
      <c r="I356" s="7" t="s">
        <v>4446</v>
      </c>
      <c r="J356" s="3" t="s">
        <v>4318</v>
      </c>
      <c r="K356" s="8" t="s">
        <v>4530</v>
      </c>
      <c r="L356" s="9" t="s">
        <v>782</v>
      </c>
      <c r="M356" s="1" t="s">
        <v>783</v>
      </c>
    </row>
    <row r="357" spans="1:13" x14ac:dyDescent="0.3">
      <c r="A357" s="3">
        <v>8310005</v>
      </c>
      <c r="B357" s="4" t="s">
        <v>768</v>
      </c>
      <c r="C357" s="5" t="s">
        <v>781</v>
      </c>
      <c r="D357" s="5" t="s">
        <v>557</v>
      </c>
      <c r="E357" s="3" t="s">
        <v>778</v>
      </c>
      <c r="F357" s="6">
        <v>68.3</v>
      </c>
      <c r="G357" s="6">
        <v>63.5</v>
      </c>
      <c r="H357" s="6">
        <v>164.9</v>
      </c>
      <c r="I357" s="7" t="s">
        <v>4446</v>
      </c>
      <c r="J357" s="3" t="s">
        <v>4318</v>
      </c>
      <c r="K357" s="8" t="s">
        <v>4531</v>
      </c>
      <c r="L357" s="9" t="s">
        <v>784</v>
      </c>
      <c r="M357" s="1" t="s">
        <v>785</v>
      </c>
    </row>
    <row r="358" spans="1:13" x14ac:dyDescent="0.3">
      <c r="A358" s="3">
        <v>8310006</v>
      </c>
      <c r="B358" s="4" t="s">
        <v>768</v>
      </c>
      <c r="C358" s="5" t="s">
        <v>786</v>
      </c>
      <c r="D358" s="5" t="s">
        <v>96</v>
      </c>
      <c r="E358" s="3" t="s">
        <v>778</v>
      </c>
      <c r="F358" s="6">
        <v>63</v>
      </c>
      <c r="G358" s="6">
        <v>58.3</v>
      </c>
      <c r="H358" s="6">
        <v>169.6</v>
      </c>
      <c r="I358" s="7" t="s">
        <v>4446</v>
      </c>
      <c r="J358" s="3" t="s">
        <v>4318</v>
      </c>
      <c r="K358" s="8" t="s">
        <v>4532</v>
      </c>
      <c r="L358" s="9" t="s">
        <v>787</v>
      </c>
      <c r="M358" s="1" t="s">
        <v>788</v>
      </c>
    </row>
    <row r="359" spans="1:13" x14ac:dyDescent="0.3">
      <c r="A359" s="3">
        <v>8310007</v>
      </c>
      <c r="B359" s="4" t="s">
        <v>768</v>
      </c>
      <c r="C359" s="5" t="s">
        <v>789</v>
      </c>
      <c r="D359" s="5" t="s">
        <v>96</v>
      </c>
      <c r="E359" s="3" t="s">
        <v>778</v>
      </c>
      <c r="F359" s="6">
        <v>68.3</v>
      </c>
      <c r="G359" s="6">
        <v>63.5</v>
      </c>
      <c r="H359" s="6">
        <v>164.9</v>
      </c>
      <c r="I359" s="7" t="s">
        <v>4446</v>
      </c>
      <c r="J359" s="3" t="s">
        <v>4318</v>
      </c>
      <c r="K359" s="8" t="s">
        <v>4531</v>
      </c>
      <c r="L359" s="9" t="s">
        <v>790</v>
      </c>
      <c r="M359" s="1" t="s">
        <v>791</v>
      </c>
    </row>
    <row r="360" spans="1:13" x14ac:dyDescent="0.3">
      <c r="A360" s="3">
        <v>8310008</v>
      </c>
      <c r="B360" s="4" t="s">
        <v>768</v>
      </c>
      <c r="C360" s="5" t="s">
        <v>792</v>
      </c>
      <c r="D360" s="5" t="s">
        <v>557</v>
      </c>
      <c r="E360" s="3" t="s">
        <v>778</v>
      </c>
      <c r="F360" s="6">
        <v>73.5</v>
      </c>
      <c r="G360" s="6">
        <v>68.8</v>
      </c>
      <c r="H360" s="6">
        <v>94.9</v>
      </c>
      <c r="I360" s="7" t="s">
        <v>4446</v>
      </c>
      <c r="J360" s="3" t="s">
        <v>4318</v>
      </c>
      <c r="K360" s="8" t="s">
        <v>4533</v>
      </c>
      <c r="L360" s="9" t="s">
        <v>793</v>
      </c>
      <c r="M360" s="1" t="s">
        <v>794</v>
      </c>
    </row>
    <row r="361" spans="1:13" x14ac:dyDescent="0.3">
      <c r="A361" s="3">
        <v>8310009</v>
      </c>
      <c r="B361" s="4" t="s">
        <v>768</v>
      </c>
      <c r="C361" s="5" t="s">
        <v>795</v>
      </c>
      <c r="D361" s="5" t="s">
        <v>557</v>
      </c>
      <c r="E361" s="3" t="s">
        <v>778</v>
      </c>
      <c r="F361" s="6">
        <v>78.599999999999994</v>
      </c>
      <c r="G361" s="6">
        <v>73.900000000000006</v>
      </c>
      <c r="H361" s="6">
        <v>100.1</v>
      </c>
      <c r="I361" s="7" t="s">
        <v>4446</v>
      </c>
      <c r="J361" s="3" t="s">
        <v>4318</v>
      </c>
      <c r="K361" s="8" t="s">
        <v>4534</v>
      </c>
      <c r="L361" s="9" t="s">
        <v>796</v>
      </c>
      <c r="M361" s="1" t="s">
        <v>797</v>
      </c>
    </row>
    <row r="362" spans="1:13" x14ac:dyDescent="0.3">
      <c r="A362" s="3">
        <v>8310010</v>
      </c>
      <c r="B362" s="4" t="s">
        <v>768</v>
      </c>
      <c r="C362" s="5" t="s">
        <v>798</v>
      </c>
      <c r="D362" s="5" t="s">
        <v>557</v>
      </c>
      <c r="E362" s="3" t="s">
        <v>778</v>
      </c>
      <c r="F362" s="6">
        <v>83.7</v>
      </c>
      <c r="G362" s="6">
        <v>78.900000000000006</v>
      </c>
      <c r="H362" s="6">
        <v>99.8</v>
      </c>
      <c r="I362" s="7" t="s">
        <v>4446</v>
      </c>
      <c r="J362" s="3" t="s">
        <v>4318</v>
      </c>
      <c r="K362" s="8" t="s">
        <v>4535</v>
      </c>
      <c r="L362" s="9" t="s">
        <v>799</v>
      </c>
      <c r="M362" s="1" t="s">
        <v>800</v>
      </c>
    </row>
    <row r="363" spans="1:13" x14ac:dyDescent="0.3">
      <c r="A363" s="3">
        <v>8310011</v>
      </c>
      <c r="B363" s="4" t="s">
        <v>768</v>
      </c>
      <c r="C363" s="5" t="s">
        <v>801</v>
      </c>
      <c r="D363" s="5" t="s">
        <v>557</v>
      </c>
      <c r="E363" s="3" t="s">
        <v>778</v>
      </c>
      <c r="F363" s="6">
        <v>69.099999999999994</v>
      </c>
      <c r="G363" s="6">
        <v>68.8</v>
      </c>
      <c r="H363" s="6">
        <v>90.9</v>
      </c>
      <c r="I363" s="7" t="s">
        <v>4446</v>
      </c>
      <c r="J363" s="3" t="s">
        <v>4318</v>
      </c>
      <c r="K363" s="8" t="s">
        <v>4536</v>
      </c>
      <c r="L363" s="9" t="s">
        <v>802</v>
      </c>
      <c r="M363" s="1" t="s">
        <v>803</v>
      </c>
    </row>
    <row r="364" spans="1:13" x14ac:dyDescent="0.3">
      <c r="A364" s="3">
        <v>8310012</v>
      </c>
      <c r="B364" s="4" t="s">
        <v>768</v>
      </c>
      <c r="C364" s="5" t="s">
        <v>804</v>
      </c>
      <c r="D364" s="5" t="s">
        <v>557</v>
      </c>
      <c r="E364" s="3" t="s">
        <v>778</v>
      </c>
      <c r="F364" s="6">
        <v>74.8</v>
      </c>
      <c r="G364" s="6">
        <v>74.5</v>
      </c>
      <c r="H364" s="6">
        <v>95.6</v>
      </c>
      <c r="I364" s="7" t="s">
        <v>4446</v>
      </c>
      <c r="J364" s="3" t="s">
        <v>4318</v>
      </c>
      <c r="K364" s="8" t="s">
        <v>4537</v>
      </c>
      <c r="L364" s="9" t="s">
        <v>805</v>
      </c>
      <c r="M364" s="1" t="s">
        <v>806</v>
      </c>
    </row>
    <row r="365" spans="1:13" x14ac:dyDescent="0.3">
      <c r="A365" s="3">
        <v>8310013</v>
      </c>
      <c r="B365" s="4" t="s">
        <v>768</v>
      </c>
      <c r="C365" s="5" t="s">
        <v>807</v>
      </c>
      <c r="D365" s="5" t="s">
        <v>557</v>
      </c>
      <c r="E365" s="3" t="s">
        <v>778</v>
      </c>
      <c r="F365" s="6">
        <v>81</v>
      </c>
      <c r="G365" s="6">
        <v>80.7</v>
      </c>
      <c r="H365" s="6">
        <v>95.6</v>
      </c>
      <c r="I365" s="7" t="s">
        <v>4446</v>
      </c>
      <c r="J365" s="3" t="s">
        <v>4318</v>
      </c>
      <c r="K365" s="8" t="s">
        <v>4538</v>
      </c>
      <c r="L365" s="9" t="s">
        <v>808</v>
      </c>
      <c r="M365" s="1" t="s">
        <v>809</v>
      </c>
    </row>
    <row r="366" spans="1:13" x14ac:dyDescent="0.3">
      <c r="A366" s="3">
        <v>8316014</v>
      </c>
      <c r="B366" s="4" t="s">
        <v>768</v>
      </c>
      <c r="C366" s="5">
        <v>1123575</v>
      </c>
      <c r="D366" s="5" t="s">
        <v>105</v>
      </c>
      <c r="E366" s="3" t="s">
        <v>810</v>
      </c>
      <c r="F366" s="6">
        <v>73.099999999999994</v>
      </c>
      <c r="G366" s="6">
        <v>68.5</v>
      </c>
      <c r="H366" s="6">
        <v>166.2</v>
      </c>
      <c r="I366" s="7" t="s">
        <v>4446</v>
      </c>
      <c r="J366" s="3" t="s">
        <v>4318</v>
      </c>
      <c r="K366" s="8" t="s">
        <v>4539</v>
      </c>
      <c r="L366" s="9" t="s">
        <v>811</v>
      </c>
      <c r="M366" s="1" t="s">
        <v>812</v>
      </c>
    </row>
    <row r="367" spans="1:13" x14ac:dyDescent="0.3">
      <c r="A367" s="3">
        <v>8314015</v>
      </c>
      <c r="B367" s="4" t="s">
        <v>768</v>
      </c>
      <c r="C367" s="5">
        <v>1123576</v>
      </c>
      <c r="D367" s="5" t="s">
        <v>13</v>
      </c>
      <c r="E367" s="3" t="s">
        <v>810</v>
      </c>
      <c r="F367" s="6">
        <v>75.400000000000006</v>
      </c>
      <c r="G367" s="6">
        <v>70.5</v>
      </c>
      <c r="H367" s="6">
        <v>8.6999999999999993</v>
      </c>
      <c r="I367" s="7" t="s">
        <v>4446</v>
      </c>
      <c r="J367" s="3" t="s">
        <v>4318</v>
      </c>
      <c r="K367" s="8" t="s">
        <v>4540</v>
      </c>
      <c r="L367" s="9" t="s">
        <v>813</v>
      </c>
      <c r="M367" s="1" t="s">
        <v>814</v>
      </c>
    </row>
    <row r="368" spans="1:13" x14ac:dyDescent="0.3">
      <c r="A368" s="3">
        <v>8314016</v>
      </c>
      <c r="B368" s="4" t="s">
        <v>768</v>
      </c>
      <c r="C368" s="5">
        <v>1122906</v>
      </c>
      <c r="D368" s="5" t="s">
        <v>491</v>
      </c>
      <c r="E368" s="3" t="s">
        <v>14</v>
      </c>
      <c r="F368" s="6">
        <v>71</v>
      </c>
      <c r="G368" s="6">
        <v>105</v>
      </c>
      <c r="H368" s="6">
        <v>65.5</v>
      </c>
      <c r="I368" s="7" t="s">
        <v>4473</v>
      </c>
      <c r="J368" s="3" t="s">
        <v>4318</v>
      </c>
      <c r="K368" s="8">
        <v>0.69</v>
      </c>
      <c r="L368" s="9" t="s">
        <v>815</v>
      </c>
      <c r="M368" s="1" t="s">
        <v>816</v>
      </c>
    </row>
    <row r="369" spans="1:13" x14ac:dyDescent="0.3">
      <c r="A369" s="3">
        <v>7510001</v>
      </c>
      <c r="B369" s="4" t="s">
        <v>817</v>
      </c>
      <c r="C369" s="5" t="s">
        <v>818</v>
      </c>
      <c r="D369" s="5" t="s">
        <v>96</v>
      </c>
      <c r="E369" s="3" t="s">
        <v>819</v>
      </c>
      <c r="F369" s="6">
        <v>33.4</v>
      </c>
      <c r="G369" s="6">
        <v>33.4</v>
      </c>
      <c r="H369" s="6">
        <v>30.1</v>
      </c>
      <c r="I369" s="7" t="s">
        <v>4316</v>
      </c>
      <c r="J369" s="3" t="s">
        <v>4318</v>
      </c>
      <c r="K369" s="8" t="s">
        <v>4541</v>
      </c>
      <c r="L369" s="9" t="s">
        <v>820</v>
      </c>
      <c r="M369" s="1" t="s">
        <v>821</v>
      </c>
    </row>
    <row r="370" spans="1:13" x14ac:dyDescent="0.3">
      <c r="A370" s="3">
        <v>1036001</v>
      </c>
      <c r="B370" s="4" t="s">
        <v>5320</v>
      </c>
      <c r="C370" s="5">
        <v>619</v>
      </c>
      <c r="D370" s="5" t="s">
        <v>5321</v>
      </c>
      <c r="E370" s="3" t="s">
        <v>14</v>
      </c>
      <c r="F370" s="6">
        <v>123.2</v>
      </c>
      <c r="G370" s="6">
        <v>60</v>
      </c>
      <c r="H370" s="6" t="s">
        <v>14</v>
      </c>
      <c r="I370" s="7">
        <v>42</v>
      </c>
      <c r="J370" s="3" t="s">
        <v>4318</v>
      </c>
      <c r="K370" s="8">
        <v>0.74</v>
      </c>
      <c r="L370" s="9" t="s">
        <v>5322</v>
      </c>
      <c r="M370" s="1" t="s">
        <v>5323</v>
      </c>
    </row>
    <row r="371" spans="1:13" x14ac:dyDescent="0.3">
      <c r="A371" s="3">
        <v>1510002</v>
      </c>
      <c r="B371" s="4" t="s">
        <v>822</v>
      </c>
      <c r="C371" s="5" t="s">
        <v>823</v>
      </c>
      <c r="D371" s="5" t="s">
        <v>96</v>
      </c>
      <c r="E371" s="3" t="s">
        <v>14</v>
      </c>
      <c r="F371" s="6">
        <v>60</v>
      </c>
      <c r="G371" s="6">
        <v>54</v>
      </c>
      <c r="H371" s="6">
        <v>28</v>
      </c>
      <c r="I371" s="7" t="s">
        <v>4316</v>
      </c>
      <c r="J371" s="3" t="s">
        <v>4318</v>
      </c>
      <c r="K371" s="8" t="s">
        <v>4396</v>
      </c>
      <c r="L371" s="9" t="s">
        <v>824</v>
      </c>
      <c r="M371" s="1" t="s">
        <v>825</v>
      </c>
    </row>
    <row r="372" spans="1:13" x14ac:dyDescent="0.3">
      <c r="A372" s="3">
        <v>1514003</v>
      </c>
      <c r="B372" s="4" t="s">
        <v>822</v>
      </c>
      <c r="C372" s="5" t="s">
        <v>826</v>
      </c>
      <c r="D372" s="5" t="s">
        <v>13</v>
      </c>
      <c r="E372" s="3" t="s">
        <v>14</v>
      </c>
      <c r="F372" s="6">
        <v>59.5</v>
      </c>
      <c r="G372" s="6">
        <v>37.299999999999997</v>
      </c>
      <c r="H372" s="6">
        <v>5.5</v>
      </c>
      <c r="I372" s="7" t="s">
        <v>4315</v>
      </c>
      <c r="J372" s="3" t="s">
        <v>4317</v>
      </c>
      <c r="K372" s="8" t="s">
        <v>4450</v>
      </c>
      <c r="L372" s="9" t="s">
        <v>827</v>
      </c>
      <c r="M372" s="1" t="s">
        <v>828</v>
      </c>
    </row>
    <row r="373" spans="1:13" x14ac:dyDescent="0.3">
      <c r="A373" s="3">
        <v>1510004</v>
      </c>
      <c r="B373" s="4" t="s">
        <v>822</v>
      </c>
      <c r="C373" s="5" t="s">
        <v>829</v>
      </c>
      <c r="D373" s="5" t="s">
        <v>96</v>
      </c>
      <c r="E373" s="3" t="s">
        <v>14</v>
      </c>
      <c r="F373" s="6">
        <v>37.299999999999997</v>
      </c>
      <c r="G373" s="6">
        <v>34.5</v>
      </c>
      <c r="H373" s="6">
        <v>35.5</v>
      </c>
      <c r="I373" s="7" t="s">
        <v>4316</v>
      </c>
      <c r="J373" s="3" t="s">
        <v>4318</v>
      </c>
      <c r="K373" s="8" t="s">
        <v>4542</v>
      </c>
      <c r="L373" s="9" t="s">
        <v>830</v>
      </c>
      <c r="M373" s="1" t="s">
        <v>831</v>
      </c>
    </row>
    <row r="374" spans="1:13" x14ac:dyDescent="0.3">
      <c r="A374" s="3">
        <v>1510005</v>
      </c>
      <c r="B374" s="4" t="s">
        <v>822</v>
      </c>
      <c r="C374" s="5" t="s">
        <v>832</v>
      </c>
      <c r="D374" s="5" t="s">
        <v>96</v>
      </c>
      <c r="E374" s="3" t="s">
        <v>14</v>
      </c>
      <c r="F374" s="6">
        <v>56.2</v>
      </c>
      <c r="G374" s="6">
        <v>26.7</v>
      </c>
      <c r="H374" s="6">
        <v>38</v>
      </c>
      <c r="I374" s="7" t="s">
        <v>4316</v>
      </c>
      <c r="J374" s="3" t="s">
        <v>4318</v>
      </c>
      <c r="K374" s="8" t="s">
        <v>4408</v>
      </c>
      <c r="L374" s="9" t="s">
        <v>833</v>
      </c>
      <c r="M374" s="1" t="s">
        <v>834</v>
      </c>
    </row>
    <row r="375" spans="1:13" x14ac:dyDescent="0.3">
      <c r="A375" s="3">
        <v>1510007</v>
      </c>
      <c r="B375" s="4" t="s">
        <v>822</v>
      </c>
      <c r="C375" s="5" t="s">
        <v>835</v>
      </c>
      <c r="D375" s="5" t="s">
        <v>557</v>
      </c>
      <c r="E375" s="3" t="s">
        <v>14</v>
      </c>
      <c r="F375" s="6">
        <v>101</v>
      </c>
      <c r="G375" s="6">
        <v>37</v>
      </c>
      <c r="H375" s="6">
        <v>38.5</v>
      </c>
      <c r="I375" s="7" t="s">
        <v>4316</v>
      </c>
      <c r="J375" s="3" t="s">
        <v>4318</v>
      </c>
      <c r="K375" s="8" t="s">
        <v>4543</v>
      </c>
      <c r="L375" s="9" t="s">
        <v>836</v>
      </c>
      <c r="M375" s="1" t="s">
        <v>837</v>
      </c>
    </row>
    <row r="376" spans="1:13" x14ac:dyDescent="0.3">
      <c r="A376" s="3">
        <v>1510008</v>
      </c>
      <c r="B376" s="4" t="s">
        <v>822</v>
      </c>
      <c r="C376" s="5" t="s">
        <v>838</v>
      </c>
      <c r="D376" s="5" t="s">
        <v>96</v>
      </c>
      <c r="E376" s="3" t="s">
        <v>14</v>
      </c>
      <c r="F376" s="6">
        <v>62</v>
      </c>
      <c r="G376" s="6">
        <v>39</v>
      </c>
      <c r="H376" s="6">
        <v>19.600000000000001</v>
      </c>
      <c r="I376" s="7" t="s">
        <v>4316</v>
      </c>
      <c r="J376" s="3" t="s">
        <v>4318</v>
      </c>
      <c r="K376" s="8" t="s">
        <v>4544</v>
      </c>
      <c r="L376" s="9" t="s">
        <v>839</v>
      </c>
      <c r="M376" s="1" t="s">
        <v>840</v>
      </c>
    </row>
    <row r="377" spans="1:13" x14ac:dyDescent="0.3">
      <c r="A377" s="3">
        <v>1510009</v>
      </c>
      <c r="B377" s="4" t="s">
        <v>822</v>
      </c>
      <c r="C377" s="5" t="s">
        <v>5378</v>
      </c>
      <c r="D377" s="5" t="s">
        <v>74</v>
      </c>
      <c r="E377" s="3" t="s">
        <v>14</v>
      </c>
      <c r="F377" s="6">
        <v>157.5</v>
      </c>
      <c r="G377" s="6">
        <v>106.3</v>
      </c>
      <c r="H377" s="6" t="s">
        <v>14</v>
      </c>
      <c r="I377" s="7">
        <v>32</v>
      </c>
      <c r="J377" s="3" t="s">
        <v>4317</v>
      </c>
      <c r="K377" s="8">
        <v>1.67</v>
      </c>
      <c r="L377" s="9" t="s">
        <v>841</v>
      </c>
      <c r="M377" s="1" t="s">
        <v>5379</v>
      </c>
    </row>
    <row r="378" spans="1:13" x14ac:dyDescent="0.3">
      <c r="A378" s="3">
        <v>1510010</v>
      </c>
      <c r="B378" s="4" t="s">
        <v>822</v>
      </c>
      <c r="C378" s="5" t="s">
        <v>843</v>
      </c>
      <c r="D378" s="5" t="s">
        <v>96</v>
      </c>
      <c r="E378" s="3" t="s">
        <v>14</v>
      </c>
      <c r="F378" s="6">
        <v>58.5</v>
      </c>
      <c r="G378" s="6">
        <v>56</v>
      </c>
      <c r="H378" s="6">
        <v>35.5</v>
      </c>
      <c r="I378" s="3" t="s">
        <v>4316</v>
      </c>
      <c r="J378" s="3" t="s">
        <v>4318</v>
      </c>
      <c r="K378" s="8" t="s">
        <v>4545</v>
      </c>
      <c r="L378" s="9" t="s">
        <v>844</v>
      </c>
      <c r="M378" s="1" t="s">
        <v>842</v>
      </c>
    </row>
    <row r="379" spans="1:13" x14ac:dyDescent="0.3">
      <c r="A379" s="3">
        <v>1510011</v>
      </c>
      <c r="B379" s="4" t="s">
        <v>822</v>
      </c>
      <c r="C379" s="5" t="s">
        <v>6709</v>
      </c>
      <c r="D379" s="5" t="s">
        <v>23</v>
      </c>
      <c r="E379" s="3" t="s">
        <v>14</v>
      </c>
      <c r="F379" s="6">
        <v>37.5</v>
      </c>
      <c r="G379" s="6">
        <v>29</v>
      </c>
      <c r="H379" s="6">
        <v>24</v>
      </c>
      <c r="I379" s="3" t="s">
        <v>6710</v>
      </c>
      <c r="J379" s="3" t="s">
        <v>4318</v>
      </c>
      <c r="K379" s="8">
        <v>0.54</v>
      </c>
      <c r="L379" s="9" t="s">
        <v>845</v>
      </c>
      <c r="M379" s="1" t="s">
        <v>6711</v>
      </c>
    </row>
    <row r="380" spans="1:13" x14ac:dyDescent="0.3">
      <c r="A380" s="3">
        <v>1514012</v>
      </c>
      <c r="B380" s="4" t="s">
        <v>822</v>
      </c>
      <c r="C380" s="5" t="s">
        <v>846</v>
      </c>
      <c r="D380" s="5" t="s">
        <v>13</v>
      </c>
      <c r="E380" s="3" t="s">
        <v>14</v>
      </c>
      <c r="F380" s="6">
        <v>39.200000000000003</v>
      </c>
      <c r="G380" s="6">
        <v>29.2</v>
      </c>
      <c r="H380" s="6">
        <v>6.3</v>
      </c>
      <c r="I380" s="3" t="s">
        <v>4315</v>
      </c>
      <c r="J380" s="3" t="s">
        <v>4317</v>
      </c>
      <c r="K380" s="8" t="s">
        <v>4357</v>
      </c>
      <c r="L380" s="9" t="s">
        <v>847</v>
      </c>
      <c r="M380" s="1" t="s">
        <v>848</v>
      </c>
    </row>
    <row r="381" spans="1:13" x14ac:dyDescent="0.3">
      <c r="A381" s="3">
        <v>1518013</v>
      </c>
      <c r="B381" s="4" t="s">
        <v>822</v>
      </c>
      <c r="C381" s="5" t="s">
        <v>6712</v>
      </c>
      <c r="D381" s="5" t="s">
        <v>23</v>
      </c>
      <c r="E381" s="3" t="s">
        <v>14</v>
      </c>
      <c r="F381" s="6">
        <v>58.3</v>
      </c>
      <c r="G381" s="6">
        <v>35.5</v>
      </c>
      <c r="H381" s="6">
        <v>19.2</v>
      </c>
      <c r="I381" s="3" t="s">
        <v>6710</v>
      </c>
      <c r="J381" s="3" t="s">
        <v>4318</v>
      </c>
      <c r="K381" s="8">
        <v>0.72</v>
      </c>
      <c r="L381" s="9" t="s">
        <v>849</v>
      </c>
      <c r="M381" s="24" t="s">
        <v>6713</v>
      </c>
    </row>
    <row r="382" spans="1:13" x14ac:dyDescent="0.3">
      <c r="A382" s="3">
        <v>1510018</v>
      </c>
      <c r="B382" s="4" t="s">
        <v>822</v>
      </c>
      <c r="C382" s="5" t="s">
        <v>850</v>
      </c>
      <c r="D382" s="5" t="s">
        <v>96</v>
      </c>
      <c r="E382" s="3" t="s">
        <v>14</v>
      </c>
      <c r="F382" s="6">
        <v>121.9</v>
      </c>
      <c r="G382" s="6">
        <v>37</v>
      </c>
      <c r="H382" s="6">
        <v>28.9</v>
      </c>
      <c r="I382" s="3" t="s">
        <v>4316</v>
      </c>
      <c r="J382" s="3" t="s">
        <v>4318</v>
      </c>
      <c r="K382" s="8" t="s">
        <v>4543</v>
      </c>
      <c r="L382" s="9" t="s">
        <v>851</v>
      </c>
      <c r="M382" s="1" t="s">
        <v>852</v>
      </c>
    </row>
    <row r="383" spans="1:13" x14ac:dyDescent="0.3">
      <c r="A383" s="3">
        <v>1414022</v>
      </c>
      <c r="B383" s="4" t="s">
        <v>822</v>
      </c>
      <c r="C383" s="5" t="s">
        <v>5011</v>
      </c>
      <c r="D383" s="5" t="s">
        <v>96</v>
      </c>
      <c r="E383" s="3" t="s">
        <v>5011</v>
      </c>
      <c r="F383" s="6">
        <v>253</v>
      </c>
      <c r="G383" s="6">
        <v>38</v>
      </c>
      <c r="H383" s="6">
        <v>19.5</v>
      </c>
      <c r="I383" s="7">
        <v>42</v>
      </c>
      <c r="J383" s="3" t="s">
        <v>4318</v>
      </c>
      <c r="K383" s="8">
        <v>3.77</v>
      </c>
      <c r="L383" s="9" t="s">
        <v>853</v>
      </c>
      <c r="M383" s="9" t="s">
        <v>4974</v>
      </c>
    </row>
    <row r="384" spans="1:13" x14ac:dyDescent="0.3">
      <c r="A384" s="3">
        <v>1390023</v>
      </c>
      <c r="B384" s="4" t="s">
        <v>822</v>
      </c>
      <c r="C384" s="5" t="s">
        <v>854</v>
      </c>
      <c r="D384" s="5" t="s">
        <v>161</v>
      </c>
      <c r="E384" s="3" t="s">
        <v>5012</v>
      </c>
      <c r="F384" s="6">
        <v>254</v>
      </c>
      <c r="G384" s="6">
        <v>37</v>
      </c>
      <c r="H384" s="6">
        <v>38</v>
      </c>
      <c r="I384" s="3" t="s">
        <v>4316</v>
      </c>
      <c r="J384" s="3" t="s">
        <v>4318</v>
      </c>
      <c r="K384" s="8">
        <v>3.77</v>
      </c>
      <c r="L384" s="9" t="s">
        <v>855</v>
      </c>
      <c r="M384" s="24" t="s">
        <v>5197</v>
      </c>
    </row>
    <row r="385" spans="1:13" x14ac:dyDescent="0.3">
      <c r="A385" s="3">
        <v>1366024</v>
      </c>
      <c r="B385" s="4" t="s">
        <v>822</v>
      </c>
      <c r="C385" s="5" t="s">
        <v>854</v>
      </c>
      <c r="D385" s="5" t="s">
        <v>13</v>
      </c>
      <c r="E385" s="3" t="s">
        <v>5012</v>
      </c>
      <c r="F385" s="6">
        <v>256</v>
      </c>
      <c r="G385" s="6">
        <v>39</v>
      </c>
      <c r="H385" s="6">
        <v>19.5</v>
      </c>
      <c r="I385" s="3" t="s">
        <v>4316</v>
      </c>
      <c r="J385" s="3" t="s">
        <v>4318</v>
      </c>
      <c r="K385" s="8">
        <v>3.91</v>
      </c>
      <c r="L385" s="9" t="s">
        <v>856</v>
      </c>
      <c r="M385" s="24" t="s">
        <v>5196</v>
      </c>
    </row>
    <row r="386" spans="1:13" x14ac:dyDescent="0.3">
      <c r="A386" s="3">
        <v>1517025</v>
      </c>
      <c r="B386" s="4" t="s">
        <v>822</v>
      </c>
      <c r="C386" s="5" t="s">
        <v>857</v>
      </c>
      <c r="D386" s="5" t="s">
        <v>86</v>
      </c>
      <c r="E386" s="3" t="s">
        <v>858</v>
      </c>
      <c r="F386" s="6">
        <v>76.5</v>
      </c>
      <c r="G386" s="6">
        <v>69.5</v>
      </c>
      <c r="H386" s="6">
        <v>71</v>
      </c>
      <c r="I386" s="3" t="s">
        <v>4316</v>
      </c>
      <c r="J386" s="3" t="s">
        <v>4318</v>
      </c>
      <c r="K386" s="8" t="s">
        <v>4553</v>
      </c>
      <c r="L386" s="9" t="s">
        <v>859</v>
      </c>
      <c r="M386" s="24" t="s">
        <v>860</v>
      </c>
    </row>
    <row r="387" spans="1:13" x14ac:dyDescent="0.3">
      <c r="A387" s="3">
        <v>1519026</v>
      </c>
      <c r="B387" s="4" t="s">
        <v>822</v>
      </c>
      <c r="C387" s="5" t="s">
        <v>857</v>
      </c>
      <c r="D387" s="5" t="s">
        <v>74</v>
      </c>
      <c r="E387" s="3" t="s">
        <v>858</v>
      </c>
      <c r="F387" s="6">
        <v>76</v>
      </c>
      <c r="G387" s="6">
        <v>69</v>
      </c>
      <c r="H387" s="6">
        <v>0</v>
      </c>
      <c r="I387" s="3" t="s">
        <v>4315</v>
      </c>
      <c r="J387" s="3" t="s">
        <v>4317</v>
      </c>
      <c r="K387" s="8" t="s">
        <v>4350</v>
      </c>
      <c r="L387" s="9" t="s">
        <v>861</v>
      </c>
      <c r="M387" s="1" t="s">
        <v>862</v>
      </c>
    </row>
    <row r="388" spans="1:13" x14ac:dyDescent="0.3">
      <c r="A388" s="3">
        <v>1520027</v>
      </c>
      <c r="B388" s="4" t="s">
        <v>822</v>
      </c>
      <c r="C388" s="5" t="s">
        <v>857</v>
      </c>
      <c r="D388" s="5" t="s">
        <v>264</v>
      </c>
      <c r="E388" s="3" t="s">
        <v>858</v>
      </c>
      <c r="F388" s="6">
        <v>76</v>
      </c>
      <c r="G388" s="6">
        <v>26</v>
      </c>
      <c r="H388" s="6">
        <v>0</v>
      </c>
      <c r="I388" s="3" t="s">
        <v>4315</v>
      </c>
      <c r="J388" s="3" t="s">
        <v>4317</v>
      </c>
      <c r="K388" s="8" t="s">
        <v>4554</v>
      </c>
      <c r="L388" s="9" t="s">
        <v>863</v>
      </c>
      <c r="M388" s="1" t="s">
        <v>864</v>
      </c>
    </row>
    <row r="389" spans="1:13" x14ac:dyDescent="0.3">
      <c r="A389" s="3">
        <v>1521028</v>
      </c>
      <c r="B389" s="4" t="s">
        <v>822</v>
      </c>
      <c r="C389" s="5" t="s">
        <v>857</v>
      </c>
      <c r="D389" s="5" t="s">
        <v>267</v>
      </c>
      <c r="E389" s="3" t="s">
        <v>858</v>
      </c>
      <c r="F389" s="6">
        <v>69</v>
      </c>
      <c r="G389" s="6">
        <v>26</v>
      </c>
      <c r="H389" s="6">
        <v>0</v>
      </c>
      <c r="I389" s="3" t="s">
        <v>4315</v>
      </c>
      <c r="J389" s="3" t="s">
        <v>4317</v>
      </c>
      <c r="K389" s="8" t="s">
        <v>4555</v>
      </c>
      <c r="L389" s="9" t="s">
        <v>865</v>
      </c>
      <c r="M389" s="1" t="s">
        <v>866</v>
      </c>
    </row>
    <row r="390" spans="1:13" x14ac:dyDescent="0.3">
      <c r="A390" s="3">
        <v>1514029</v>
      </c>
      <c r="B390" s="4" t="s">
        <v>822</v>
      </c>
      <c r="C390" s="5" t="s">
        <v>857</v>
      </c>
      <c r="D390" s="5" t="s">
        <v>13</v>
      </c>
      <c r="E390" s="3" t="s">
        <v>858</v>
      </c>
      <c r="F390" s="6">
        <v>77.5</v>
      </c>
      <c r="G390" s="6">
        <v>70.5</v>
      </c>
      <c r="H390" s="6">
        <v>10</v>
      </c>
      <c r="I390" s="3" t="s">
        <v>4315</v>
      </c>
      <c r="J390" s="3" t="s">
        <v>4317</v>
      </c>
      <c r="K390" s="8" t="s">
        <v>4478</v>
      </c>
      <c r="L390" s="9" t="s">
        <v>867</v>
      </c>
      <c r="M390" s="1" t="s">
        <v>868</v>
      </c>
    </row>
    <row r="391" spans="1:13" x14ac:dyDescent="0.3">
      <c r="A391" s="3">
        <v>1510030</v>
      </c>
      <c r="B391" s="4" t="s">
        <v>822</v>
      </c>
      <c r="C391" s="5" t="s">
        <v>869</v>
      </c>
      <c r="D391" s="5" t="s">
        <v>96</v>
      </c>
      <c r="E391" s="3" t="s">
        <v>869</v>
      </c>
      <c r="F391" s="6">
        <v>61</v>
      </c>
      <c r="G391" s="6">
        <v>38.1</v>
      </c>
      <c r="H391" s="6">
        <v>28</v>
      </c>
      <c r="I391" s="3" t="s">
        <v>4316</v>
      </c>
      <c r="J391" s="3" t="s">
        <v>4318</v>
      </c>
      <c r="K391" s="8" t="s">
        <v>4328</v>
      </c>
      <c r="L391" s="9" t="s">
        <v>870</v>
      </c>
      <c r="M391" s="1" t="s">
        <v>871</v>
      </c>
    </row>
    <row r="392" spans="1:13" x14ac:dyDescent="0.3">
      <c r="A392" s="3">
        <v>1514031</v>
      </c>
      <c r="B392" s="4" t="s">
        <v>822</v>
      </c>
      <c r="C392" s="5" t="s">
        <v>872</v>
      </c>
      <c r="D392" s="5" t="s">
        <v>13</v>
      </c>
      <c r="E392" s="3" t="s">
        <v>873</v>
      </c>
      <c r="F392" s="6">
        <v>61</v>
      </c>
      <c r="G392" s="6">
        <v>83.8</v>
      </c>
      <c r="H392" s="6">
        <v>41.7</v>
      </c>
      <c r="I392" s="3" t="s">
        <v>4315</v>
      </c>
      <c r="J392" s="3" t="s">
        <v>4317</v>
      </c>
      <c r="K392" s="8" t="s">
        <v>4556</v>
      </c>
      <c r="L392" s="9" t="s">
        <v>874</v>
      </c>
      <c r="M392" s="1" t="s">
        <v>875</v>
      </c>
    </row>
    <row r="393" spans="1:13" x14ac:dyDescent="0.3">
      <c r="A393" s="3">
        <v>1519032</v>
      </c>
      <c r="B393" s="4" t="s">
        <v>822</v>
      </c>
      <c r="C393" s="5" t="s">
        <v>876</v>
      </c>
      <c r="D393" s="5" t="s">
        <v>74</v>
      </c>
      <c r="E393" s="3" t="s">
        <v>876</v>
      </c>
      <c r="F393" s="6">
        <v>110</v>
      </c>
      <c r="G393" s="6">
        <v>98</v>
      </c>
      <c r="H393" s="6">
        <v>0</v>
      </c>
      <c r="I393" s="3" t="s">
        <v>14</v>
      </c>
      <c r="J393" s="3" t="s">
        <v>14</v>
      </c>
      <c r="K393" s="8" t="s">
        <v>4555</v>
      </c>
      <c r="L393" s="9" t="s">
        <v>877</v>
      </c>
      <c r="M393" s="1" t="s">
        <v>878</v>
      </c>
    </row>
    <row r="394" spans="1:13" x14ac:dyDescent="0.3">
      <c r="A394" s="3">
        <v>1520033</v>
      </c>
      <c r="B394" s="4" t="s">
        <v>822</v>
      </c>
      <c r="C394" s="5" t="s">
        <v>879</v>
      </c>
      <c r="D394" s="5" t="s">
        <v>880</v>
      </c>
      <c r="E394" s="3" t="s">
        <v>879</v>
      </c>
      <c r="F394" s="6">
        <v>68.599999999999994</v>
      </c>
      <c r="G394" s="6">
        <v>25.5</v>
      </c>
      <c r="H394" s="6">
        <v>0</v>
      </c>
      <c r="I394" s="3" t="s">
        <v>4315</v>
      </c>
      <c r="J394" s="3" t="s">
        <v>4317</v>
      </c>
      <c r="K394" s="8" t="s">
        <v>4326</v>
      </c>
      <c r="L394" s="9" t="s">
        <v>881</v>
      </c>
      <c r="M394" s="1" t="s">
        <v>882</v>
      </c>
    </row>
    <row r="395" spans="1:13" x14ac:dyDescent="0.3">
      <c r="A395" s="3">
        <v>1521034</v>
      </c>
      <c r="B395" s="4" t="s">
        <v>822</v>
      </c>
      <c r="C395" s="5" t="s">
        <v>879</v>
      </c>
      <c r="D395" s="5" t="s">
        <v>880</v>
      </c>
      <c r="E395" s="3" t="s">
        <v>879</v>
      </c>
      <c r="F395" s="6">
        <v>74.2</v>
      </c>
      <c r="G395" s="6">
        <v>25.5</v>
      </c>
      <c r="H395" s="6">
        <v>0</v>
      </c>
      <c r="I395" s="3" t="s">
        <v>4315</v>
      </c>
      <c r="J395" s="3" t="s">
        <v>4317</v>
      </c>
      <c r="K395" s="8" t="s">
        <v>4444</v>
      </c>
      <c r="L395" s="9" t="s">
        <v>883</v>
      </c>
      <c r="M395" s="1" t="s">
        <v>884</v>
      </c>
    </row>
    <row r="396" spans="1:13" x14ac:dyDescent="0.3">
      <c r="A396" s="3">
        <v>1519035</v>
      </c>
      <c r="B396" s="4" t="s">
        <v>822</v>
      </c>
      <c r="C396" s="5" t="s">
        <v>879</v>
      </c>
      <c r="D396" s="5" t="s">
        <v>74</v>
      </c>
      <c r="E396" s="3" t="s">
        <v>879</v>
      </c>
      <c r="F396" s="6">
        <v>74.2</v>
      </c>
      <c r="G396" s="6">
        <v>68.599999999999994</v>
      </c>
      <c r="H396" s="6">
        <v>0</v>
      </c>
      <c r="I396" s="3" t="s">
        <v>4315</v>
      </c>
      <c r="J396" s="3" t="s">
        <v>4317</v>
      </c>
      <c r="K396" s="8" t="s">
        <v>4391</v>
      </c>
      <c r="L396" s="9" t="s">
        <v>885</v>
      </c>
      <c r="M396" s="1" t="s">
        <v>886</v>
      </c>
    </row>
    <row r="397" spans="1:13" x14ac:dyDescent="0.3">
      <c r="A397" s="3">
        <v>9401003</v>
      </c>
      <c r="B397" s="4" t="s">
        <v>887</v>
      </c>
      <c r="C397" s="5" t="s">
        <v>3717</v>
      </c>
      <c r="D397" s="5" t="s">
        <v>512</v>
      </c>
      <c r="E397" s="3" t="s">
        <v>6714</v>
      </c>
      <c r="F397" s="6">
        <v>122</v>
      </c>
      <c r="G397" s="6">
        <v>115.7</v>
      </c>
      <c r="H397" s="6">
        <v>9.5</v>
      </c>
      <c r="I397" s="7">
        <v>32</v>
      </c>
      <c r="J397" s="3" t="s">
        <v>4317</v>
      </c>
      <c r="K397" s="8">
        <v>1.9</v>
      </c>
      <c r="L397" s="9" t="s">
        <v>6715</v>
      </c>
      <c r="M397" s="1" t="s">
        <v>6716</v>
      </c>
    </row>
    <row r="398" spans="1:13" x14ac:dyDescent="0.3">
      <c r="A398" s="3">
        <v>1613006</v>
      </c>
      <c r="B398" s="4" t="s">
        <v>887</v>
      </c>
      <c r="C398" s="5" t="s">
        <v>888</v>
      </c>
      <c r="D398" s="5" t="s">
        <v>889</v>
      </c>
      <c r="E398" s="3" t="s">
        <v>888</v>
      </c>
      <c r="F398" s="6">
        <v>39.700000000000003</v>
      </c>
      <c r="G398" s="6">
        <v>31.5</v>
      </c>
      <c r="H398" s="6">
        <v>12.3</v>
      </c>
      <c r="I398" s="7" t="s">
        <v>4473</v>
      </c>
      <c r="J398" s="3" t="s">
        <v>4317</v>
      </c>
      <c r="K398" s="8" t="s">
        <v>4557</v>
      </c>
      <c r="L398" s="9" t="s">
        <v>890</v>
      </c>
      <c r="M398" s="1" t="s">
        <v>891</v>
      </c>
    </row>
    <row r="399" spans="1:13" x14ac:dyDescent="0.3">
      <c r="A399" s="3">
        <v>1613007</v>
      </c>
      <c r="B399" s="4" t="s">
        <v>887</v>
      </c>
      <c r="C399" s="5" t="s">
        <v>4900</v>
      </c>
      <c r="D399" s="5" t="s">
        <v>889</v>
      </c>
      <c r="E399" s="3" t="s">
        <v>4900</v>
      </c>
      <c r="F399" s="6">
        <v>39.700000000000003</v>
      </c>
      <c r="G399" s="6">
        <v>31.5</v>
      </c>
      <c r="H399" s="6">
        <v>12.3</v>
      </c>
      <c r="I399" s="7" t="s">
        <v>4473</v>
      </c>
      <c r="J399" s="3" t="s">
        <v>4317</v>
      </c>
      <c r="K399" s="8" t="s">
        <v>4557</v>
      </c>
      <c r="L399" s="9" t="s">
        <v>4896</v>
      </c>
      <c r="M399" s="1" t="s">
        <v>4904</v>
      </c>
    </row>
    <row r="400" spans="1:13" x14ac:dyDescent="0.3">
      <c r="A400" s="3">
        <v>1613008</v>
      </c>
      <c r="B400" s="4" t="s">
        <v>887</v>
      </c>
      <c r="C400" s="5" t="s">
        <v>4901</v>
      </c>
      <c r="D400" s="5" t="s">
        <v>889</v>
      </c>
      <c r="E400" s="3" t="s">
        <v>4901</v>
      </c>
      <c r="F400" s="6">
        <v>39.700000000000003</v>
      </c>
      <c r="G400" s="6">
        <v>31.5</v>
      </c>
      <c r="H400" s="6">
        <v>12.3</v>
      </c>
      <c r="I400" s="7" t="s">
        <v>4473</v>
      </c>
      <c r="J400" s="3" t="s">
        <v>4317</v>
      </c>
      <c r="K400" s="8" t="s">
        <v>4557</v>
      </c>
      <c r="L400" s="9" t="s">
        <v>4897</v>
      </c>
      <c r="M400" s="1" t="s">
        <v>4905</v>
      </c>
    </row>
    <row r="401" spans="1:13" x14ac:dyDescent="0.3">
      <c r="A401" s="3">
        <v>1613009</v>
      </c>
      <c r="B401" s="4" t="s">
        <v>887</v>
      </c>
      <c r="C401" s="5" t="s">
        <v>4902</v>
      </c>
      <c r="D401" s="5" t="s">
        <v>889</v>
      </c>
      <c r="E401" s="3" t="s">
        <v>4902</v>
      </c>
      <c r="F401" s="6">
        <v>39.700000000000003</v>
      </c>
      <c r="G401" s="6">
        <v>31.5</v>
      </c>
      <c r="H401" s="6">
        <v>12.3</v>
      </c>
      <c r="I401" s="7" t="s">
        <v>4473</v>
      </c>
      <c r="J401" s="3" t="s">
        <v>4317</v>
      </c>
      <c r="K401" s="8" t="s">
        <v>4557</v>
      </c>
      <c r="L401" s="9" t="s">
        <v>4898</v>
      </c>
      <c r="M401" s="1" t="s">
        <v>4906</v>
      </c>
    </row>
    <row r="402" spans="1:13" x14ac:dyDescent="0.3">
      <c r="A402" s="3">
        <v>1613010</v>
      </c>
      <c r="B402" s="4" t="s">
        <v>887</v>
      </c>
      <c r="C402" s="5" t="s">
        <v>4903</v>
      </c>
      <c r="D402" s="5" t="s">
        <v>889</v>
      </c>
      <c r="E402" s="3" t="s">
        <v>4903</v>
      </c>
      <c r="F402" s="6">
        <v>39.700000000000003</v>
      </c>
      <c r="G402" s="6">
        <v>31.5</v>
      </c>
      <c r="H402" s="6">
        <v>12.3</v>
      </c>
      <c r="I402" s="7" t="s">
        <v>4473</v>
      </c>
      <c r="J402" s="3" t="s">
        <v>4317</v>
      </c>
      <c r="K402" s="8" t="s">
        <v>4557</v>
      </c>
      <c r="L402" s="9" t="s">
        <v>4899</v>
      </c>
      <c r="M402" s="1" t="s">
        <v>4907</v>
      </c>
    </row>
    <row r="403" spans="1:13" x14ac:dyDescent="0.3">
      <c r="A403" s="3">
        <v>1613011</v>
      </c>
      <c r="B403" s="4" t="s">
        <v>887</v>
      </c>
      <c r="C403" s="5" t="s">
        <v>5235</v>
      </c>
      <c r="D403" s="5" t="s">
        <v>889</v>
      </c>
      <c r="E403" s="3" t="s">
        <v>5234</v>
      </c>
      <c r="F403" s="6">
        <v>10</v>
      </c>
      <c r="G403" s="6">
        <v>28.5</v>
      </c>
      <c r="H403" s="6">
        <v>43.3</v>
      </c>
      <c r="I403" s="7">
        <v>32</v>
      </c>
      <c r="J403" s="3" t="s">
        <v>4317</v>
      </c>
      <c r="K403" s="8">
        <v>0.83</v>
      </c>
      <c r="L403" s="9" t="s">
        <v>5236</v>
      </c>
      <c r="M403" s="1" t="s">
        <v>4974</v>
      </c>
    </row>
    <row r="404" spans="1:13" x14ac:dyDescent="0.3">
      <c r="A404" s="3">
        <v>1613012</v>
      </c>
      <c r="B404" s="4" t="s">
        <v>887</v>
      </c>
      <c r="C404" s="5" t="s">
        <v>2908</v>
      </c>
      <c r="D404" s="5" t="s">
        <v>23</v>
      </c>
      <c r="E404" s="3" t="s">
        <v>2908</v>
      </c>
      <c r="F404" s="6">
        <v>50.5</v>
      </c>
      <c r="G404" s="6">
        <v>38</v>
      </c>
      <c r="H404" s="6">
        <v>25.3</v>
      </c>
      <c r="I404" s="7">
        <v>44</v>
      </c>
      <c r="J404" s="3" t="s">
        <v>4317</v>
      </c>
      <c r="K404" s="8">
        <v>0.81</v>
      </c>
      <c r="L404" s="9" t="s">
        <v>6949</v>
      </c>
      <c r="M404" s="1" t="s">
        <v>6986</v>
      </c>
    </row>
    <row r="405" spans="1:13" x14ac:dyDescent="0.3">
      <c r="A405" s="3">
        <v>1613013</v>
      </c>
      <c r="B405" s="4" t="s">
        <v>887</v>
      </c>
      <c r="C405" s="5" t="s">
        <v>906</v>
      </c>
      <c r="D405" s="5" t="s">
        <v>906</v>
      </c>
      <c r="E405" s="3" t="s">
        <v>6984</v>
      </c>
      <c r="F405" s="6">
        <v>10</v>
      </c>
      <c r="G405" s="6">
        <v>10</v>
      </c>
      <c r="H405" s="6">
        <v>30</v>
      </c>
      <c r="I405" s="7">
        <v>42</v>
      </c>
      <c r="J405" s="3" t="s">
        <v>4318</v>
      </c>
      <c r="K405" s="8">
        <v>0.49</v>
      </c>
      <c r="L405" s="9" t="s">
        <v>6985</v>
      </c>
      <c r="M405" s="1"/>
    </row>
    <row r="406" spans="1:13" x14ac:dyDescent="0.3">
      <c r="A406" s="3">
        <v>1613015</v>
      </c>
      <c r="B406" s="4" t="s">
        <v>887</v>
      </c>
      <c r="C406" s="5" t="s">
        <v>14</v>
      </c>
      <c r="D406" s="5" t="s">
        <v>96</v>
      </c>
      <c r="E406" s="3" t="s">
        <v>7088</v>
      </c>
      <c r="F406" s="6">
        <v>67</v>
      </c>
      <c r="G406" s="6">
        <v>43</v>
      </c>
      <c r="H406" s="6">
        <v>43</v>
      </c>
      <c r="I406" s="7">
        <v>32</v>
      </c>
      <c r="J406" s="3" t="s">
        <v>4317</v>
      </c>
      <c r="K406" s="8">
        <v>1.95</v>
      </c>
      <c r="L406" s="9" t="s">
        <v>7193</v>
      </c>
      <c r="M406" s="1"/>
    </row>
    <row r="407" spans="1:13" x14ac:dyDescent="0.3">
      <c r="A407" s="3">
        <v>1613017</v>
      </c>
      <c r="B407" s="4" t="s">
        <v>887</v>
      </c>
      <c r="C407" s="5">
        <v>1613017</v>
      </c>
      <c r="D407" s="5" t="s">
        <v>74</v>
      </c>
      <c r="E407" s="3" t="s">
        <v>7088</v>
      </c>
      <c r="F407" s="6"/>
      <c r="G407" s="6"/>
      <c r="H407" s="6"/>
      <c r="I407" s="7"/>
      <c r="J407" s="3"/>
      <c r="K407" s="8"/>
      <c r="L407" s="9" t="s">
        <v>7194</v>
      </c>
      <c r="M407" s="1"/>
    </row>
    <row r="408" spans="1:13" x14ac:dyDescent="0.3">
      <c r="A408" s="3">
        <v>1613020</v>
      </c>
      <c r="B408" s="4" t="s">
        <v>887</v>
      </c>
      <c r="C408" s="5" t="s">
        <v>7198</v>
      </c>
      <c r="D408" s="5" t="s">
        <v>682</v>
      </c>
      <c r="E408" s="3" t="s">
        <v>14</v>
      </c>
      <c r="F408" s="6">
        <v>70</v>
      </c>
      <c r="G408" s="6">
        <v>40</v>
      </c>
      <c r="H408" s="6">
        <v>50</v>
      </c>
      <c r="I408" s="7">
        <v>42</v>
      </c>
      <c r="J408" s="3" t="s">
        <v>4318</v>
      </c>
      <c r="K408" s="8"/>
      <c r="L408" s="9" t="s">
        <v>7395</v>
      </c>
      <c r="M408" s="1"/>
    </row>
    <row r="409" spans="1:13" x14ac:dyDescent="0.3">
      <c r="A409" s="3">
        <v>1613015</v>
      </c>
      <c r="B409" s="4" t="s">
        <v>7188</v>
      </c>
      <c r="C409" s="5" t="s">
        <v>7083</v>
      </c>
      <c r="D409" s="5" t="s">
        <v>491</v>
      </c>
      <c r="E409" s="3" t="s">
        <v>7083</v>
      </c>
      <c r="F409" s="6">
        <v>36.200000000000003</v>
      </c>
      <c r="G409" s="6">
        <v>12.2</v>
      </c>
      <c r="H409" s="6">
        <v>31.5</v>
      </c>
      <c r="I409" s="7">
        <v>32</v>
      </c>
      <c r="J409" s="3" t="s">
        <v>4317</v>
      </c>
      <c r="K409" s="8">
        <v>0.57999999999999996</v>
      </c>
      <c r="L409" s="9" t="s">
        <v>7084</v>
      </c>
      <c r="M409" s="1" t="s">
        <v>7085</v>
      </c>
    </row>
    <row r="410" spans="1:13" x14ac:dyDescent="0.3">
      <c r="A410" s="3">
        <v>1613018</v>
      </c>
      <c r="B410" s="4" t="s">
        <v>7189</v>
      </c>
      <c r="C410" s="5" t="s">
        <v>7190</v>
      </c>
      <c r="D410" s="5" t="s">
        <v>74</v>
      </c>
      <c r="E410" s="3" t="s">
        <v>14</v>
      </c>
      <c r="F410" s="6">
        <v>40</v>
      </c>
      <c r="G410" s="6">
        <v>60</v>
      </c>
      <c r="H410" s="6" t="s">
        <v>14</v>
      </c>
      <c r="I410" s="7">
        <v>32</v>
      </c>
      <c r="J410" s="3" t="s">
        <v>4317</v>
      </c>
      <c r="K410" s="8">
        <v>0.24</v>
      </c>
      <c r="L410" s="9" t="s">
        <v>7192</v>
      </c>
      <c r="M410" s="1"/>
    </row>
    <row r="411" spans="1:13" x14ac:dyDescent="0.3">
      <c r="A411" s="3">
        <v>1613019</v>
      </c>
      <c r="B411" s="4" t="s">
        <v>7189</v>
      </c>
      <c r="C411" s="5" t="s">
        <v>7191</v>
      </c>
      <c r="D411" s="5" t="s">
        <v>74</v>
      </c>
      <c r="E411" s="3" t="s">
        <v>14</v>
      </c>
      <c r="F411" s="6">
        <v>40</v>
      </c>
      <c r="G411" s="6">
        <v>60</v>
      </c>
      <c r="H411" s="6" t="s">
        <v>14</v>
      </c>
      <c r="I411" s="7">
        <v>42</v>
      </c>
      <c r="J411" s="3" t="s">
        <v>4318</v>
      </c>
      <c r="K411" s="8">
        <v>0.24</v>
      </c>
      <c r="L411" s="9" t="s">
        <v>7195</v>
      </c>
      <c r="M411" s="1"/>
    </row>
    <row r="412" spans="1:13" x14ac:dyDescent="0.3">
      <c r="A412" s="3">
        <v>1613014</v>
      </c>
      <c r="B412" s="4" t="s">
        <v>7187</v>
      </c>
      <c r="C412" s="5" t="s">
        <v>6987</v>
      </c>
      <c r="D412" s="5" t="s">
        <v>96</v>
      </c>
      <c r="E412" s="3" t="s">
        <v>6981</v>
      </c>
      <c r="F412" s="6">
        <v>46</v>
      </c>
      <c r="G412" s="6">
        <v>31</v>
      </c>
      <c r="H412" s="6">
        <v>23</v>
      </c>
      <c r="I412" s="7">
        <v>23</v>
      </c>
      <c r="J412" s="3" t="s">
        <v>4317</v>
      </c>
      <c r="K412" s="8">
        <v>0.87</v>
      </c>
      <c r="L412" s="9" t="s">
        <v>7004</v>
      </c>
      <c r="M412" s="1" t="s">
        <v>6982</v>
      </c>
    </row>
    <row r="413" spans="1:13" x14ac:dyDescent="0.3">
      <c r="A413" s="3">
        <v>1613016</v>
      </c>
      <c r="B413" s="4" t="s">
        <v>887</v>
      </c>
      <c r="C413" s="5" t="s">
        <v>8022</v>
      </c>
      <c r="D413" s="5" t="s">
        <v>13</v>
      </c>
      <c r="E413" s="3" t="s">
        <v>14</v>
      </c>
      <c r="F413" s="6">
        <v>124</v>
      </c>
      <c r="G413" s="6">
        <v>116</v>
      </c>
      <c r="H413" s="6">
        <v>10</v>
      </c>
      <c r="I413" s="7">
        <v>42</v>
      </c>
      <c r="J413" s="3" t="s">
        <v>4318</v>
      </c>
      <c r="K413" s="8">
        <v>1.96</v>
      </c>
      <c r="L413" s="9" t="s">
        <v>7193</v>
      </c>
      <c r="M413" s="1" t="s">
        <v>7996</v>
      </c>
    </row>
    <row r="414" spans="1:13" x14ac:dyDescent="0.3">
      <c r="A414" s="3">
        <v>1711123</v>
      </c>
      <c r="B414" s="4" t="s">
        <v>892</v>
      </c>
      <c r="C414" s="5">
        <v>565423</v>
      </c>
      <c r="D414" s="5" t="s">
        <v>154</v>
      </c>
      <c r="E414" s="3" t="s">
        <v>14</v>
      </c>
      <c r="F414" s="6">
        <v>56</v>
      </c>
      <c r="G414" s="6">
        <v>54</v>
      </c>
      <c r="H414" s="6">
        <v>23</v>
      </c>
      <c r="I414" s="7" t="s">
        <v>4316</v>
      </c>
      <c r="J414" s="3" t="s">
        <v>4318</v>
      </c>
      <c r="K414" s="8" t="s">
        <v>4596</v>
      </c>
      <c r="L414" s="9" t="s">
        <v>1236</v>
      </c>
      <c r="M414" s="1" t="s">
        <v>1237</v>
      </c>
    </row>
    <row r="415" spans="1:13" x14ac:dyDescent="0.3">
      <c r="A415" s="3">
        <v>1714124</v>
      </c>
      <c r="B415" s="4" t="s">
        <v>892</v>
      </c>
      <c r="C415" s="5">
        <v>565426</v>
      </c>
      <c r="D415" s="5" t="s">
        <v>392</v>
      </c>
      <c r="E415" s="3" t="s">
        <v>14</v>
      </c>
      <c r="F415" s="6">
        <v>114</v>
      </c>
      <c r="G415" s="6">
        <v>110</v>
      </c>
      <c r="H415" s="6">
        <v>12</v>
      </c>
      <c r="I415" s="7" t="s">
        <v>4316</v>
      </c>
      <c r="J415" s="3" t="s">
        <v>4318</v>
      </c>
      <c r="K415" s="8" t="s">
        <v>4551</v>
      </c>
      <c r="L415" s="9" t="s">
        <v>1238</v>
      </c>
      <c r="M415" s="1" t="s">
        <v>1239</v>
      </c>
    </row>
    <row r="416" spans="1:13" x14ac:dyDescent="0.3">
      <c r="A416" s="3">
        <v>1710028</v>
      </c>
      <c r="B416" s="4" t="s">
        <v>892</v>
      </c>
      <c r="C416" s="5">
        <v>2013882</v>
      </c>
      <c r="D416" s="5" t="s">
        <v>96</v>
      </c>
      <c r="E416" s="3" t="s">
        <v>14</v>
      </c>
      <c r="F416" s="6">
        <v>52</v>
      </c>
      <c r="G416" s="6">
        <v>33</v>
      </c>
      <c r="H416" s="6">
        <v>28</v>
      </c>
      <c r="I416" s="7" t="s">
        <v>4316</v>
      </c>
      <c r="J416" s="3" t="s">
        <v>4318</v>
      </c>
      <c r="K416" s="8" t="s">
        <v>4571</v>
      </c>
      <c r="L416" s="9" t="s">
        <v>966</v>
      </c>
      <c r="M416" s="1" t="s">
        <v>967</v>
      </c>
    </row>
    <row r="417" spans="1:13" x14ac:dyDescent="0.3">
      <c r="A417" s="3">
        <v>1720150</v>
      </c>
      <c r="B417" s="4" t="s">
        <v>892</v>
      </c>
      <c r="C417" s="5">
        <v>2234265</v>
      </c>
      <c r="D417" s="5" t="s">
        <v>264</v>
      </c>
      <c r="E417" s="3" t="s">
        <v>1301</v>
      </c>
      <c r="F417" s="6">
        <v>23.3</v>
      </c>
      <c r="G417" s="6">
        <v>10.5</v>
      </c>
      <c r="H417" s="6">
        <v>0</v>
      </c>
      <c r="I417" s="7" t="s">
        <v>3375</v>
      </c>
      <c r="J417" s="3" t="s">
        <v>4422</v>
      </c>
      <c r="K417" s="8" t="s">
        <v>4601</v>
      </c>
      <c r="L417" s="9" t="s">
        <v>1302</v>
      </c>
      <c r="M417" s="1" t="s">
        <v>1303</v>
      </c>
    </row>
    <row r="418" spans="1:13" x14ac:dyDescent="0.3">
      <c r="A418" s="3">
        <v>1720151</v>
      </c>
      <c r="B418" s="4" t="s">
        <v>892</v>
      </c>
      <c r="C418" s="5">
        <v>2234265</v>
      </c>
      <c r="D418" s="5" t="s">
        <v>267</v>
      </c>
      <c r="E418" s="3" t="s">
        <v>1301</v>
      </c>
      <c r="F418" s="6">
        <v>39</v>
      </c>
      <c r="G418" s="6">
        <v>10.5</v>
      </c>
      <c r="H418" s="6">
        <v>0</v>
      </c>
      <c r="I418" s="7" t="s">
        <v>3375</v>
      </c>
      <c r="J418" s="3" t="s">
        <v>4422</v>
      </c>
      <c r="K418" s="8" t="s">
        <v>4453</v>
      </c>
      <c r="L418" s="9" t="s">
        <v>1304</v>
      </c>
      <c r="M418" s="1" t="s">
        <v>1305</v>
      </c>
    </row>
    <row r="419" spans="1:13" x14ac:dyDescent="0.3">
      <c r="A419" s="3">
        <v>1718006</v>
      </c>
      <c r="B419" s="4" t="s">
        <v>892</v>
      </c>
      <c r="C419" s="5">
        <v>2317925</v>
      </c>
      <c r="D419" s="5" t="s">
        <v>906</v>
      </c>
      <c r="E419" s="3" t="s">
        <v>6727</v>
      </c>
      <c r="F419" s="6">
        <v>41.5</v>
      </c>
      <c r="G419" s="6">
        <v>14.5</v>
      </c>
      <c r="H419" s="6">
        <v>0</v>
      </c>
      <c r="I419" s="7" t="s">
        <v>4558</v>
      </c>
      <c r="J419" s="3" t="s">
        <v>14</v>
      </c>
      <c r="K419" s="8" t="s">
        <v>4562</v>
      </c>
      <c r="L419" s="9" t="s">
        <v>907</v>
      </c>
      <c r="M419" s="1" t="s">
        <v>908</v>
      </c>
    </row>
    <row r="420" spans="1:13" x14ac:dyDescent="0.3">
      <c r="A420" s="3">
        <v>1719136</v>
      </c>
      <c r="B420" s="4" t="s">
        <v>892</v>
      </c>
      <c r="C420" s="5">
        <v>2317926</v>
      </c>
      <c r="D420" s="5" t="s">
        <v>74</v>
      </c>
      <c r="E420" s="3" t="s">
        <v>1264</v>
      </c>
      <c r="F420" s="6">
        <v>42</v>
      </c>
      <c r="G420" s="6">
        <v>19</v>
      </c>
      <c r="H420" s="6">
        <v>0</v>
      </c>
      <c r="I420" s="7" t="s">
        <v>4421</v>
      </c>
      <c r="J420" s="3" t="s">
        <v>4423</v>
      </c>
      <c r="K420" s="8" t="s">
        <v>4453</v>
      </c>
      <c r="L420" s="9" t="s">
        <v>1267</v>
      </c>
      <c r="M420" s="1" t="s">
        <v>1268</v>
      </c>
    </row>
    <row r="421" spans="1:13" x14ac:dyDescent="0.3">
      <c r="A421" s="3">
        <v>1714027</v>
      </c>
      <c r="B421" s="4" t="s">
        <v>892</v>
      </c>
      <c r="C421" s="5">
        <v>2320275</v>
      </c>
      <c r="D421" s="5" t="s">
        <v>13</v>
      </c>
      <c r="E421" s="3" t="s">
        <v>6732</v>
      </c>
      <c r="F421" s="6">
        <v>115</v>
      </c>
      <c r="G421" s="6">
        <v>115</v>
      </c>
      <c r="H421" s="6">
        <v>10.5</v>
      </c>
      <c r="I421" s="7" t="s">
        <v>4315</v>
      </c>
      <c r="J421" s="3" t="s">
        <v>4317</v>
      </c>
      <c r="K421" s="8" t="s">
        <v>4551</v>
      </c>
      <c r="L421" s="9" t="s">
        <v>962</v>
      </c>
      <c r="M421" s="24" t="s">
        <v>963</v>
      </c>
    </row>
    <row r="422" spans="1:13" x14ac:dyDescent="0.3">
      <c r="A422" s="3">
        <v>1713028</v>
      </c>
      <c r="B422" s="4" t="s">
        <v>892</v>
      </c>
      <c r="C422" s="5">
        <v>2558403</v>
      </c>
      <c r="D422" s="5" t="s">
        <v>524</v>
      </c>
      <c r="E422" s="3" t="s">
        <v>14</v>
      </c>
      <c r="F422" s="6">
        <v>61.8</v>
      </c>
      <c r="G422" s="6">
        <v>54.4</v>
      </c>
      <c r="H422" s="6">
        <v>5.4</v>
      </c>
      <c r="I422" s="7" t="s">
        <v>4315</v>
      </c>
      <c r="J422" s="3" t="s">
        <v>4317</v>
      </c>
      <c r="K422" s="8" t="s">
        <v>4358</v>
      </c>
      <c r="L422" s="9" t="s">
        <v>964</v>
      </c>
      <c r="M422" s="1" t="s">
        <v>965</v>
      </c>
    </row>
    <row r="423" spans="1:13" x14ac:dyDescent="0.3">
      <c r="A423" s="3">
        <v>1710005</v>
      </c>
      <c r="B423" s="4" t="s">
        <v>892</v>
      </c>
      <c r="C423" s="5" t="s">
        <v>6730</v>
      </c>
      <c r="D423" s="5" t="s">
        <v>96</v>
      </c>
      <c r="E423" s="3" t="s">
        <v>903</v>
      </c>
      <c r="F423" s="6">
        <v>48</v>
      </c>
      <c r="G423" s="6">
        <v>29.5</v>
      </c>
      <c r="H423" s="6">
        <v>29</v>
      </c>
      <c r="I423" s="7" t="s">
        <v>4316</v>
      </c>
      <c r="J423" s="3" t="s">
        <v>4318</v>
      </c>
      <c r="K423" s="8" t="s">
        <v>4444</v>
      </c>
      <c r="L423" s="9" t="s">
        <v>904</v>
      </c>
      <c r="M423" s="1" t="s">
        <v>905</v>
      </c>
    </row>
    <row r="424" spans="1:13" x14ac:dyDescent="0.3">
      <c r="A424" s="3">
        <v>1720154</v>
      </c>
      <c r="B424" s="4" t="s">
        <v>892</v>
      </c>
      <c r="C424" s="5" t="s">
        <v>6754</v>
      </c>
      <c r="D424" s="5" t="s">
        <v>264</v>
      </c>
      <c r="E424" s="3" t="s">
        <v>1311</v>
      </c>
      <c r="F424" s="6">
        <v>42</v>
      </c>
      <c r="G424" s="6">
        <v>13</v>
      </c>
      <c r="H424" s="6">
        <v>0</v>
      </c>
      <c r="I424" s="7" t="s">
        <v>3375</v>
      </c>
      <c r="J424" s="3" t="s">
        <v>4422</v>
      </c>
      <c r="K424" s="8" t="s">
        <v>4405</v>
      </c>
      <c r="L424" s="9" t="s">
        <v>1312</v>
      </c>
      <c r="M424" s="1" t="s">
        <v>1313</v>
      </c>
    </row>
    <row r="425" spans="1:13" x14ac:dyDescent="0.3">
      <c r="A425" s="3">
        <v>1721155</v>
      </c>
      <c r="B425" s="4" t="s">
        <v>892</v>
      </c>
      <c r="C425" s="5" t="s">
        <v>6754</v>
      </c>
      <c r="D425" s="5" t="s">
        <v>267</v>
      </c>
      <c r="E425" s="3" t="s">
        <v>1311</v>
      </c>
      <c r="F425" s="6">
        <v>46</v>
      </c>
      <c r="G425" s="6">
        <v>13</v>
      </c>
      <c r="H425" s="6">
        <v>0</v>
      </c>
      <c r="I425" s="7" t="s">
        <v>3375</v>
      </c>
      <c r="J425" s="3" t="s">
        <v>4422</v>
      </c>
      <c r="K425" s="8" t="s">
        <v>4562</v>
      </c>
      <c r="L425" s="9" t="s">
        <v>1314</v>
      </c>
      <c r="M425" s="1" t="s">
        <v>1315</v>
      </c>
    </row>
    <row r="426" spans="1:13" x14ac:dyDescent="0.3">
      <c r="A426" s="3">
        <v>1722156</v>
      </c>
      <c r="B426" s="4" t="s">
        <v>892</v>
      </c>
      <c r="C426" s="5" t="s">
        <v>6754</v>
      </c>
      <c r="D426" s="5" t="s">
        <v>399</v>
      </c>
      <c r="E426" s="3" t="s">
        <v>1311</v>
      </c>
      <c r="F426" s="6">
        <v>46</v>
      </c>
      <c r="G426" s="6">
        <v>13</v>
      </c>
      <c r="H426" s="6">
        <v>0</v>
      </c>
      <c r="I426" s="7" t="s">
        <v>3375</v>
      </c>
      <c r="J426" s="3" t="s">
        <v>4422</v>
      </c>
      <c r="K426" s="8" t="s">
        <v>4562</v>
      </c>
      <c r="L426" s="9" t="s">
        <v>1316</v>
      </c>
      <c r="M426" s="1" t="s">
        <v>1317</v>
      </c>
    </row>
    <row r="427" spans="1:13" x14ac:dyDescent="0.3">
      <c r="A427" s="3">
        <v>1723157</v>
      </c>
      <c r="B427" s="4" t="s">
        <v>892</v>
      </c>
      <c r="C427" s="5" t="s">
        <v>6754</v>
      </c>
      <c r="D427" s="5" t="s">
        <v>644</v>
      </c>
      <c r="E427" s="3" t="s">
        <v>1311</v>
      </c>
      <c r="F427" s="6">
        <v>53.5</v>
      </c>
      <c r="G427" s="6">
        <v>13</v>
      </c>
      <c r="H427" s="6">
        <v>0</v>
      </c>
      <c r="I427" s="7" t="s">
        <v>3375</v>
      </c>
      <c r="J427" s="3" t="s">
        <v>4422</v>
      </c>
      <c r="K427" s="8" t="s">
        <v>4595</v>
      </c>
      <c r="L427" s="9" t="s">
        <v>1318</v>
      </c>
      <c r="M427" s="1" t="s">
        <v>1319</v>
      </c>
    </row>
    <row r="428" spans="1:13" x14ac:dyDescent="0.3">
      <c r="A428" s="3">
        <v>1719158</v>
      </c>
      <c r="B428" s="4" t="s">
        <v>892</v>
      </c>
      <c r="C428" s="5" t="s">
        <v>6753</v>
      </c>
      <c r="D428" s="5" t="s">
        <v>74</v>
      </c>
      <c r="E428" s="3" t="s">
        <v>1320</v>
      </c>
      <c r="F428" s="6">
        <v>53.5</v>
      </c>
      <c r="G428" s="6">
        <v>46</v>
      </c>
      <c r="H428" s="6">
        <v>0</v>
      </c>
      <c r="I428" s="7" t="s">
        <v>4315</v>
      </c>
      <c r="J428" s="3" t="s">
        <v>4317</v>
      </c>
      <c r="K428" s="8" t="s">
        <v>4563</v>
      </c>
      <c r="L428" s="9" t="s">
        <v>1321</v>
      </c>
      <c r="M428" s="1" t="s">
        <v>1322</v>
      </c>
    </row>
    <row r="429" spans="1:13" x14ac:dyDescent="0.3">
      <c r="A429" s="3">
        <v>1711074</v>
      </c>
      <c r="B429" s="4" t="s">
        <v>892</v>
      </c>
      <c r="C429" s="5" t="s">
        <v>1101</v>
      </c>
      <c r="D429" s="5" t="s">
        <v>154</v>
      </c>
      <c r="E429" s="3" t="s">
        <v>14</v>
      </c>
      <c r="F429" s="6">
        <v>115.7</v>
      </c>
      <c r="G429" s="6">
        <v>50.7</v>
      </c>
      <c r="H429" s="6">
        <v>78.7</v>
      </c>
      <c r="I429" s="7" t="s">
        <v>4316</v>
      </c>
      <c r="J429" s="3" t="s">
        <v>4318</v>
      </c>
      <c r="K429" s="8" t="s">
        <v>4587</v>
      </c>
      <c r="L429" s="9" t="s">
        <v>1102</v>
      </c>
      <c r="M429" s="1" t="s">
        <v>1103</v>
      </c>
    </row>
    <row r="430" spans="1:13" x14ac:dyDescent="0.3">
      <c r="A430" s="3">
        <v>1714075</v>
      </c>
      <c r="B430" s="4" t="s">
        <v>892</v>
      </c>
      <c r="C430" s="5" t="s">
        <v>1101</v>
      </c>
      <c r="D430" s="5" t="s">
        <v>392</v>
      </c>
      <c r="E430" s="3" t="s">
        <v>14</v>
      </c>
      <c r="F430" s="6">
        <v>116.4</v>
      </c>
      <c r="G430" s="6">
        <v>51.4</v>
      </c>
      <c r="H430" s="6">
        <v>10.4</v>
      </c>
      <c r="I430" s="7" t="s">
        <v>4585</v>
      </c>
      <c r="J430" s="3" t="s">
        <v>4317</v>
      </c>
      <c r="K430" s="8" t="s">
        <v>4554</v>
      </c>
      <c r="L430" s="9" t="s">
        <v>1104</v>
      </c>
      <c r="M430" s="1" t="s">
        <v>1105</v>
      </c>
    </row>
    <row r="431" spans="1:13" x14ac:dyDescent="0.3">
      <c r="A431" s="3">
        <v>1719203</v>
      </c>
      <c r="B431" s="4" t="s">
        <v>892</v>
      </c>
      <c r="C431" s="5" t="s">
        <v>5008</v>
      </c>
      <c r="D431" s="5" t="s">
        <v>13</v>
      </c>
      <c r="E431" s="3" t="s">
        <v>14</v>
      </c>
      <c r="F431" s="6">
        <v>127</v>
      </c>
      <c r="G431" s="6">
        <v>105</v>
      </c>
      <c r="H431" s="6">
        <v>8</v>
      </c>
      <c r="I431" s="7">
        <v>42</v>
      </c>
      <c r="J431" s="3" t="s">
        <v>4318</v>
      </c>
      <c r="K431" s="8">
        <v>1.73</v>
      </c>
      <c r="L431" s="9" t="s">
        <v>5009</v>
      </c>
      <c r="M431" s="1" t="s">
        <v>5010</v>
      </c>
    </row>
    <row r="432" spans="1:13" x14ac:dyDescent="0.3">
      <c r="A432" s="3">
        <v>1714031</v>
      </c>
      <c r="B432" s="4" t="s">
        <v>892</v>
      </c>
      <c r="C432" s="5" t="s">
        <v>971</v>
      </c>
      <c r="D432" s="5" t="s">
        <v>13</v>
      </c>
      <c r="E432" s="3" t="s">
        <v>14</v>
      </c>
      <c r="F432" s="6">
        <v>113</v>
      </c>
      <c r="G432" s="6">
        <v>108</v>
      </c>
      <c r="H432" s="6">
        <v>6.5</v>
      </c>
      <c r="I432" s="7" t="s">
        <v>4315</v>
      </c>
      <c r="J432" s="3" t="s">
        <v>4317</v>
      </c>
      <c r="K432" s="8" t="s">
        <v>4573</v>
      </c>
      <c r="L432" s="9" t="s">
        <v>972</v>
      </c>
      <c r="M432" s="1" t="s">
        <v>973</v>
      </c>
    </row>
    <row r="433" spans="1:13" x14ac:dyDescent="0.3">
      <c r="A433" s="3">
        <v>1720014</v>
      </c>
      <c r="B433" s="4" t="s">
        <v>892</v>
      </c>
      <c r="C433" s="5" t="s">
        <v>926</v>
      </c>
      <c r="D433" s="5" t="s">
        <v>264</v>
      </c>
      <c r="E433" s="3" t="s">
        <v>14</v>
      </c>
      <c r="F433" s="6">
        <v>53.9</v>
      </c>
      <c r="G433" s="6">
        <v>31.6</v>
      </c>
      <c r="H433" s="6">
        <v>0</v>
      </c>
      <c r="I433" s="7" t="s">
        <v>4421</v>
      </c>
      <c r="J433" s="3" t="s">
        <v>4423</v>
      </c>
      <c r="K433" s="8" t="s">
        <v>4565</v>
      </c>
      <c r="L433" s="9" t="s">
        <v>927</v>
      </c>
      <c r="M433" s="1" t="s">
        <v>928</v>
      </c>
    </row>
    <row r="434" spans="1:13" x14ac:dyDescent="0.3">
      <c r="A434" s="3">
        <v>1721015</v>
      </c>
      <c r="B434" s="4" t="s">
        <v>892</v>
      </c>
      <c r="C434" s="5" t="s">
        <v>929</v>
      </c>
      <c r="D434" s="5" t="s">
        <v>267</v>
      </c>
      <c r="E434" s="3" t="s">
        <v>14</v>
      </c>
      <c r="F434" s="6">
        <v>61.5</v>
      </c>
      <c r="G434" s="6">
        <v>31.6</v>
      </c>
      <c r="H434" s="6">
        <v>0</v>
      </c>
      <c r="I434" s="7" t="s">
        <v>4421</v>
      </c>
      <c r="J434" s="3" t="s">
        <v>4423</v>
      </c>
      <c r="K434" s="8" t="s">
        <v>4566</v>
      </c>
      <c r="L434" s="9" t="s">
        <v>930</v>
      </c>
      <c r="M434" s="1" t="s">
        <v>931</v>
      </c>
    </row>
    <row r="435" spans="1:13" x14ac:dyDescent="0.3">
      <c r="A435" s="3">
        <v>1720016</v>
      </c>
      <c r="B435" s="4" t="s">
        <v>892</v>
      </c>
      <c r="C435" s="5" t="s">
        <v>932</v>
      </c>
      <c r="D435" s="5" t="s">
        <v>264</v>
      </c>
      <c r="E435" s="3" t="s">
        <v>14</v>
      </c>
      <c r="F435" s="6">
        <v>54.6</v>
      </c>
      <c r="G435" s="6">
        <v>25.4</v>
      </c>
      <c r="H435" s="6">
        <v>0</v>
      </c>
      <c r="I435" s="7" t="s">
        <v>4421</v>
      </c>
      <c r="J435" s="3" t="s">
        <v>4423</v>
      </c>
      <c r="K435" s="8" t="s">
        <v>4566</v>
      </c>
      <c r="L435" s="9" t="s">
        <v>933</v>
      </c>
      <c r="M435" s="1" t="s">
        <v>934</v>
      </c>
    </row>
    <row r="436" spans="1:13" x14ac:dyDescent="0.3">
      <c r="A436" s="3">
        <v>1721017</v>
      </c>
      <c r="B436" s="4" t="s">
        <v>892</v>
      </c>
      <c r="C436" s="5" t="s">
        <v>935</v>
      </c>
      <c r="D436" s="5" t="s">
        <v>267</v>
      </c>
      <c r="E436" s="3" t="s">
        <v>14</v>
      </c>
      <c r="F436" s="6">
        <v>59.6</v>
      </c>
      <c r="G436" s="6">
        <v>25.4</v>
      </c>
      <c r="H436" s="6">
        <v>0</v>
      </c>
      <c r="I436" s="7" t="s">
        <v>4421</v>
      </c>
      <c r="J436" s="3" t="s">
        <v>4423</v>
      </c>
      <c r="K436" s="8" t="s">
        <v>4567</v>
      </c>
      <c r="L436" s="9" t="s">
        <v>936</v>
      </c>
      <c r="M436" s="1" t="s">
        <v>937</v>
      </c>
    </row>
    <row r="437" spans="1:13" x14ac:dyDescent="0.3">
      <c r="A437" s="3">
        <v>1719238</v>
      </c>
      <c r="B437" s="4" t="s">
        <v>892</v>
      </c>
      <c r="C437" s="5" t="s">
        <v>7750</v>
      </c>
      <c r="D437" s="5" t="s">
        <v>4792</v>
      </c>
      <c r="E437" s="3" t="s">
        <v>14</v>
      </c>
      <c r="F437" s="6">
        <v>56</v>
      </c>
      <c r="G437" s="6">
        <v>46</v>
      </c>
      <c r="H437" s="6">
        <v>19.2</v>
      </c>
      <c r="I437" s="7" t="s">
        <v>6324</v>
      </c>
      <c r="J437" s="3" t="s">
        <v>4422</v>
      </c>
      <c r="K437" s="8">
        <f>0.29+0.8</f>
        <v>1.0900000000000001</v>
      </c>
      <c r="L437" s="9" t="s">
        <v>7719</v>
      </c>
      <c r="M437" s="1" t="s">
        <v>7720</v>
      </c>
    </row>
    <row r="438" spans="1:13" x14ac:dyDescent="0.3">
      <c r="A438" s="3">
        <v>1719183</v>
      </c>
      <c r="B438" s="4" t="s">
        <v>892</v>
      </c>
      <c r="C438" s="5" t="s">
        <v>4915</v>
      </c>
      <c r="D438" s="5" t="s">
        <v>491</v>
      </c>
      <c r="E438" s="3" t="s">
        <v>7876</v>
      </c>
      <c r="F438" s="6">
        <v>51</v>
      </c>
      <c r="G438" s="6">
        <v>13</v>
      </c>
      <c r="H438" s="6">
        <v>22</v>
      </c>
      <c r="I438" s="7">
        <v>40</v>
      </c>
      <c r="J438" s="3" t="s">
        <v>4317</v>
      </c>
      <c r="K438" s="8">
        <v>0.38</v>
      </c>
      <c r="L438" s="9" t="s">
        <v>1369</v>
      </c>
      <c r="M438" s="24" t="s">
        <v>4916</v>
      </c>
    </row>
    <row r="439" spans="1:13" x14ac:dyDescent="0.3">
      <c r="A439" s="3">
        <v>1719184</v>
      </c>
      <c r="B439" s="4" t="s">
        <v>892</v>
      </c>
      <c r="C439" s="5" t="s">
        <v>4915</v>
      </c>
      <c r="D439" s="5" t="s">
        <v>4792</v>
      </c>
      <c r="E439" s="3" t="s">
        <v>7876</v>
      </c>
      <c r="F439" s="6">
        <v>51</v>
      </c>
      <c r="G439" s="6">
        <v>13</v>
      </c>
      <c r="H439" s="6">
        <v>21</v>
      </c>
      <c r="I439" s="7">
        <v>40</v>
      </c>
      <c r="J439" s="3" t="s">
        <v>4317</v>
      </c>
      <c r="K439" s="8">
        <v>0.11</v>
      </c>
      <c r="L439" s="9" t="s">
        <v>1370</v>
      </c>
      <c r="M439" s="24" t="s">
        <v>4917</v>
      </c>
    </row>
    <row r="440" spans="1:13" x14ac:dyDescent="0.3">
      <c r="A440" s="3">
        <v>1720146</v>
      </c>
      <c r="B440" s="4" t="s">
        <v>892</v>
      </c>
      <c r="C440" s="5" t="s">
        <v>6768</v>
      </c>
      <c r="D440" s="5" t="s">
        <v>264</v>
      </c>
      <c r="E440" s="3" t="s">
        <v>6769</v>
      </c>
      <c r="F440" s="6">
        <v>32.700000000000003</v>
      </c>
      <c r="G440" s="6">
        <v>6</v>
      </c>
      <c r="H440" s="6">
        <v>0</v>
      </c>
      <c r="I440" s="7" t="s">
        <v>4421</v>
      </c>
      <c r="J440" s="3" t="s">
        <v>4423</v>
      </c>
      <c r="K440" s="8" t="s">
        <v>4600</v>
      </c>
      <c r="L440" s="9" t="s">
        <v>1293</v>
      </c>
      <c r="M440" s="1" t="s">
        <v>1294</v>
      </c>
    </row>
    <row r="441" spans="1:13" x14ac:dyDescent="0.3">
      <c r="A441" s="3">
        <v>1721147</v>
      </c>
      <c r="B441" s="4" t="s">
        <v>892</v>
      </c>
      <c r="C441" s="5" t="s">
        <v>6768</v>
      </c>
      <c r="D441" s="5" t="s">
        <v>267</v>
      </c>
      <c r="E441" s="3" t="s">
        <v>6769</v>
      </c>
      <c r="F441" s="6">
        <v>54.5</v>
      </c>
      <c r="G441" s="6">
        <v>6</v>
      </c>
      <c r="H441" s="6">
        <v>0</v>
      </c>
      <c r="I441" s="7" t="s">
        <v>4421</v>
      </c>
      <c r="J441" s="3" t="s">
        <v>4423</v>
      </c>
      <c r="K441" s="8" t="s">
        <v>4433</v>
      </c>
      <c r="L441" s="9" t="s">
        <v>1295</v>
      </c>
      <c r="M441" s="1" t="s">
        <v>1296</v>
      </c>
    </row>
    <row r="442" spans="1:13" x14ac:dyDescent="0.3">
      <c r="A442" s="3">
        <v>1720001</v>
      </c>
      <c r="B442" s="4" t="s">
        <v>892</v>
      </c>
      <c r="C442" s="5" t="s">
        <v>7709</v>
      </c>
      <c r="D442" s="5" t="s">
        <v>264</v>
      </c>
      <c r="E442" s="3" t="s">
        <v>7710</v>
      </c>
      <c r="F442" s="6">
        <v>29</v>
      </c>
      <c r="G442" s="6">
        <v>11.3</v>
      </c>
      <c r="H442" s="6">
        <v>0</v>
      </c>
      <c r="I442" s="7" t="s">
        <v>4315</v>
      </c>
      <c r="J442" s="3" t="s">
        <v>4317</v>
      </c>
      <c r="K442" s="8" t="s">
        <v>4559</v>
      </c>
      <c r="L442" s="9" t="s">
        <v>893</v>
      </c>
      <c r="M442" s="1" t="s">
        <v>894</v>
      </c>
    </row>
    <row r="443" spans="1:13" x14ac:dyDescent="0.3">
      <c r="A443" s="3">
        <v>1721002</v>
      </c>
      <c r="B443" s="4" t="s">
        <v>892</v>
      </c>
      <c r="C443" s="5" t="s">
        <v>7709</v>
      </c>
      <c r="D443" s="5" t="s">
        <v>267</v>
      </c>
      <c r="E443" s="3" t="s">
        <v>7710</v>
      </c>
      <c r="F443" s="6">
        <v>42.4</v>
      </c>
      <c r="G443" s="6">
        <v>11.3</v>
      </c>
      <c r="H443" s="6">
        <v>0</v>
      </c>
      <c r="I443" s="7" t="s">
        <v>4315</v>
      </c>
      <c r="J443" s="3" t="s">
        <v>4317</v>
      </c>
      <c r="K443" s="8" t="s">
        <v>4560</v>
      </c>
      <c r="L443" s="9" t="s">
        <v>895</v>
      </c>
      <c r="M443" s="1" t="s">
        <v>896</v>
      </c>
    </row>
    <row r="444" spans="1:13" x14ac:dyDescent="0.3">
      <c r="A444" s="3">
        <v>1728044</v>
      </c>
      <c r="B444" s="4" t="s">
        <v>892</v>
      </c>
      <c r="C444" s="5" t="s">
        <v>1006</v>
      </c>
      <c r="D444" s="5" t="s">
        <v>552</v>
      </c>
      <c r="E444" s="3" t="s">
        <v>1006</v>
      </c>
      <c r="F444" s="6" t="s">
        <v>14</v>
      </c>
      <c r="G444" s="6" t="s">
        <v>14</v>
      </c>
      <c r="H444" s="6" t="s">
        <v>14</v>
      </c>
      <c r="I444" s="7" t="s">
        <v>14</v>
      </c>
      <c r="J444" s="3" t="s">
        <v>14</v>
      </c>
      <c r="K444" s="8" t="s">
        <v>14</v>
      </c>
      <c r="L444" s="9" t="s">
        <v>1012</v>
      </c>
      <c r="M444" s="1" t="s">
        <v>1013</v>
      </c>
    </row>
    <row r="445" spans="1:13" x14ac:dyDescent="0.3">
      <c r="A445" s="3">
        <v>1714009</v>
      </c>
      <c r="B445" s="4" t="s">
        <v>892</v>
      </c>
      <c r="C445" s="5" t="s">
        <v>6778</v>
      </c>
      <c r="D445" s="5" t="s">
        <v>13</v>
      </c>
      <c r="E445" s="3" t="s">
        <v>6777</v>
      </c>
      <c r="F445" s="6">
        <v>132.5</v>
      </c>
      <c r="G445" s="6">
        <v>100.5</v>
      </c>
      <c r="H445" s="6">
        <v>6.5</v>
      </c>
      <c r="I445" s="7" t="s">
        <v>4447</v>
      </c>
      <c r="J445" s="3" t="s">
        <v>4317</v>
      </c>
      <c r="K445" s="8" t="s">
        <v>4564</v>
      </c>
      <c r="L445" s="9" t="s">
        <v>914</v>
      </c>
      <c r="M445" s="1" t="s">
        <v>915</v>
      </c>
    </row>
    <row r="446" spans="1:13" x14ac:dyDescent="0.3">
      <c r="A446" s="3">
        <v>1720109</v>
      </c>
      <c r="B446" s="4" t="s">
        <v>892</v>
      </c>
      <c r="C446" s="5" t="s">
        <v>1197</v>
      </c>
      <c r="D446" s="5" t="s">
        <v>264</v>
      </c>
      <c r="E446" s="3" t="s">
        <v>1198</v>
      </c>
      <c r="F446" s="6">
        <v>54</v>
      </c>
      <c r="G446" s="6">
        <v>29</v>
      </c>
      <c r="H446" s="6">
        <v>0</v>
      </c>
      <c r="I446" s="7" t="s">
        <v>4344</v>
      </c>
      <c r="J446" s="3" t="s">
        <v>4377</v>
      </c>
      <c r="K446" s="8" t="s">
        <v>4594</v>
      </c>
      <c r="L446" s="9" t="s">
        <v>1199</v>
      </c>
      <c r="M446" s="1" t="s">
        <v>1200</v>
      </c>
    </row>
    <row r="447" spans="1:13" x14ac:dyDescent="0.3">
      <c r="A447" s="3">
        <v>1720110</v>
      </c>
      <c r="B447" s="4" t="s">
        <v>892</v>
      </c>
      <c r="C447" s="5" t="s">
        <v>1197</v>
      </c>
      <c r="D447" s="5" t="s">
        <v>267</v>
      </c>
      <c r="E447" s="3" t="s">
        <v>1198</v>
      </c>
      <c r="F447" s="6">
        <v>33</v>
      </c>
      <c r="G447" s="6">
        <v>29</v>
      </c>
      <c r="H447" s="6">
        <v>0</v>
      </c>
      <c r="I447" s="7" t="s">
        <v>4344</v>
      </c>
      <c r="J447" s="3" t="s">
        <v>4377</v>
      </c>
      <c r="K447" s="8" t="s">
        <v>4465</v>
      </c>
      <c r="L447" s="9" t="s">
        <v>1201</v>
      </c>
      <c r="M447" s="1" t="s">
        <v>1202</v>
      </c>
    </row>
    <row r="448" spans="1:13" x14ac:dyDescent="0.3">
      <c r="A448" s="3">
        <v>1722111</v>
      </c>
      <c r="B448" s="4" t="s">
        <v>892</v>
      </c>
      <c r="C448" s="5" t="s">
        <v>1197</v>
      </c>
      <c r="D448" s="5" t="s">
        <v>399</v>
      </c>
      <c r="E448" s="3" t="s">
        <v>1198</v>
      </c>
      <c r="F448" s="6">
        <v>33</v>
      </c>
      <c r="G448" s="6">
        <v>39</v>
      </c>
      <c r="H448" s="6">
        <v>0</v>
      </c>
      <c r="I448" s="7" t="s">
        <v>4344</v>
      </c>
      <c r="J448" s="3" t="s">
        <v>4377</v>
      </c>
      <c r="K448" s="8" t="s">
        <v>4438</v>
      </c>
      <c r="L448" s="9" t="s">
        <v>1203</v>
      </c>
      <c r="M448" s="1" t="s">
        <v>1204</v>
      </c>
    </row>
    <row r="449" spans="1:13" x14ac:dyDescent="0.3">
      <c r="A449" s="3">
        <v>1719197</v>
      </c>
      <c r="B449" s="4" t="s">
        <v>892</v>
      </c>
      <c r="C449" s="5" t="s">
        <v>4913</v>
      </c>
      <c r="D449" s="5" t="s">
        <v>392</v>
      </c>
      <c r="E449" s="3" t="s">
        <v>4845</v>
      </c>
      <c r="F449" s="6">
        <v>65.5</v>
      </c>
      <c r="G449" s="6">
        <v>68.5</v>
      </c>
      <c r="H449" s="6">
        <v>10</v>
      </c>
      <c r="I449" s="7">
        <v>42</v>
      </c>
      <c r="J449" s="3" t="s">
        <v>4318</v>
      </c>
      <c r="K449" s="8">
        <v>0.77</v>
      </c>
      <c r="L449" s="9" t="s">
        <v>4908</v>
      </c>
      <c r="M449" s="1" t="s">
        <v>5015</v>
      </c>
    </row>
    <row r="450" spans="1:13" x14ac:dyDescent="0.3">
      <c r="A450" s="3">
        <v>1720159</v>
      </c>
      <c r="B450" s="4" t="s">
        <v>892</v>
      </c>
      <c r="C450" s="5" t="s">
        <v>6756</v>
      </c>
      <c r="D450" s="5" t="s">
        <v>264</v>
      </c>
      <c r="E450" s="3" t="s">
        <v>6755</v>
      </c>
      <c r="F450" s="6">
        <v>59</v>
      </c>
      <c r="G450" s="6">
        <v>22</v>
      </c>
      <c r="H450" s="6">
        <v>0</v>
      </c>
      <c r="I450" s="7" t="s">
        <v>4315</v>
      </c>
      <c r="J450" s="3" t="s">
        <v>4317</v>
      </c>
      <c r="K450" s="8" t="s">
        <v>4486</v>
      </c>
      <c r="L450" s="9" t="s">
        <v>1324</v>
      </c>
      <c r="M450" s="1" t="s">
        <v>1325</v>
      </c>
    </row>
    <row r="451" spans="1:13" x14ac:dyDescent="0.3">
      <c r="A451" s="3">
        <v>1721160</v>
      </c>
      <c r="B451" s="4" t="s">
        <v>892</v>
      </c>
      <c r="C451" s="5" t="s">
        <v>6756</v>
      </c>
      <c r="D451" s="5" t="s">
        <v>267</v>
      </c>
      <c r="E451" s="3" t="s">
        <v>6755</v>
      </c>
      <c r="F451" s="6">
        <v>36</v>
      </c>
      <c r="G451" s="6">
        <v>22</v>
      </c>
      <c r="H451" s="6">
        <v>0</v>
      </c>
      <c r="I451" s="7" t="s">
        <v>4315</v>
      </c>
      <c r="J451" s="3" t="s">
        <v>4317</v>
      </c>
      <c r="K451" s="8" t="s">
        <v>4433</v>
      </c>
      <c r="L451" s="9" t="s">
        <v>1326</v>
      </c>
      <c r="M451" s="1" t="s">
        <v>1327</v>
      </c>
    </row>
    <row r="452" spans="1:13" x14ac:dyDescent="0.3">
      <c r="A452" s="3">
        <v>1719189</v>
      </c>
      <c r="B452" s="4" t="s">
        <v>892</v>
      </c>
      <c r="C452" s="5" t="s">
        <v>4844</v>
      </c>
      <c r="D452" s="5" t="s">
        <v>4792</v>
      </c>
      <c r="E452" s="3" t="s">
        <v>4843</v>
      </c>
      <c r="F452" s="6">
        <v>96</v>
      </c>
      <c r="G452" s="6">
        <v>56</v>
      </c>
      <c r="H452" s="6">
        <v>20</v>
      </c>
      <c r="I452" s="7">
        <v>32</v>
      </c>
      <c r="J452" s="3" t="s">
        <v>4317</v>
      </c>
      <c r="K452" s="8">
        <v>0.11</v>
      </c>
      <c r="L452" s="9" t="s">
        <v>4828</v>
      </c>
      <c r="M452" s="1" t="s">
        <v>4886</v>
      </c>
    </row>
    <row r="453" spans="1:13" x14ac:dyDescent="0.3">
      <c r="A453" s="3">
        <v>1719188</v>
      </c>
      <c r="B453" s="4" t="s">
        <v>892</v>
      </c>
      <c r="C453" s="5" t="s">
        <v>4842</v>
      </c>
      <c r="D453" s="5" t="s">
        <v>96</v>
      </c>
      <c r="E453" s="3" t="s">
        <v>4843</v>
      </c>
      <c r="F453" s="6">
        <v>97.5</v>
      </c>
      <c r="G453" s="6">
        <v>57.5</v>
      </c>
      <c r="H453" s="6">
        <v>22</v>
      </c>
      <c r="I453" s="7">
        <v>42</v>
      </c>
      <c r="J453" s="3" t="s">
        <v>4318</v>
      </c>
      <c r="K453" s="8">
        <v>2.5299999999999998</v>
      </c>
      <c r="L453" s="9" t="s">
        <v>4827</v>
      </c>
      <c r="M453" s="1" t="s">
        <v>4885</v>
      </c>
    </row>
    <row r="454" spans="1:13" x14ac:dyDescent="0.3">
      <c r="A454" s="3">
        <v>1706153</v>
      </c>
      <c r="B454" s="4" t="s">
        <v>892</v>
      </c>
      <c r="C454" s="5" t="s">
        <v>5018</v>
      </c>
      <c r="D454" s="5" t="s">
        <v>13</v>
      </c>
      <c r="E454" s="3" t="s">
        <v>5019</v>
      </c>
      <c r="F454" s="6">
        <v>42.5</v>
      </c>
      <c r="G454" s="6">
        <v>33.5</v>
      </c>
      <c r="H454" s="6">
        <v>4</v>
      </c>
      <c r="I454" s="7">
        <v>32</v>
      </c>
      <c r="J454" s="3" t="s">
        <v>4317</v>
      </c>
      <c r="K454" s="8">
        <v>0.21</v>
      </c>
      <c r="L454" s="9" t="s">
        <v>1309</v>
      </c>
      <c r="M454" s="9" t="s">
        <v>4974</v>
      </c>
    </row>
    <row r="455" spans="1:13" x14ac:dyDescent="0.3">
      <c r="A455" s="3">
        <v>501</v>
      </c>
      <c r="B455" s="4" t="s">
        <v>892</v>
      </c>
      <c r="C455" s="5" t="s">
        <v>6068</v>
      </c>
      <c r="D455" s="5" t="s">
        <v>6070</v>
      </c>
      <c r="E455" s="3" t="s">
        <v>6069</v>
      </c>
      <c r="F455" s="6">
        <v>42.5</v>
      </c>
      <c r="G455" s="6">
        <v>33.5</v>
      </c>
      <c r="H455" s="6">
        <v>4</v>
      </c>
      <c r="I455" s="3"/>
      <c r="J455" s="3"/>
      <c r="K455" s="8"/>
      <c r="L455" s="9"/>
      <c r="M455" s="1" t="s">
        <v>6498</v>
      </c>
    </row>
    <row r="456" spans="1:13" x14ac:dyDescent="0.3">
      <c r="A456" s="3">
        <v>1711097</v>
      </c>
      <c r="B456" s="4" t="s">
        <v>892</v>
      </c>
      <c r="C456" s="5" t="s">
        <v>1166</v>
      </c>
      <c r="D456" s="5" t="s">
        <v>154</v>
      </c>
      <c r="E456" s="3" t="s">
        <v>1167</v>
      </c>
      <c r="F456" s="6">
        <v>52</v>
      </c>
      <c r="G456" s="6">
        <v>38</v>
      </c>
      <c r="H456" s="6">
        <v>23.5</v>
      </c>
      <c r="I456" s="7" t="s">
        <v>4316</v>
      </c>
      <c r="J456" s="3" t="s">
        <v>4318</v>
      </c>
      <c r="K456" s="8" t="s">
        <v>4443</v>
      </c>
      <c r="L456" s="9" t="s">
        <v>1168</v>
      </c>
      <c r="M456" s="1" t="s">
        <v>1169</v>
      </c>
    </row>
    <row r="457" spans="1:13" x14ac:dyDescent="0.3">
      <c r="A457" s="3">
        <v>1719098</v>
      </c>
      <c r="B457" s="4" t="s">
        <v>892</v>
      </c>
      <c r="C457" s="5" t="s">
        <v>1166</v>
      </c>
      <c r="D457" s="5" t="s">
        <v>74</v>
      </c>
      <c r="E457" s="3" t="s">
        <v>1167</v>
      </c>
      <c r="F457" s="6">
        <v>50.5</v>
      </c>
      <c r="G457" s="6">
        <v>36.5</v>
      </c>
      <c r="H457" s="6">
        <v>0</v>
      </c>
      <c r="I457" s="7" t="s">
        <v>4315</v>
      </c>
      <c r="J457" s="3" t="s">
        <v>4317</v>
      </c>
      <c r="K457" s="8" t="s">
        <v>4424</v>
      </c>
      <c r="L457" s="9" t="s">
        <v>1170</v>
      </c>
      <c r="M457" s="1" t="s">
        <v>1171</v>
      </c>
    </row>
    <row r="458" spans="1:13" x14ac:dyDescent="0.3">
      <c r="A458" s="3">
        <v>1714099</v>
      </c>
      <c r="B458" s="4" t="s">
        <v>892</v>
      </c>
      <c r="C458" s="5" t="s">
        <v>1166</v>
      </c>
      <c r="D458" s="5" t="s">
        <v>392</v>
      </c>
      <c r="E458" s="3" t="s">
        <v>1167</v>
      </c>
      <c r="F458" s="6">
        <v>117</v>
      </c>
      <c r="G458" s="6">
        <v>106</v>
      </c>
      <c r="H458" s="6">
        <v>8</v>
      </c>
      <c r="I458" s="7" t="s">
        <v>4316</v>
      </c>
      <c r="J458" s="3" t="s">
        <v>4318</v>
      </c>
      <c r="K458" s="8" t="s">
        <v>4592</v>
      </c>
      <c r="L458" s="9" t="s">
        <v>1172</v>
      </c>
      <c r="M458" s="1" t="s">
        <v>1173</v>
      </c>
    </row>
    <row r="459" spans="1:13" x14ac:dyDescent="0.3">
      <c r="A459" s="3">
        <v>1711085</v>
      </c>
      <c r="B459" s="4" t="s">
        <v>892</v>
      </c>
      <c r="C459" s="5" t="s">
        <v>1133</v>
      </c>
      <c r="D459" s="5" t="s">
        <v>154</v>
      </c>
      <c r="E459" s="3" t="s">
        <v>1133</v>
      </c>
      <c r="F459" s="6">
        <v>55</v>
      </c>
      <c r="G459" s="6">
        <v>47</v>
      </c>
      <c r="H459" s="6">
        <v>28</v>
      </c>
      <c r="I459" s="7" t="s">
        <v>4316</v>
      </c>
      <c r="J459" s="3" t="s">
        <v>4318</v>
      </c>
      <c r="K459" s="8" t="s">
        <v>4571</v>
      </c>
      <c r="L459" s="9" t="s">
        <v>1134</v>
      </c>
      <c r="M459" s="1" t="s">
        <v>1135</v>
      </c>
    </row>
    <row r="460" spans="1:13" x14ac:dyDescent="0.3">
      <c r="A460" s="3">
        <v>1714086</v>
      </c>
      <c r="B460" s="4" t="s">
        <v>892</v>
      </c>
      <c r="C460" s="5" t="s">
        <v>1133</v>
      </c>
      <c r="D460" s="5" t="s">
        <v>392</v>
      </c>
      <c r="E460" s="3" t="s">
        <v>1133</v>
      </c>
      <c r="F460" s="6">
        <v>112.5</v>
      </c>
      <c r="G460" s="6">
        <v>96.5</v>
      </c>
      <c r="H460" s="6">
        <v>8</v>
      </c>
      <c r="I460" s="7" t="s">
        <v>4315</v>
      </c>
      <c r="J460" s="3" t="s">
        <v>4317</v>
      </c>
      <c r="K460" s="8" t="s">
        <v>4588</v>
      </c>
      <c r="L460" s="9" t="s">
        <v>1136</v>
      </c>
      <c r="M460" s="1" t="s">
        <v>1137</v>
      </c>
    </row>
    <row r="461" spans="1:13" x14ac:dyDescent="0.3">
      <c r="A461" s="3">
        <v>1711094</v>
      </c>
      <c r="B461" s="4" t="s">
        <v>892</v>
      </c>
      <c r="C461" s="5" t="s">
        <v>1158</v>
      </c>
      <c r="D461" s="5" t="s">
        <v>154</v>
      </c>
      <c r="E461" s="3" t="s">
        <v>1159</v>
      </c>
      <c r="F461" s="6">
        <v>52</v>
      </c>
      <c r="G461" s="6">
        <v>38</v>
      </c>
      <c r="H461" s="6">
        <v>23.5</v>
      </c>
      <c r="I461" s="7" t="s">
        <v>4316</v>
      </c>
      <c r="J461" s="3" t="s">
        <v>4318</v>
      </c>
      <c r="K461" s="8" t="s">
        <v>4443</v>
      </c>
      <c r="L461" s="9" t="s">
        <v>1160</v>
      </c>
      <c r="M461" s="1" t="s">
        <v>1161</v>
      </c>
    </row>
    <row r="462" spans="1:13" x14ac:dyDescent="0.3">
      <c r="A462" s="3">
        <v>1719095</v>
      </c>
      <c r="B462" s="4" t="s">
        <v>892</v>
      </c>
      <c r="C462" s="5" t="s">
        <v>1158</v>
      </c>
      <c r="D462" s="5" t="s">
        <v>74</v>
      </c>
      <c r="E462" s="3" t="s">
        <v>1159</v>
      </c>
      <c r="F462" s="6">
        <v>50.5</v>
      </c>
      <c r="G462" s="6">
        <v>36.5</v>
      </c>
      <c r="H462" s="6">
        <v>0</v>
      </c>
      <c r="I462" s="7" t="s">
        <v>4316</v>
      </c>
      <c r="J462" s="3" t="s">
        <v>4318</v>
      </c>
      <c r="K462" s="8" t="s">
        <v>4424</v>
      </c>
      <c r="L462" s="9" t="s">
        <v>1162</v>
      </c>
      <c r="M462" s="1" t="s">
        <v>1163</v>
      </c>
    </row>
    <row r="463" spans="1:13" x14ac:dyDescent="0.3">
      <c r="A463" s="3">
        <v>1714096</v>
      </c>
      <c r="B463" s="4" t="s">
        <v>892</v>
      </c>
      <c r="C463" s="5" t="s">
        <v>1158</v>
      </c>
      <c r="D463" s="5" t="s">
        <v>392</v>
      </c>
      <c r="E463" s="3" t="s">
        <v>1159</v>
      </c>
      <c r="F463" s="6">
        <v>117</v>
      </c>
      <c r="G463" s="6">
        <v>106</v>
      </c>
      <c r="H463" s="6">
        <v>8</v>
      </c>
      <c r="I463" s="7" t="s">
        <v>4316</v>
      </c>
      <c r="J463" s="3" t="s">
        <v>4318</v>
      </c>
      <c r="K463" s="8" t="s">
        <v>4592</v>
      </c>
      <c r="L463" s="9" t="s">
        <v>1164</v>
      </c>
      <c r="M463" s="1" t="s">
        <v>1165</v>
      </c>
    </row>
    <row r="464" spans="1:13" x14ac:dyDescent="0.3">
      <c r="A464" s="3">
        <v>1711091</v>
      </c>
      <c r="B464" s="4" t="s">
        <v>892</v>
      </c>
      <c r="C464" s="5" t="s">
        <v>1150</v>
      </c>
      <c r="D464" s="5" t="s">
        <v>154</v>
      </c>
      <c r="E464" s="3" t="s">
        <v>1151</v>
      </c>
      <c r="F464" s="6">
        <v>58</v>
      </c>
      <c r="G464" s="6">
        <v>37</v>
      </c>
      <c r="H464" s="6">
        <v>24.5</v>
      </c>
      <c r="I464" s="7" t="s">
        <v>4316</v>
      </c>
      <c r="J464" s="3" t="s">
        <v>4318</v>
      </c>
      <c r="K464" s="8" t="s">
        <v>4591</v>
      </c>
      <c r="L464" s="9" t="s">
        <v>1152</v>
      </c>
      <c r="M464" s="1" t="s">
        <v>1153</v>
      </c>
    </row>
    <row r="465" spans="1:13" x14ac:dyDescent="0.3">
      <c r="A465" s="3">
        <v>1719092</v>
      </c>
      <c r="B465" s="4" t="s">
        <v>892</v>
      </c>
      <c r="C465" s="5" t="s">
        <v>1150</v>
      </c>
      <c r="D465" s="5" t="s">
        <v>74</v>
      </c>
      <c r="E465" s="3" t="s">
        <v>1151</v>
      </c>
      <c r="F465" s="6">
        <v>56.5</v>
      </c>
      <c r="G465" s="6">
        <v>35.5</v>
      </c>
      <c r="H465" s="6">
        <v>0</v>
      </c>
      <c r="I465" s="7" t="s">
        <v>4315</v>
      </c>
      <c r="J465" s="3" t="s">
        <v>4317</v>
      </c>
      <c r="K465" s="8" t="s">
        <v>4428</v>
      </c>
      <c r="L465" s="9" t="s">
        <v>1154</v>
      </c>
      <c r="M465" s="1" t="s">
        <v>1155</v>
      </c>
    </row>
    <row r="466" spans="1:13" x14ac:dyDescent="0.3">
      <c r="A466" s="3">
        <v>1714093</v>
      </c>
      <c r="B466" s="4" t="s">
        <v>892</v>
      </c>
      <c r="C466" s="5" t="s">
        <v>1150</v>
      </c>
      <c r="D466" s="5" t="s">
        <v>392</v>
      </c>
      <c r="E466" s="3" t="s">
        <v>1151</v>
      </c>
      <c r="F466" s="6">
        <v>118</v>
      </c>
      <c r="G466" s="6">
        <v>114</v>
      </c>
      <c r="H466" s="6">
        <v>8</v>
      </c>
      <c r="I466" s="7" t="s">
        <v>4316</v>
      </c>
      <c r="J466" s="3" t="s">
        <v>4318</v>
      </c>
      <c r="K466" s="8" t="s">
        <v>4398</v>
      </c>
      <c r="L466" s="9" t="s">
        <v>1156</v>
      </c>
      <c r="M466" s="1" t="s">
        <v>1157</v>
      </c>
    </row>
    <row r="467" spans="1:13" x14ac:dyDescent="0.3">
      <c r="A467" s="3">
        <v>1719201</v>
      </c>
      <c r="B467" s="4" t="s">
        <v>892</v>
      </c>
      <c r="C467" s="5" t="s">
        <v>6735</v>
      </c>
      <c r="D467" s="5" t="s">
        <v>5069</v>
      </c>
      <c r="E467" s="3" t="s">
        <v>6735</v>
      </c>
      <c r="F467" s="6">
        <v>55</v>
      </c>
      <c r="G467" s="6">
        <v>49</v>
      </c>
      <c r="H467" s="6">
        <v>5</v>
      </c>
      <c r="I467" s="7">
        <v>42</v>
      </c>
      <c r="J467" s="3" t="s">
        <v>4317</v>
      </c>
      <c r="K467" s="8">
        <v>0.38</v>
      </c>
      <c r="L467" s="9" t="s">
        <v>4969</v>
      </c>
      <c r="M467" s="1" t="s">
        <v>5143</v>
      </c>
    </row>
    <row r="468" spans="1:13" x14ac:dyDescent="0.3">
      <c r="A468" s="3">
        <v>1716022</v>
      </c>
      <c r="B468" s="4" t="s">
        <v>892</v>
      </c>
      <c r="C468" s="5" t="s">
        <v>948</v>
      </c>
      <c r="D468" s="5" t="s">
        <v>682</v>
      </c>
      <c r="E468" s="3" t="s">
        <v>14</v>
      </c>
      <c r="F468" s="6">
        <v>122.7</v>
      </c>
      <c r="G468" s="6">
        <v>81.7</v>
      </c>
      <c r="H468" s="6">
        <v>50</v>
      </c>
      <c r="I468" s="7" t="s">
        <v>4343</v>
      </c>
      <c r="J468" s="3" t="s">
        <v>4346</v>
      </c>
      <c r="K468" s="8" t="s">
        <v>4516</v>
      </c>
      <c r="L468" s="9" t="s">
        <v>949</v>
      </c>
      <c r="M468" s="1" t="s">
        <v>950</v>
      </c>
    </row>
    <row r="469" spans="1:13" x14ac:dyDescent="0.3">
      <c r="A469" s="3">
        <v>1711106</v>
      </c>
      <c r="B469" s="4" t="s">
        <v>892</v>
      </c>
      <c r="C469" s="5" t="s">
        <v>1190</v>
      </c>
      <c r="D469" s="5" t="s">
        <v>154</v>
      </c>
      <c r="E469" s="3" t="s">
        <v>1190</v>
      </c>
      <c r="F469" s="6">
        <v>56</v>
      </c>
      <c r="G469" s="6">
        <v>49.5</v>
      </c>
      <c r="H469" s="6">
        <v>29</v>
      </c>
      <c r="I469" s="7" t="s">
        <v>4316</v>
      </c>
      <c r="J469" s="3" t="s">
        <v>4318</v>
      </c>
      <c r="K469" s="8" t="s">
        <v>4593</v>
      </c>
      <c r="L469" s="9" t="s">
        <v>1191</v>
      </c>
      <c r="M469" s="1" t="s">
        <v>1192</v>
      </c>
    </row>
    <row r="470" spans="1:13" x14ac:dyDescent="0.3">
      <c r="A470" s="3">
        <v>1719107</v>
      </c>
      <c r="B470" s="4" t="s">
        <v>892</v>
      </c>
      <c r="C470" s="5" t="s">
        <v>1190</v>
      </c>
      <c r="D470" s="5" t="s">
        <v>74</v>
      </c>
      <c r="E470" s="3" t="s">
        <v>1190</v>
      </c>
      <c r="F470" s="6">
        <v>55</v>
      </c>
      <c r="G470" s="6">
        <v>48.5</v>
      </c>
      <c r="H470" s="6">
        <v>0</v>
      </c>
      <c r="I470" s="7" t="s">
        <v>4315</v>
      </c>
      <c r="J470" s="3" t="s">
        <v>4317</v>
      </c>
      <c r="K470" s="8" t="s">
        <v>4580</v>
      </c>
      <c r="L470" s="9" t="s">
        <v>1193</v>
      </c>
      <c r="M470" s="1" t="s">
        <v>1194</v>
      </c>
    </row>
    <row r="471" spans="1:13" x14ac:dyDescent="0.3">
      <c r="A471" s="3">
        <v>1714108</v>
      </c>
      <c r="B471" s="4" t="s">
        <v>892</v>
      </c>
      <c r="C471" s="5" t="s">
        <v>1190</v>
      </c>
      <c r="D471" s="5" t="s">
        <v>392</v>
      </c>
      <c r="E471" s="3" t="s">
        <v>1190</v>
      </c>
      <c r="F471" s="6">
        <v>114</v>
      </c>
      <c r="G471" s="6">
        <v>100</v>
      </c>
      <c r="H471" s="6">
        <v>8</v>
      </c>
      <c r="I471" s="7" t="s">
        <v>4316</v>
      </c>
      <c r="J471" s="3" t="s">
        <v>4318</v>
      </c>
      <c r="K471" s="8" t="s">
        <v>4348</v>
      </c>
      <c r="L471" s="9" t="s">
        <v>1195</v>
      </c>
      <c r="M471" s="1" t="s">
        <v>1196</v>
      </c>
    </row>
    <row r="472" spans="1:13" x14ac:dyDescent="0.3">
      <c r="A472" s="3">
        <v>1710032</v>
      </c>
      <c r="B472" s="4" t="s">
        <v>892</v>
      </c>
      <c r="C472" s="5" t="s">
        <v>974</v>
      </c>
      <c r="D472" s="5" t="s">
        <v>96</v>
      </c>
      <c r="E472" s="3" t="s">
        <v>6757</v>
      </c>
      <c r="F472" s="6">
        <v>49</v>
      </c>
      <c r="G472" s="6">
        <v>42</v>
      </c>
      <c r="H472" s="6">
        <v>27</v>
      </c>
      <c r="I472" s="7" t="s">
        <v>4316</v>
      </c>
      <c r="J472" s="3" t="s">
        <v>4318</v>
      </c>
      <c r="K472" s="8" t="s">
        <v>4574</v>
      </c>
      <c r="L472" s="9" t="s">
        <v>975</v>
      </c>
      <c r="M472" s="1" t="s">
        <v>976</v>
      </c>
    </row>
    <row r="473" spans="1:13" x14ac:dyDescent="0.3">
      <c r="A473" s="3">
        <v>1719166</v>
      </c>
      <c r="B473" s="4" t="s">
        <v>892</v>
      </c>
      <c r="C473" s="5" t="s">
        <v>1310</v>
      </c>
      <c r="D473" s="5" t="s">
        <v>491</v>
      </c>
      <c r="E473" s="3" t="s">
        <v>1340</v>
      </c>
      <c r="F473" s="6">
        <v>14.5</v>
      </c>
      <c r="G473" s="6">
        <v>8</v>
      </c>
      <c r="H473" s="6">
        <v>25.5</v>
      </c>
      <c r="I473" s="7" t="s">
        <v>4315</v>
      </c>
      <c r="J473" s="3" t="s">
        <v>4317</v>
      </c>
      <c r="K473" s="8">
        <v>0.17</v>
      </c>
      <c r="L473" s="9" t="s">
        <v>1341</v>
      </c>
      <c r="M473" s="1" t="s">
        <v>4603</v>
      </c>
    </row>
    <row r="474" spans="1:13" x14ac:dyDescent="0.3">
      <c r="A474" s="3">
        <v>1711082</v>
      </c>
      <c r="B474" s="4" t="s">
        <v>892</v>
      </c>
      <c r="C474" s="5" t="s">
        <v>1125</v>
      </c>
      <c r="D474" s="5" t="s">
        <v>154</v>
      </c>
      <c r="E474" s="3" t="s">
        <v>1126</v>
      </c>
      <c r="F474" s="6">
        <v>55</v>
      </c>
      <c r="G474" s="6">
        <v>35</v>
      </c>
      <c r="H474" s="6">
        <v>31</v>
      </c>
      <c r="I474" s="7" t="s">
        <v>4316</v>
      </c>
      <c r="J474" s="3" t="s">
        <v>4318</v>
      </c>
      <c r="K474" s="8" t="s">
        <v>4476</v>
      </c>
      <c r="L474" s="9" t="s">
        <v>1127</v>
      </c>
      <c r="M474" s="1" t="s">
        <v>1128</v>
      </c>
    </row>
    <row r="475" spans="1:13" x14ac:dyDescent="0.3">
      <c r="A475" s="3">
        <v>1714083</v>
      </c>
      <c r="B475" s="4" t="s">
        <v>892</v>
      </c>
      <c r="C475" s="5" t="s">
        <v>1125</v>
      </c>
      <c r="D475" s="5" t="s">
        <v>392</v>
      </c>
      <c r="E475" s="3" t="s">
        <v>1126</v>
      </c>
      <c r="F475" s="6">
        <v>113</v>
      </c>
      <c r="G475" s="6">
        <v>109</v>
      </c>
      <c r="H475" s="6">
        <v>8</v>
      </c>
      <c r="I475" s="7" t="s">
        <v>4316</v>
      </c>
      <c r="J475" s="3" t="s">
        <v>4318</v>
      </c>
      <c r="K475" s="8" t="s">
        <v>4589</v>
      </c>
      <c r="L475" s="9" t="s">
        <v>1129</v>
      </c>
      <c r="M475" s="1" t="s">
        <v>1130</v>
      </c>
    </row>
    <row r="476" spans="1:13" x14ac:dyDescent="0.3">
      <c r="A476" s="3">
        <v>1719084</v>
      </c>
      <c r="B476" s="4" t="s">
        <v>892</v>
      </c>
      <c r="C476" s="5" t="s">
        <v>1125</v>
      </c>
      <c r="D476" s="5" t="s">
        <v>74</v>
      </c>
      <c r="E476" s="3" t="s">
        <v>1126</v>
      </c>
      <c r="F476" s="6">
        <v>53</v>
      </c>
      <c r="G476" s="6">
        <v>33</v>
      </c>
      <c r="H476" s="6">
        <v>0</v>
      </c>
      <c r="I476" s="7" t="s">
        <v>4315</v>
      </c>
      <c r="J476" s="3" t="s">
        <v>4317</v>
      </c>
      <c r="K476" s="8" t="s">
        <v>4501</v>
      </c>
      <c r="L476" s="9" t="s">
        <v>1131</v>
      </c>
      <c r="M476" s="1" t="s">
        <v>1132</v>
      </c>
    </row>
    <row r="477" spans="1:13" x14ac:dyDescent="0.3">
      <c r="A477" s="3">
        <v>1719198</v>
      </c>
      <c r="B477" s="4" t="s">
        <v>892</v>
      </c>
      <c r="C477" s="5" t="s">
        <v>6765</v>
      </c>
      <c r="D477" s="5" t="s">
        <v>154</v>
      </c>
      <c r="E477" s="3" t="s">
        <v>4910</v>
      </c>
      <c r="F477" s="6">
        <v>55.5</v>
      </c>
      <c r="G477" s="6">
        <v>47</v>
      </c>
      <c r="H477" s="6">
        <v>24</v>
      </c>
      <c r="I477" s="7">
        <v>42</v>
      </c>
      <c r="J477" s="3" t="s">
        <v>4318</v>
      </c>
      <c r="K477" s="8">
        <v>1.0900000000000001</v>
      </c>
      <c r="L477" s="9" t="s">
        <v>4909</v>
      </c>
      <c r="M477" s="1" t="s">
        <v>4918</v>
      </c>
    </row>
    <row r="478" spans="1:13" x14ac:dyDescent="0.3">
      <c r="A478" s="3">
        <v>1719211</v>
      </c>
      <c r="B478" s="4" t="s">
        <v>892</v>
      </c>
      <c r="C478" s="5" t="s">
        <v>5303</v>
      </c>
      <c r="D478" s="5" t="s">
        <v>96</v>
      </c>
      <c r="E478" s="3" t="s">
        <v>14</v>
      </c>
      <c r="F478" s="6">
        <v>40.5</v>
      </c>
      <c r="G478" s="6">
        <v>22.5</v>
      </c>
      <c r="H478" s="6">
        <v>17.8</v>
      </c>
      <c r="I478" s="7">
        <v>32</v>
      </c>
      <c r="J478" s="3" t="s">
        <v>4317</v>
      </c>
      <c r="K478" s="8">
        <v>0.53</v>
      </c>
      <c r="L478" s="9" t="s">
        <v>5304</v>
      </c>
      <c r="M478" s="1" t="s">
        <v>5305</v>
      </c>
    </row>
    <row r="479" spans="1:13" x14ac:dyDescent="0.3">
      <c r="A479" s="3">
        <v>1711120</v>
      </c>
      <c r="B479" s="4" t="s">
        <v>892</v>
      </c>
      <c r="C479" s="5" t="s">
        <v>6775</v>
      </c>
      <c r="D479" s="5" t="s">
        <v>154</v>
      </c>
      <c r="E479" s="3" t="s">
        <v>1217</v>
      </c>
      <c r="F479" s="6">
        <v>56.5</v>
      </c>
      <c r="G479" s="6">
        <v>51.5</v>
      </c>
      <c r="H479" s="6">
        <v>24</v>
      </c>
      <c r="I479" s="7" t="s">
        <v>4316</v>
      </c>
      <c r="J479" s="3" t="s">
        <v>4318</v>
      </c>
      <c r="K479" s="8" t="s">
        <v>4368</v>
      </c>
      <c r="L479" s="9" t="s">
        <v>1226</v>
      </c>
      <c r="M479" s="1" t="s">
        <v>1227</v>
      </c>
    </row>
    <row r="480" spans="1:13" x14ac:dyDescent="0.3">
      <c r="A480" s="3">
        <v>1713117</v>
      </c>
      <c r="B480" s="4" t="s">
        <v>892</v>
      </c>
      <c r="C480" s="5" t="s">
        <v>6776</v>
      </c>
      <c r="D480" s="5" t="s">
        <v>1218</v>
      </c>
      <c r="E480" s="3" t="s">
        <v>1217</v>
      </c>
      <c r="F480" s="6">
        <v>54.5</v>
      </c>
      <c r="G480" s="6">
        <v>58.3</v>
      </c>
      <c r="H480" s="6">
        <v>5</v>
      </c>
      <c r="I480" s="7" t="s">
        <v>4315</v>
      </c>
      <c r="J480" s="3" t="s">
        <v>4317</v>
      </c>
      <c r="K480" s="8" t="s">
        <v>4526</v>
      </c>
      <c r="L480" s="9" t="s">
        <v>1219</v>
      </c>
      <c r="M480" s="1" t="s">
        <v>1220</v>
      </c>
    </row>
    <row r="481" spans="1:13" x14ac:dyDescent="0.3">
      <c r="A481" s="3">
        <v>1711118</v>
      </c>
      <c r="B481" s="4" t="s">
        <v>892</v>
      </c>
      <c r="C481" s="5" t="s">
        <v>1221</v>
      </c>
      <c r="D481" s="5" t="s">
        <v>154</v>
      </c>
      <c r="E481" s="3" t="s">
        <v>1221</v>
      </c>
      <c r="F481" s="6">
        <v>56.5</v>
      </c>
      <c r="G481" s="6">
        <v>46.5</v>
      </c>
      <c r="H481" s="6">
        <v>24</v>
      </c>
      <c r="I481" s="7" t="s">
        <v>4316</v>
      </c>
      <c r="J481" s="3" t="s">
        <v>4318</v>
      </c>
      <c r="K481" s="8" t="s">
        <v>4436</v>
      </c>
      <c r="L481" s="9" t="s">
        <v>1222</v>
      </c>
      <c r="M481" s="1" t="s">
        <v>1223</v>
      </c>
    </row>
    <row r="482" spans="1:13" x14ac:dyDescent="0.3">
      <c r="A482" s="3">
        <v>1713119</v>
      </c>
      <c r="B482" s="4" t="s">
        <v>892</v>
      </c>
      <c r="C482" s="5" t="s">
        <v>1221</v>
      </c>
      <c r="D482" s="5" t="s">
        <v>1218</v>
      </c>
      <c r="E482" s="3" t="s">
        <v>1221</v>
      </c>
      <c r="F482" s="6">
        <v>49.5</v>
      </c>
      <c r="G482" s="6">
        <v>58.3</v>
      </c>
      <c r="H482" s="6">
        <v>5</v>
      </c>
      <c r="I482" s="7" t="s">
        <v>4315</v>
      </c>
      <c r="J482" s="3" t="s">
        <v>4317</v>
      </c>
      <c r="K482" s="8" t="s">
        <v>4391</v>
      </c>
      <c r="L482" s="9" t="s">
        <v>1224</v>
      </c>
      <c r="M482" s="1" t="s">
        <v>1225</v>
      </c>
    </row>
    <row r="483" spans="1:13" x14ac:dyDescent="0.3">
      <c r="A483" s="3">
        <v>1713152</v>
      </c>
      <c r="B483" s="4" t="s">
        <v>892</v>
      </c>
      <c r="C483" s="5" t="s">
        <v>8008</v>
      </c>
      <c r="D483" s="5" t="s">
        <v>491</v>
      </c>
      <c r="E483" s="3" t="s">
        <v>1306</v>
      </c>
      <c r="F483" s="6">
        <v>22</v>
      </c>
      <c r="G483" s="6">
        <v>6.5</v>
      </c>
      <c r="H483" s="6">
        <v>51.5</v>
      </c>
      <c r="I483" s="7" t="s">
        <v>4315</v>
      </c>
      <c r="J483" s="3" t="s">
        <v>4317</v>
      </c>
      <c r="K483" s="8" t="s">
        <v>4442</v>
      </c>
      <c r="L483" s="9" t="s">
        <v>1307</v>
      </c>
      <c r="M483" s="1" t="s">
        <v>1308</v>
      </c>
    </row>
    <row r="484" spans="1:13" x14ac:dyDescent="0.3">
      <c r="A484" s="3">
        <v>1719223</v>
      </c>
      <c r="B484" s="4" t="s">
        <v>892</v>
      </c>
      <c r="C484" s="5" t="s">
        <v>6208</v>
      </c>
      <c r="D484" s="5" t="s">
        <v>5020</v>
      </c>
      <c r="E484" s="3" t="s">
        <v>6209</v>
      </c>
      <c r="F484" s="6">
        <v>21.6</v>
      </c>
      <c r="G484" s="6">
        <v>6.1</v>
      </c>
      <c r="H484" s="6">
        <v>50.7</v>
      </c>
      <c r="I484" s="7">
        <v>32</v>
      </c>
      <c r="J484" s="3" t="s">
        <v>4317</v>
      </c>
      <c r="K484" s="8">
        <v>0.43</v>
      </c>
      <c r="L484" s="9" t="s">
        <v>6210</v>
      </c>
      <c r="M484" s="1" t="s">
        <v>6211</v>
      </c>
    </row>
    <row r="485" spans="1:13" x14ac:dyDescent="0.3">
      <c r="A485" s="3">
        <v>1719181</v>
      </c>
      <c r="B485" s="4" t="s">
        <v>892</v>
      </c>
      <c r="C485" s="5" t="s">
        <v>1364</v>
      </c>
      <c r="D485" s="5" t="s">
        <v>392</v>
      </c>
      <c r="E485" s="3" t="s">
        <v>14</v>
      </c>
      <c r="F485" s="6">
        <v>63</v>
      </c>
      <c r="G485" s="6">
        <v>50</v>
      </c>
      <c r="H485" s="6">
        <v>6</v>
      </c>
      <c r="I485" s="7" t="s">
        <v>4315</v>
      </c>
      <c r="J485" s="3" t="s">
        <v>4317</v>
      </c>
      <c r="K485" s="8">
        <v>0.47</v>
      </c>
      <c r="L485" s="9" t="s">
        <v>1365</v>
      </c>
      <c r="M485" s="1" t="s">
        <v>1366</v>
      </c>
    </row>
    <row r="486" spans="1:13" x14ac:dyDescent="0.3">
      <c r="A486" s="3">
        <v>1735061</v>
      </c>
      <c r="B486" s="4" t="s">
        <v>892</v>
      </c>
      <c r="C486" s="5" t="s">
        <v>1062</v>
      </c>
      <c r="D486" s="5" t="s">
        <v>78</v>
      </c>
      <c r="E486" s="3" t="s">
        <v>1062</v>
      </c>
      <c r="F486" s="6">
        <v>60</v>
      </c>
      <c r="G486" s="6">
        <v>29</v>
      </c>
      <c r="H486" s="6">
        <v>38.5</v>
      </c>
      <c r="I486" s="7" t="s">
        <v>4316</v>
      </c>
      <c r="J486" s="3" t="s">
        <v>4318</v>
      </c>
      <c r="K486" s="8" t="s">
        <v>4583</v>
      </c>
      <c r="L486" s="9" t="s">
        <v>1063</v>
      </c>
      <c r="M486" s="1" t="s">
        <v>1064</v>
      </c>
    </row>
    <row r="487" spans="1:13" x14ac:dyDescent="0.3">
      <c r="A487" s="3">
        <v>1714062</v>
      </c>
      <c r="B487" s="4" t="s">
        <v>892</v>
      </c>
      <c r="C487" s="5" t="s">
        <v>1062</v>
      </c>
      <c r="D487" s="5" t="s">
        <v>392</v>
      </c>
      <c r="E487" s="3" t="s">
        <v>1062</v>
      </c>
      <c r="F487" s="6">
        <v>124</v>
      </c>
      <c r="G487" s="6">
        <v>90.5</v>
      </c>
      <c r="H487" s="6">
        <v>8</v>
      </c>
      <c r="I487" s="7" t="s">
        <v>4316</v>
      </c>
      <c r="J487" s="3" t="s">
        <v>4318</v>
      </c>
      <c r="K487" s="8" t="s">
        <v>4582</v>
      </c>
      <c r="L487" s="9" t="s">
        <v>1065</v>
      </c>
      <c r="M487" s="1" t="s">
        <v>1066</v>
      </c>
    </row>
    <row r="488" spans="1:13" x14ac:dyDescent="0.3">
      <c r="A488" s="3">
        <v>1720129</v>
      </c>
      <c r="B488" s="4" t="s">
        <v>892</v>
      </c>
      <c r="C488" s="5" t="s">
        <v>1248</v>
      </c>
      <c r="D488" s="5" t="s">
        <v>264</v>
      </c>
      <c r="E488" s="3" t="s">
        <v>14</v>
      </c>
      <c r="F488" s="6">
        <v>62</v>
      </c>
      <c r="G488" s="6">
        <v>13</v>
      </c>
      <c r="H488" s="6">
        <v>0</v>
      </c>
      <c r="I488" s="7" t="s">
        <v>4315</v>
      </c>
      <c r="J488" s="3" t="s">
        <v>4317</v>
      </c>
      <c r="K488" s="8" t="s">
        <v>4453</v>
      </c>
      <c r="L488" s="9" t="s">
        <v>1249</v>
      </c>
      <c r="M488" s="1" t="s">
        <v>1250</v>
      </c>
    </row>
    <row r="489" spans="1:13" x14ac:dyDescent="0.3">
      <c r="A489" s="3">
        <v>1720126</v>
      </c>
      <c r="B489" s="4" t="s">
        <v>892</v>
      </c>
      <c r="C489" s="5" t="s">
        <v>6779</v>
      </c>
      <c r="D489" s="5" t="s">
        <v>264</v>
      </c>
      <c r="E489" s="3" t="s">
        <v>1240</v>
      </c>
      <c r="F489" s="6">
        <v>62</v>
      </c>
      <c r="G489" s="6">
        <v>13</v>
      </c>
      <c r="H489" s="6">
        <v>0</v>
      </c>
      <c r="I489" s="7" t="s">
        <v>3375</v>
      </c>
      <c r="J489" s="3" t="s">
        <v>4422</v>
      </c>
      <c r="K489" s="8" t="s">
        <v>4433</v>
      </c>
      <c r="L489" s="9" t="s">
        <v>1243</v>
      </c>
      <c r="M489" s="1" t="s">
        <v>1244</v>
      </c>
    </row>
    <row r="490" spans="1:13" x14ac:dyDescent="0.3">
      <c r="A490" s="3">
        <v>1721127</v>
      </c>
      <c r="B490" s="4" t="s">
        <v>892</v>
      </c>
      <c r="C490" s="5" t="s">
        <v>6779</v>
      </c>
      <c r="D490" s="5" t="s">
        <v>267</v>
      </c>
      <c r="E490" s="3" t="s">
        <v>1240</v>
      </c>
      <c r="F490" s="6">
        <v>56</v>
      </c>
      <c r="G490" s="6">
        <v>17</v>
      </c>
      <c r="H490" s="6">
        <v>0</v>
      </c>
      <c r="I490" s="7" t="s">
        <v>3375</v>
      </c>
      <c r="J490" s="3" t="s">
        <v>4422</v>
      </c>
      <c r="K490" s="8" t="s">
        <v>4598</v>
      </c>
      <c r="L490" s="9" t="s">
        <v>1245</v>
      </c>
      <c r="M490" s="1" t="s">
        <v>1246</v>
      </c>
    </row>
    <row r="491" spans="1:13" x14ac:dyDescent="0.3">
      <c r="A491" s="3">
        <v>1720115</v>
      </c>
      <c r="B491" s="4" t="s">
        <v>892</v>
      </c>
      <c r="C491" s="5" t="s">
        <v>6772</v>
      </c>
      <c r="D491" s="5" t="s">
        <v>264</v>
      </c>
      <c r="E491" s="3" t="s">
        <v>1212</v>
      </c>
      <c r="F491" s="6">
        <v>28.6</v>
      </c>
      <c r="G491" s="6">
        <v>6</v>
      </c>
      <c r="H491" s="6">
        <v>0</v>
      </c>
      <c r="I491" s="7" t="s">
        <v>4449</v>
      </c>
      <c r="J491" s="3" t="s">
        <v>4423</v>
      </c>
      <c r="K491" s="8" t="s">
        <v>4595</v>
      </c>
      <c r="L491" s="9" t="s">
        <v>1213</v>
      </c>
      <c r="M491" s="1" t="s">
        <v>1214</v>
      </c>
    </row>
    <row r="492" spans="1:13" x14ac:dyDescent="0.3">
      <c r="A492" s="3">
        <v>1721116</v>
      </c>
      <c r="B492" s="4" t="s">
        <v>892</v>
      </c>
      <c r="C492" s="5" t="s">
        <v>6772</v>
      </c>
      <c r="D492" s="5" t="s">
        <v>267</v>
      </c>
      <c r="E492" s="3" t="s">
        <v>1212</v>
      </c>
      <c r="F492" s="6">
        <v>41</v>
      </c>
      <c r="G492" s="6">
        <v>6</v>
      </c>
      <c r="H492" s="6">
        <v>0</v>
      </c>
      <c r="I492" s="7" t="s">
        <v>4449</v>
      </c>
      <c r="J492" s="3" t="s">
        <v>4423</v>
      </c>
      <c r="K492" s="8" t="s">
        <v>4563</v>
      </c>
      <c r="L492" s="9" t="s">
        <v>1215</v>
      </c>
      <c r="M492" s="1" t="s">
        <v>1216</v>
      </c>
    </row>
    <row r="493" spans="1:13" x14ac:dyDescent="0.3">
      <c r="A493" s="3">
        <v>1719228</v>
      </c>
      <c r="B493" s="4" t="s">
        <v>892</v>
      </c>
      <c r="C493" s="5" t="s">
        <v>6494</v>
      </c>
      <c r="D493" s="5" t="s">
        <v>4792</v>
      </c>
      <c r="E493" s="3" t="s">
        <v>14</v>
      </c>
      <c r="F493" s="6">
        <v>127</v>
      </c>
      <c r="G493" s="6">
        <v>47</v>
      </c>
      <c r="H493" s="6">
        <v>36</v>
      </c>
      <c r="I493" s="7">
        <v>32</v>
      </c>
      <c r="J493" s="3" t="s">
        <v>4317</v>
      </c>
      <c r="K493" s="8">
        <v>0.63</v>
      </c>
      <c r="L493" s="9" t="s">
        <v>6495</v>
      </c>
      <c r="M493" s="1"/>
    </row>
    <row r="494" spans="1:13" x14ac:dyDescent="0.3">
      <c r="A494" s="3">
        <v>1719229</v>
      </c>
      <c r="B494" s="4" t="s">
        <v>892</v>
      </c>
      <c r="C494" s="5" t="s">
        <v>6497</v>
      </c>
      <c r="D494" s="5" t="s">
        <v>4792</v>
      </c>
      <c r="E494" s="3" t="s">
        <v>14</v>
      </c>
      <c r="F494" s="6">
        <v>137</v>
      </c>
      <c r="G494" s="6">
        <v>66</v>
      </c>
      <c r="H494" s="6">
        <v>8</v>
      </c>
      <c r="I494" s="7">
        <v>32</v>
      </c>
      <c r="J494" s="3" t="s">
        <v>4317</v>
      </c>
      <c r="K494" s="8">
        <v>0.16</v>
      </c>
      <c r="L494" s="9" t="s">
        <v>6496</v>
      </c>
      <c r="M494" s="1"/>
    </row>
    <row r="495" spans="1:13" x14ac:dyDescent="0.3">
      <c r="A495" s="3">
        <v>1711057</v>
      </c>
      <c r="B495" s="4" t="s">
        <v>892</v>
      </c>
      <c r="C495" s="5" t="s">
        <v>1050</v>
      </c>
      <c r="D495" s="5" t="s">
        <v>154</v>
      </c>
      <c r="E495" s="3" t="s">
        <v>1051</v>
      </c>
      <c r="F495" s="6">
        <v>55</v>
      </c>
      <c r="G495" s="6">
        <v>40</v>
      </c>
      <c r="H495" s="6">
        <v>24.5</v>
      </c>
      <c r="I495" s="7" t="s">
        <v>4316</v>
      </c>
      <c r="J495" s="3" t="s">
        <v>4318</v>
      </c>
      <c r="K495" s="8" t="s">
        <v>4478</v>
      </c>
      <c r="L495" s="9" t="s">
        <v>1052</v>
      </c>
      <c r="M495" s="1" t="s">
        <v>1053</v>
      </c>
    </row>
    <row r="496" spans="1:13" x14ac:dyDescent="0.3">
      <c r="A496" s="3">
        <v>1735054</v>
      </c>
      <c r="B496" s="4" t="s">
        <v>892</v>
      </c>
      <c r="C496" s="5" t="s">
        <v>1041</v>
      </c>
      <c r="D496" s="5" t="s">
        <v>78</v>
      </c>
      <c r="E496" s="3" t="s">
        <v>1042</v>
      </c>
      <c r="F496" s="6">
        <v>62</v>
      </c>
      <c r="G496" s="6">
        <v>42.5</v>
      </c>
      <c r="H496" s="6">
        <v>25</v>
      </c>
      <c r="I496" s="7" t="s">
        <v>4316</v>
      </c>
      <c r="J496" s="3" t="s">
        <v>4318</v>
      </c>
      <c r="K496" s="8" t="s">
        <v>4581</v>
      </c>
      <c r="L496" s="9" t="s">
        <v>1043</v>
      </c>
      <c r="M496" s="1" t="s">
        <v>1044</v>
      </c>
    </row>
    <row r="497" spans="1:13" x14ac:dyDescent="0.3">
      <c r="A497" s="3">
        <v>1735042</v>
      </c>
      <c r="B497" s="4" t="s">
        <v>892</v>
      </c>
      <c r="C497" s="5" t="s">
        <v>1005</v>
      </c>
      <c r="D497" s="5" t="s">
        <v>78</v>
      </c>
      <c r="E497" s="3" t="s">
        <v>1006</v>
      </c>
      <c r="F497" s="6">
        <v>67.5</v>
      </c>
      <c r="G497" s="6">
        <v>42.5</v>
      </c>
      <c r="H497" s="6">
        <v>23.5</v>
      </c>
      <c r="I497" s="7" t="s">
        <v>4316</v>
      </c>
      <c r="J497" s="3" t="s">
        <v>4318</v>
      </c>
      <c r="K497" s="8" t="s">
        <v>4576</v>
      </c>
      <c r="L497" s="9" t="s">
        <v>1007</v>
      </c>
      <c r="M497" s="1" t="s">
        <v>1008</v>
      </c>
    </row>
    <row r="498" spans="1:13" x14ac:dyDescent="0.3">
      <c r="A498" s="3">
        <v>1714164</v>
      </c>
      <c r="B498" s="4" t="s">
        <v>892</v>
      </c>
      <c r="C498" s="5" t="s">
        <v>6760</v>
      </c>
      <c r="D498" s="5" t="s">
        <v>392</v>
      </c>
      <c r="E498" s="3" t="s">
        <v>1328</v>
      </c>
      <c r="F498" s="6">
        <v>62.6</v>
      </c>
      <c r="G498" s="6">
        <v>51.6</v>
      </c>
      <c r="H498" s="6">
        <v>6.1</v>
      </c>
      <c r="I498" s="7" t="s">
        <v>4315</v>
      </c>
      <c r="J498" s="3" t="s">
        <v>4317</v>
      </c>
      <c r="K498" s="8" t="s">
        <v>4602</v>
      </c>
      <c r="L498" s="9" t="s">
        <v>1335</v>
      </c>
      <c r="M498" s="1" t="s">
        <v>1336</v>
      </c>
    </row>
    <row r="499" spans="1:13" x14ac:dyDescent="0.3">
      <c r="A499" s="3">
        <v>1714162</v>
      </c>
      <c r="B499" s="4" t="s">
        <v>892</v>
      </c>
      <c r="C499" s="5" t="s">
        <v>6759</v>
      </c>
      <c r="D499" s="5" t="s">
        <v>392</v>
      </c>
      <c r="E499" s="3" t="s">
        <v>1328</v>
      </c>
      <c r="F499" s="6">
        <v>124.8</v>
      </c>
      <c r="G499" s="6">
        <v>103.8</v>
      </c>
      <c r="H499" s="6">
        <v>8.1</v>
      </c>
      <c r="I499" s="7" t="s">
        <v>4315</v>
      </c>
      <c r="J499" s="3" t="s">
        <v>4317</v>
      </c>
      <c r="K499" s="8" t="s">
        <v>4569</v>
      </c>
      <c r="L499" s="9" t="s">
        <v>1331</v>
      </c>
      <c r="M499" s="1" t="s">
        <v>1332</v>
      </c>
    </row>
    <row r="500" spans="1:13" x14ac:dyDescent="0.3">
      <c r="A500" s="3">
        <v>1714055</v>
      </c>
      <c r="B500" s="4" t="s">
        <v>892</v>
      </c>
      <c r="C500" s="5" t="s">
        <v>1045</v>
      </c>
      <c r="D500" s="5" t="s">
        <v>392</v>
      </c>
      <c r="E500" s="3" t="s">
        <v>1042</v>
      </c>
      <c r="F500" s="6">
        <v>127</v>
      </c>
      <c r="G500" s="6">
        <v>88</v>
      </c>
      <c r="H500" s="6">
        <v>8</v>
      </c>
      <c r="I500" s="7" t="s">
        <v>4316</v>
      </c>
      <c r="J500" s="3" t="s">
        <v>4318</v>
      </c>
      <c r="K500" s="8" t="s">
        <v>4582</v>
      </c>
      <c r="L500" s="9" t="s">
        <v>1046</v>
      </c>
      <c r="M500" s="1" t="s">
        <v>1047</v>
      </c>
    </row>
    <row r="501" spans="1:13" x14ac:dyDescent="0.3">
      <c r="A501" s="3">
        <v>1714043</v>
      </c>
      <c r="B501" s="4" t="s">
        <v>892</v>
      </c>
      <c r="C501" s="5" t="s">
        <v>1009</v>
      </c>
      <c r="D501" s="5" t="s">
        <v>392</v>
      </c>
      <c r="E501" s="3" t="s">
        <v>1006</v>
      </c>
      <c r="F501" s="6">
        <v>138</v>
      </c>
      <c r="G501" s="6">
        <v>88</v>
      </c>
      <c r="H501" s="6">
        <v>8</v>
      </c>
      <c r="I501" s="7" t="s">
        <v>4316</v>
      </c>
      <c r="J501" s="3" t="s">
        <v>4318</v>
      </c>
      <c r="K501" s="8" t="s">
        <v>4577</v>
      </c>
      <c r="L501" s="9" t="s">
        <v>1010</v>
      </c>
      <c r="M501" s="1" t="s">
        <v>1011</v>
      </c>
    </row>
    <row r="502" spans="1:13" x14ac:dyDescent="0.3">
      <c r="A502" s="3">
        <v>1714058</v>
      </c>
      <c r="B502" s="4" t="s">
        <v>892</v>
      </c>
      <c r="C502" s="5" t="s">
        <v>1054</v>
      </c>
      <c r="D502" s="5" t="s">
        <v>392</v>
      </c>
      <c r="E502" s="3" t="s">
        <v>1051</v>
      </c>
      <c r="F502" s="6">
        <v>114</v>
      </c>
      <c r="G502" s="6">
        <v>82</v>
      </c>
      <c r="H502" s="6">
        <v>8</v>
      </c>
      <c r="I502" s="7" t="s">
        <v>4316</v>
      </c>
      <c r="J502" s="3" t="s">
        <v>4318</v>
      </c>
      <c r="K502" s="8" t="s">
        <v>4390</v>
      </c>
      <c r="L502" s="9" t="s">
        <v>1055</v>
      </c>
      <c r="M502" s="1" t="s">
        <v>1056</v>
      </c>
    </row>
    <row r="503" spans="1:13" x14ac:dyDescent="0.3">
      <c r="A503" s="3">
        <v>1719059</v>
      </c>
      <c r="B503" s="4" t="s">
        <v>892</v>
      </c>
      <c r="C503" s="5" t="s">
        <v>1057</v>
      </c>
      <c r="D503" s="5" t="s">
        <v>74</v>
      </c>
      <c r="E503" s="3" t="s">
        <v>1051</v>
      </c>
      <c r="F503" s="6">
        <v>54</v>
      </c>
      <c r="G503" s="6">
        <v>39</v>
      </c>
      <c r="H503" s="6">
        <v>0</v>
      </c>
      <c r="I503" s="7" t="s">
        <v>4447</v>
      </c>
      <c r="J503" s="3" t="s">
        <v>4317</v>
      </c>
      <c r="K503" s="8" t="s">
        <v>4578</v>
      </c>
      <c r="L503" s="9" t="s">
        <v>1058</v>
      </c>
      <c r="M503" s="1" t="s">
        <v>1059</v>
      </c>
    </row>
    <row r="504" spans="1:13" x14ac:dyDescent="0.3">
      <c r="A504" s="3">
        <v>1714036</v>
      </c>
      <c r="B504" s="4" t="s">
        <v>892</v>
      </c>
      <c r="C504" s="5" t="s">
        <v>986</v>
      </c>
      <c r="D504" s="5" t="s">
        <v>26</v>
      </c>
      <c r="E504" s="3" t="s">
        <v>983</v>
      </c>
      <c r="F504" s="6">
        <v>115</v>
      </c>
      <c r="G504" s="6">
        <v>104</v>
      </c>
      <c r="H504" s="6">
        <v>8</v>
      </c>
      <c r="I504" s="7" t="s">
        <v>4316</v>
      </c>
      <c r="J504" s="3" t="s">
        <v>4318</v>
      </c>
      <c r="K504" s="8" t="s">
        <v>4437</v>
      </c>
      <c r="L504" s="9" t="s">
        <v>987</v>
      </c>
      <c r="M504" s="1" t="s">
        <v>988</v>
      </c>
    </row>
    <row r="505" spans="1:13" x14ac:dyDescent="0.3">
      <c r="A505" s="3">
        <v>1719037</v>
      </c>
      <c r="B505" s="4" t="s">
        <v>892</v>
      </c>
      <c r="C505" s="5" t="s">
        <v>989</v>
      </c>
      <c r="D505" s="5" t="s">
        <v>74</v>
      </c>
      <c r="E505" s="3" t="s">
        <v>983</v>
      </c>
      <c r="F505" s="6">
        <v>49</v>
      </c>
      <c r="G505" s="6">
        <v>36.5</v>
      </c>
      <c r="H505" s="6">
        <v>0</v>
      </c>
      <c r="I505" s="7" t="s">
        <v>4447</v>
      </c>
      <c r="J505" s="3" t="s">
        <v>4317</v>
      </c>
      <c r="K505" s="8" t="s">
        <v>4424</v>
      </c>
      <c r="L505" s="9" t="s">
        <v>990</v>
      </c>
      <c r="M505" s="1" t="s">
        <v>991</v>
      </c>
    </row>
    <row r="506" spans="1:13" x14ac:dyDescent="0.3">
      <c r="A506" s="3">
        <v>1711038</v>
      </c>
      <c r="B506" s="4" t="s">
        <v>892</v>
      </c>
      <c r="C506" s="5" t="s">
        <v>992</v>
      </c>
      <c r="D506" s="5" t="s">
        <v>154</v>
      </c>
      <c r="E506" s="3" t="s">
        <v>993</v>
      </c>
      <c r="F506" s="6">
        <v>50.5</v>
      </c>
      <c r="G506" s="6">
        <v>30</v>
      </c>
      <c r="H506" s="6">
        <v>25.5</v>
      </c>
      <c r="I506" s="7" t="s">
        <v>4316</v>
      </c>
      <c r="J506" s="3" t="s">
        <v>4318</v>
      </c>
      <c r="K506" s="8" t="s">
        <v>4524</v>
      </c>
      <c r="L506" s="9" t="s">
        <v>994</v>
      </c>
      <c r="M506" s="1" t="s">
        <v>995</v>
      </c>
    </row>
    <row r="507" spans="1:13" x14ac:dyDescent="0.3">
      <c r="A507" s="3">
        <v>1714039</v>
      </c>
      <c r="B507" s="4" t="s">
        <v>892</v>
      </c>
      <c r="C507" s="5" t="s">
        <v>996</v>
      </c>
      <c r="D507" s="5" t="s">
        <v>13</v>
      </c>
      <c r="E507" s="3" t="s">
        <v>993</v>
      </c>
      <c r="F507" s="6">
        <v>104</v>
      </c>
      <c r="G507" s="6">
        <v>93.5</v>
      </c>
      <c r="H507" s="6">
        <v>8</v>
      </c>
      <c r="I507" s="7" t="s">
        <v>4316</v>
      </c>
      <c r="J507" s="3" t="s">
        <v>4318</v>
      </c>
      <c r="K507" s="8" t="s">
        <v>4574</v>
      </c>
      <c r="L507" s="9" t="s">
        <v>997</v>
      </c>
      <c r="M507" s="1" t="s">
        <v>998</v>
      </c>
    </row>
    <row r="508" spans="1:13" x14ac:dyDescent="0.3">
      <c r="A508" s="3">
        <v>1719040</v>
      </c>
      <c r="B508" s="4" t="s">
        <v>892</v>
      </c>
      <c r="C508" s="5" t="s">
        <v>999</v>
      </c>
      <c r="D508" s="5" t="s">
        <v>74</v>
      </c>
      <c r="E508" s="3" t="s">
        <v>993</v>
      </c>
      <c r="F508" s="6">
        <v>49.5</v>
      </c>
      <c r="G508" s="6">
        <v>28.5</v>
      </c>
      <c r="H508" s="6">
        <v>0</v>
      </c>
      <c r="I508" s="7" t="s">
        <v>4447</v>
      </c>
      <c r="J508" s="3" t="s">
        <v>4317</v>
      </c>
      <c r="K508" s="8" t="s">
        <v>4575</v>
      </c>
      <c r="L508" s="9" t="s">
        <v>1000</v>
      </c>
      <c r="M508" s="1" t="s">
        <v>1001</v>
      </c>
    </row>
    <row r="509" spans="1:13" x14ac:dyDescent="0.3">
      <c r="A509" s="3">
        <v>1711046</v>
      </c>
      <c r="B509" s="4" t="s">
        <v>892</v>
      </c>
      <c r="C509" s="5" t="s">
        <v>1017</v>
      </c>
      <c r="D509" s="5" t="s">
        <v>154</v>
      </c>
      <c r="E509" s="3" t="s">
        <v>1018</v>
      </c>
      <c r="F509" s="6">
        <v>51</v>
      </c>
      <c r="G509" s="6">
        <v>43</v>
      </c>
      <c r="H509" s="6">
        <v>27.5</v>
      </c>
      <c r="I509" s="7" t="s">
        <v>4316</v>
      </c>
      <c r="J509" s="3" t="s">
        <v>4318</v>
      </c>
      <c r="K509" s="8" t="s">
        <v>4351</v>
      </c>
      <c r="L509" s="9" t="s">
        <v>1019</v>
      </c>
      <c r="M509" s="1" t="s">
        <v>1020</v>
      </c>
    </row>
    <row r="510" spans="1:13" x14ac:dyDescent="0.3">
      <c r="A510" s="3">
        <v>1719048</v>
      </c>
      <c r="B510" s="4" t="s">
        <v>892</v>
      </c>
      <c r="C510" s="5" t="s">
        <v>1024</v>
      </c>
      <c r="D510" s="5" t="s">
        <v>74</v>
      </c>
      <c r="E510" s="3" t="s">
        <v>1018</v>
      </c>
      <c r="F510" s="6">
        <v>50</v>
      </c>
      <c r="G510" s="6">
        <v>42</v>
      </c>
      <c r="H510" s="6">
        <v>0</v>
      </c>
      <c r="I510" s="7" t="s">
        <v>4447</v>
      </c>
      <c r="J510" s="3" t="s">
        <v>4317</v>
      </c>
      <c r="K510" s="8" t="s">
        <v>4578</v>
      </c>
      <c r="L510" s="9" t="s">
        <v>1025</v>
      </c>
      <c r="M510" s="1" t="s">
        <v>1026</v>
      </c>
    </row>
    <row r="511" spans="1:13" x14ac:dyDescent="0.3">
      <c r="A511" s="3">
        <v>1719081</v>
      </c>
      <c r="B511" s="4" t="s">
        <v>892</v>
      </c>
      <c r="C511" s="5" t="s">
        <v>1024</v>
      </c>
      <c r="D511" s="5" t="s">
        <v>74</v>
      </c>
      <c r="E511" s="3" t="s">
        <v>1117</v>
      </c>
      <c r="F511" s="6">
        <v>51</v>
      </c>
      <c r="G511" s="6">
        <v>39</v>
      </c>
      <c r="H511" s="6">
        <v>0</v>
      </c>
      <c r="I511" s="7" t="s">
        <v>4315</v>
      </c>
      <c r="J511" s="3" t="s">
        <v>4317</v>
      </c>
      <c r="K511" s="8" t="s">
        <v>4428</v>
      </c>
      <c r="L511" s="9" t="s">
        <v>1123</v>
      </c>
      <c r="M511" s="1" t="s">
        <v>1124</v>
      </c>
    </row>
    <row r="512" spans="1:13" x14ac:dyDescent="0.3">
      <c r="A512" s="3">
        <v>1714047</v>
      </c>
      <c r="B512" s="4" t="s">
        <v>892</v>
      </c>
      <c r="C512" s="5" t="s">
        <v>1021</v>
      </c>
      <c r="D512" s="5" t="s">
        <v>13</v>
      </c>
      <c r="E512" s="3" t="s">
        <v>1018</v>
      </c>
      <c r="F512" s="6">
        <v>105</v>
      </c>
      <c r="G512" s="6">
        <v>89</v>
      </c>
      <c r="H512" s="6">
        <v>8</v>
      </c>
      <c r="I512" s="7" t="s">
        <v>4316</v>
      </c>
      <c r="J512" s="3" t="s">
        <v>4318</v>
      </c>
      <c r="K512" s="8" t="s">
        <v>4390</v>
      </c>
      <c r="L512" s="9" t="s">
        <v>1022</v>
      </c>
      <c r="M512" s="1" t="s">
        <v>1023</v>
      </c>
    </row>
    <row r="513" spans="1:13" x14ac:dyDescent="0.3">
      <c r="A513" s="3">
        <v>1714080</v>
      </c>
      <c r="B513" s="4" t="s">
        <v>892</v>
      </c>
      <c r="C513" s="5" t="s">
        <v>1120</v>
      </c>
      <c r="D513" s="5" t="s">
        <v>392</v>
      </c>
      <c r="E513" s="3" t="s">
        <v>1117</v>
      </c>
      <c r="F513" s="6">
        <v>109</v>
      </c>
      <c r="G513" s="6">
        <v>85</v>
      </c>
      <c r="H513" s="6">
        <v>8</v>
      </c>
      <c r="I513" s="7" t="s">
        <v>4316</v>
      </c>
      <c r="J513" s="3" t="s">
        <v>4318</v>
      </c>
      <c r="K513" s="8" t="s">
        <v>4586</v>
      </c>
      <c r="L513" s="9" t="s">
        <v>1121</v>
      </c>
      <c r="M513" s="1" t="s">
        <v>1122</v>
      </c>
    </row>
    <row r="514" spans="1:13" x14ac:dyDescent="0.3">
      <c r="A514" s="3">
        <v>1714077</v>
      </c>
      <c r="B514" s="4" t="s">
        <v>892</v>
      </c>
      <c r="C514" s="5" t="s">
        <v>1110</v>
      </c>
      <c r="D514" s="5" t="s">
        <v>392</v>
      </c>
      <c r="E514" s="3" t="s">
        <v>1107</v>
      </c>
      <c r="F514" s="6">
        <v>112</v>
      </c>
      <c r="G514" s="6">
        <v>97</v>
      </c>
      <c r="H514" s="6">
        <v>8</v>
      </c>
      <c r="I514" s="7" t="s">
        <v>4316</v>
      </c>
      <c r="J514" s="3" t="s">
        <v>4318</v>
      </c>
      <c r="K514" s="8" t="s">
        <v>4588</v>
      </c>
      <c r="L514" s="9" t="s">
        <v>1111</v>
      </c>
      <c r="M514" s="1" t="s">
        <v>1112</v>
      </c>
    </row>
    <row r="515" spans="1:13" x14ac:dyDescent="0.3">
      <c r="A515" s="3">
        <v>1719163</v>
      </c>
      <c r="B515" s="4" t="s">
        <v>892</v>
      </c>
      <c r="C515" s="5" t="s">
        <v>6761</v>
      </c>
      <c r="D515" s="5" t="s">
        <v>74</v>
      </c>
      <c r="E515" s="3" t="s">
        <v>1328</v>
      </c>
      <c r="F515" s="6">
        <v>60</v>
      </c>
      <c r="G515" s="6">
        <v>49</v>
      </c>
      <c r="H515" s="6">
        <v>0</v>
      </c>
      <c r="I515" s="7" t="s">
        <v>4315</v>
      </c>
      <c r="J515" s="3" t="s">
        <v>4317</v>
      </c>
      <c r="K515" s="8" t="s">
        <v>4465</v>
      </c>
      <c r="L515" s="9" t="s">
        <v>1333</v>
      </c>
      <c r="M515" s="1" t="s">
        <v>1334</v>
      </c>
    </row>
    <row r="516" spans="1:13" x14ac:dyDescent="0.3">
      <c r="A516" s="3">
        <v>1711161</v>
      </c>
      <c r="B516" s="4" t="s">
        <v>892</v>
      </c>
      <c r="C516" s="5" t="s">
        <v>6758</v>
      </c>
      <c r="D516" s="5" t="s">
        <v>154</v>
      </c>
      <c r="E516" s="3" t="s">
        <v>1328</v>
      </c>
      <c r="F516" s="6">
        <v>61.8</v>
      </c>
      <c r="G516" s="6">
        <v>50.4</v>
      </c>
      <c r="H516" s="6">
        <v>27.5</v>
      </c>
      <c r="I516" s="7" t="s">
        <v>4316</v>
      </c>
      <c r="J516" s="3" t="s">
        <v>4318</v>
      </c>
      <c r="K516" s="8" t="s">
        <v>4491</v>
      </c>
      <c r="L516" s="9" t="s">
        <v>1329</v>
      </c>
      <c r="M516" s="1" t="s">
        <v>1330</v>
      </c>
    </row>
    <row r="517" spans="1:13" x14ac:dyDescent="0.3">
      <c r="A517" s="3">
        <v>1719078</v>
      </c>
      <c r="B517" s="4" t="s">
        <v>892</v>
      </c>
      <c r="C517" s="5" t="s">
        <v>1113</v>
      </c>
      <c r="D517" s="5" t="s">
        <v>74</v>
      </c>
      <c r="E517" s="3" t="s">
        <v>1107</v>
      </c>
      <c r="F517" s="6">
        <v>45</v>
      </c>
      <c r="G517" s="6">
        <v>35</v>
      </c>
      <c r="H517" s="6">
        <v>0</v>
      </c>
      <c r="I517" s="7" t="s">
        <v>4315</v>
      </c>
      <c r="J517" s="3" t="s">
        <v>4317</v>
      </c>
      <c r="K517" s="8" t="s">
        <v>4433</v>
      </c>
      <c r="L517" s="9" t="s">
        <v>1114</v>
      </c>
      <c r="M517" s="1" t="s">
        <v>1115</v>
      </c>
    </row>
    <row r="518" spans="1:13" x14ac:dyDescent="0.3">
      <c r="A518" s="3">
        <v>1711050</v>
      </c>
      <c r="B518" s="4" t="s">
        <v>892</v>
      </c>
      <c r="C518" s="5" t="s">
        <v>1029</v>
      </c>
      <c r="D518" s="5" t="s">
        <v>154</v>
      </c>
      <c r="E518" s="3" t="s">
        <v>1018</v>
      </c>
      <c r="F518" s="6">
        <v>74</v>
      </c>
      <c r="G518" s="6">
        <v>37.5</v>
      </c>
      <c r="H518" s="6">
        <v>27.5</v>
      </c>
      <c r="I518" s="7" t="s">
        <v>4316</v>
      </c>
      <c r="J518" s="3" t="s">
        <v>4318</v>
      </c>
      <c r="K518" s="8" t="s">
        <v>4417</v>
      </c>
      <c r="L518" s="9" t="s">
        <v>1030</v>
      </c>
      <c r="M518" s="1" t="s">
        <v>1031</v>
      </c>
    </row>
    <row r="519" spans="1:13" x14ac:dyDescent="0.3">
      <c r="A519" s="3">
        <v>1714051</v>
      </c>
      <c r="B519" s="4" t="s">
        <v>892</v>
      </c>
      <c r="C519" s="5" t="s">
        <v>1032</v>
      </c>
      <c r="D519" s="5" t="s">
        <v>392</v>
      </c>
      <c r="E519" s="3" t="s">
        <v>1018</v>
      </c>
      <c r="F519" s="6">
        <v>116</v>
      </c>
      <c r="G519" s="6">
        <v>76</v>
      </c>
      <c r="H519" s="6">
        <v>8</v>
      </c>
      <c r="I519" s="7" t="s">
        <v>4316</v>
      </c>
      <c r="J519" s="3" t="s">
        <v>4318</v>
      </c>
      <c r="K519" s="8" t="s">
        <v>4579</v>
      </c>
      <c r="L519" s="9" t="s">
        <v>1033</v>
      </c>
      <c r="M519" s="1" t="s">
        <v>1034</v>
      </c>
    </row>
    <row r="520" spans="1:13" x14ac:dyDescent="0.3">
      <c r="A520" s="3">
        <v>1719052</v>
      </c>
      <c r="B520" s="4" t="s">
        <v>892</v>
      </c>
      <c r="C520" s="5" t="s">
        <v>1035</v>
      </c>
      <c r="D520" s="5" t="s">
        <v>74</v>
      </c>
      <c r="E520" s="3" t="s">
        <v>1018</v>
      </c>
      <c r="F520" s="6">
        <v>73</v>
      </c>
      <c r="G520" s="6">
        <v>36.5</v>
      </c>
      <c r="H520" s="6">
        <v>0</v>
      </c>
      <c r="I520" s="7" t="s">
        <v>4447</v>
      </c>
      <c r="J520" s="3" t="s">
        <v>4317</v>
      </c>
      <c r="K520" s="8" t="s">
        <v>4580</v>
      </c>
      <c r="L520" s="9" t="s">
        <v>1036</v>
      </c>
      <c r="M520" s="1" t="s">
        <v>1037</v>
      </c>
    </row>
    <row r="521" spans="1:13" x14ac:dyDescent="0.3">
      <c r="A521" s="3">
        <v>1711079</v>
      </c>
      <c r="B521" s="4" t="s">
        <v>892</v>
      </c>
      <c r="C521" s="5" t="s">
        <v>1116</v>
      </c>
      <c r="D521" s="5" t="s">
        <v>154</v>
      </c>
      <c r="E521" s="3" t="s">
        <v>1117</v>
      </c>
      <c r="F521" s="6">
        <v>53</v>
      </c>
      <c r="G521" s="6">
        <v>41</v>
      </c>
      <c r="H521" s="6">
        <v>28</v>
      </c>
      <c r="I521" s="7" t="s">
        <v>4316</v>
      </c>
      <c r="J521" s="3" t="s">
        <v>4318</v>
      </c>
      <c r="K521" s="8" t="s">
        <v>4444</v>
      </c>
      <c r="L521" s="9" t="s">
        <v>1118</v>
      </c>
      <c r="M521" s="1" t="s">
        <v>1119</v>
      </c>
    </row>
    <row r="522" spans="1:13" x14ac:dyDescent="0.3">
      <c r="A522" s="3">
        <v>1711076</v>
      </c>
      <c r="B522" s="4" t="s">
        <v>892</v>
      </c>
      <c r="C522" s="5" t="s">
        <v>1106</v>
      </c>
      <c r="D522" s="5" t="s">
        <v>154</v>
      </c>
      <c r="E522" s="3" t="s">
        <v>1107</v>
      </c>
      <c r="F522" s="6">
        <v>47.5</v>
      </c>
      <c r="G522" s="6">
        <v>37</v>
      </c>
      <c r="H522" s="6">
        <v>23.5</v>
      </c>
      <c r="I522" s="7" t="s">
        <v>4316</v>
      </c>
      <c r="J522" s="3" t="s">
        <v>4318</v>
      </c>
      <c r="K522" s="8" t="s">
        <v>4552</v>
      </c>
      <c r="L522" s="9" t="s">
        <v>1108</v>
      </c>
      <c r="M522" s="1" t="s">
        <v>1109</v>
      </c>
    </row>
    <row r="523" spans="1:13" x14ac:dyDescent="0.3">
      <c r="A523" s="3">
        <v>1719233</v>
      </c>
      <c r="B523" s="4" t="s">
        <v>892</v>
      </c>
      <c r="C523" s="5" t="s">
        <v>6641</v>
      </c>
      <c r="D523" s="5" t="s">
        <v>682</v>
      </c>
      <c r="E523" s="3" t="s">
        <v>14</v>
      </c>
      <c r="F523" s="6">
        <v>19.5</v>
      </c>
      <c r="G523" s="6">
        <v>20</v>
      </c>
      <c r="H523" s="6">
        <v>19.5</v>
      </c>
      <c r="I523" s="7">
        <v>32</v>
      </c>
      <c r="J523" s="3" t="s">
        <v>4317</v>
      </c>
      <c r="K523" s="8">
        <v>0.16</v>
      </c>
      <c r="L523" s="9" t="s">
        <v>6785</v>
      </c>
      <c r="M523" s="1"/>
    </row>
    <row r="524" spans="1:13" x14ac:dyDescent="0.3">
      <c r="A524" s="3">
        <v>1711064</v>
      </c>
      <c r="B524" s="4" t="s">
        <v>892</v>
      </c>
      <c r="C524" s="5" t="s">
        <v>1070</v>
      </c>
      <c r="D524" s="5" t="s">
        <v>154</v>
      </c>
      <c r="E524" s="3" t="s">
        <v>1071</v>
      </c>
      <c r="F524" s="6">
        <v>95</v>
      </c>
      <c r="G524" s="6">
        <v>40</v>
      </c>
      <c r="H524" s="6">
        <v>30.5</v>
      </c>
      <c r="I524" s="7" t="s">
        <v>4316</v>
      </c>
      <c r="J524" s="3" t="s">
        <v>4318</v>
      </c>
      <c r="K524" s="8" t="s">
        <v>4584</v>
      </c>
      <c r="L524" s="9" t="s">
        <v>1072</v>
      </c>
      <c r="M524" s="1" t="s">
        <v>1073</v>
      </c>
    </row>
    <row r="525" spans="1:13" x14ac:dyDescent="0.3">
      <c r="A525" s="3">
        <v>1714085</v>
      </c>
      <c r="B525" s="4" t="s">
        <v>892</v>
      </c>
      <c r="C525" s="5" t="s">
        <v>1074</v>
      </c>
      <c r="D525" s="5" t="s">
        <v>392</v>
      </c>
      <c r="E525" s="3" t="s">
        <v>1071</v>
      </c>
      <c r="F525" s="6">
        <v>122</v>
      </c>
      <c r="G525" s="6">
        <v>96</v>
      </c>
      <c r="H525" s="6">
        <v>8</v>
      </c>
      <c r="I525" s="7" t="s">
        <v>4316</v>
      </c>
      <c r="J525" s="3" t="s">
        <v>4318</v>
      </c>
      <c r="K525" s="8" t="s">
        <v>4325</v>
      </c>
      <c r="L525" s="9" t="s">
        <v>1075</v>
      </c>
      <c r="M525" s="1" t="s">
        <v>1076</v>
      </c>
    </row>
    <row r="526" spans="1:13" x14ac:dyDescent="0.3">
      <c r="A526" s="3">
        <v>1711069</v>
      </c>
      <c r="B526" s="4" t="s">
        <v>892</v>
      </c>
      <c r="C526" s="5" t="s">
        <v>1086</v>
      </c>
      <c r="D526" s="5" t="s">
        <v>154</v>
      </c>
      <c r="E526" s="3" t="s">
        <v>1087</v>
      </c>
      <c r="F526" s="6">
        <v>73.5</v>
      </c>
      <c r="G526" s="6">
        <v>49.5</v>
      </c>
      <c r="H526" s="6">
        <v>25</v>
      </c>
      <c r="I526" s="7" t="s">
        <v>4316</v>
      </c>
      <c r="J526" s="3" t="s">
        <v>4318</v>
      </c>
      <c r="K526" s="8" t="s">
        <v>4586</v>
      </c>
      <c r="L526" s="9" t="s">
        <v>1088</v>
      </c>
      <c r="M526" s="1" t="s">
        <v>1089</v>
      </c>
    </row>
    <row r="527" spans="1:13" x14ac:dyDescent="0.3">
      <c r="A527" s="3">
        <v>1714070</v>
      </c>
      <c r="B527" s="4" t="s">
        <v>892</v>
      </c>
      <c r="C527" s="5" t="s">
        <v>1090</v>
      </c>
      <c r="D527" s="5" t="s">
        <v>392</v>
      </c>
      <c r="E527" s="3" t="s">
        <v>1087</v>
      </c>
      <c r="F527" s="6">
        <v>102</v>
      </c>
      <c r="G527" s="6">
        <v>76</v>
      </c>
      <c r="H527" s="6">
        <v>8</v>
      </c>
      <c r="I527" s="7" t="s">
        <v>4316</v>
      </c>
      <c r="J527" s="3" t="s">
        <v>4318</v>
      </c>
      <c r="K527" s="8" t="s">
        <v>4571</v>
      </c>
      <c r="L527" s="9" t="s">
        <v>1091</v>
      </c>
      <c r="M527" s="1" t="s">
        <v>1092</v>
      </c>
    </row>
    <row r="528" spans="1:13" x14ac:dyDescent="0.3">
      <c r="A528" s="3">
        <v>1719071</v>
      </c>
      <c r="B528" s="4" t="s">
        <v>892</v>
      </c>
      <c r="C528" s="5" t="s">
        <v>1093</v>
      </c>
      <c r="D528" s="5" t="s">
        <v>74</v>
      </c>
      <c r="E528" s="3" t="s">
        <v>1087</v>
      </c>
      <c r="F528" s="6">
        <v>72.5</v>
      </c>
      <c r="G528" s="6">
        <v>48.5</v>
      </c>
      <c r="H528" s="6">
        <v>0</v>
      </c>
      <c r="I528" s="7" t="s">
        <v>4447</v>
      </c>
      <c r="J528" s="3" t="s">
        <v>4317</v>
      </c>
      <c r="K528" s="8" t="s">
        <v>4360</v>
      </c>
      <c r="L528" s="9" t="s">
        <v>1094</v>
      </c>
      <c r="M528" s="1" t="s">
        <v>1095</v>
      </c>
    </row>
    <row r="529" spans="1:13" x14ac:dyDescent="0.3">
      <c r="A529" s="3">
        <v>1719066</v>
      </c>
      <c r="B529" s="4" t="s">
        <v>892</v>
      </c>
      <c r="C529" s="5" t="s">
        <v>1077</v>
      </c>
      <c r="D529" s="5" t="s">
        <v>74</v>
      </c>
      <c r="E529" s="3" t="s">
        <v>1071</v>
      </c>
      <c r="F529" s="6">
        <v>94</v>
      </c>
      <c r="G529" s="6">
        <v>39</v>
      </c>
      <c r="H529" s="6">
        <v>0</v>
      </c>
      <c r="I529" s="7" t="s">
        <v>4447</v>
      </c>
      <c r="J529" s="3" t="s">
        <v>4317</v>
      </c>
      <c r="K529" s="8" t="s">
        <v>4462</v>
      </c>
      <c r="L529" s="9" t="s">
        <v>1078</v>
      </c>
      <c r="M529" s="1" t="s">
        <v>1079</v>
      </c>
    </row>
    <row r="530" spans="1:13" x14ac:dyDescent="0.3">
      <c r="A530" s="3">
        <v>1719168</v>
      </c>
      <c r="B530" s="4" t="s">
        <v>892</v>
      </c>
      <c r="C530" s="5" t="s">
        <v>6743</v>
      </c>
      <c r="D530" s="5" t="s">
        <v>96</v>
      </c>
      <c r="E530" s="3" t="s">
        <v>6742</v>
      </c>
      <c r="F530" s="6">
        <v>55.3</v>
      </c>
      <c r="G530" s="6">
        <v>44.3</v>
      </c>
      <c r="H530" s="6">
        <v>20.5</v>
      </c>
      <c r="I530" s="7" t="s">
        <v>4316</v>
      </c>
      <c r="J530" s="3" t="s">
        <v>4318</v>
      </c>
      <c r="K530" s="8">
        <v>1.32</v>
      </c>
      <c r="L530" s="9" t="s">
        <v>1345</v>
      </c>
      <c r="M530" s="1" t="s">
        <v>1346</v>
      </c>
    </row>
    <row r="531" spans="1:13" x14ac:dyDescent="0.3">
      <c r="A531" s="3">
        <v>1716041</v>
      </c>
      <c r="B531" s="4" t="s">
        <v>892</v>
      </c>
      <c r="C531" s="5" t="s">
        <v>1002</v>
      </c>
      <c r="D531" s="5" t="s">
        <v>105</v>
      </c>
      <c r="E531" s="3" t="s">
        <v>993</v>
      </c>
      <c r="F531" s="6">
        <v>22</v>
      </c>
      <c r="G531" s="6">
        <v>2</v>
      </c>
      <c r="H531" s="6">
        <v>11</v>
      </c>
      <c r="I531" s="7" t="s">
        <v>4447</v>
      </c>
      <c r="J531" s="3" t="s">
        <v>4317</v>
      </c>
      <c r="K531" s="8" t="s">
        <v>4562</v>
      </c>
      <c r="L531" s="9" t="s">
        <v>1003</v>
      </c>
      <c r="M531" s="1" t="s">
        <v>1004</v>
      </c>
    </row>
    <row r="532" spans="1:13" x14ac:dyDescent="0.3">
      <c r="A532" s="3">
        <v>1716053</v>
      </c>
      <c r="B532" s="4" t="s">
        <v>892</v>
      </c>
      <c r="C532" s="5" t="s">
        <v>1038</v>
      </c>
      <c r="D532" s="5" t="s">
        <v>105</v>
      </c>
      <c r="E532" s="3" t="s">
        <v>1018</v>
      </c>
      <c r="F532" s="6">
        <v>18.5</v>
      </c>
      <c r="G532" s="6">
        <v>2</v>
      </c>
      <c r="H532" s="6">
        <v>17.5</v>
      </c>
      <c r="I532" s="7" t="s">
        <v>4447</v>
      </c>
      <c r="J532" s="3" t="s">
        <v>4317</v>
      </c>
      <c r="K532" s="8" t="s">
        <v>4453</v>
      </c>
      <c r="L532" s="9" t="s">
        <v>1039</v>
      </c>
      <c r="M532" s="1" t="s">
        <v>1040</v>
      </c>
    </row>
    <row r="533" spans="1:13" x14ac:dyDescent="0.3">
      <c r="A533" s="3">
        <v>1716056</v>
      </c>
      <c r="B533" s="4" t="s">
        <v>892</v>
      </c>
      <c r="C533" s="5" t="s">
        <v>1038</v>
      </c>
      <c r="D533" s="5" t="s">
        <v>105</v>
      </c>
      <c r="E533" s="3" t="s">
        <v>1042</v>
      </c>
      <c r="F533" s="6">
        <v>18.5</v>
      </c>
      <c r="G533" s="6">
        <v>2</v>
      </c>
      <c r="H533" s="6">
        <v>17.8</v>
      </c>
      <c r="I533" s="7" t="s">
        <v>4447</v>
      </c>
      <c r="J533" s="3" t="s">
        <v>4317</v>
      </c>
      <c r="K533" s="8" t="s">
        <v>4453</v>
      </c>
      <c r="L533" s="9" t="s">
        <v>1048</v>
      </c>
      <c r="M533" s="1" t="s">
        <v>1049</v>
      </c>
    </row>
    <row r="534" spans="1:13" x14ac:dyDescent="0.3">
      <c r="A534" s="3">
        <v>1716060</v>
      </c>
      <c r="B534" s="4" t="s">
        <v>892</v>
      </c>
      <c r="C534" s="5" t="s">
        <v>1038</v>
      </c>
      <c r="D534" s="5" t="s">
        <v>105</v>
      </c>
      <c r="E534" s="3" t="s">
        <v>1051</v>
      </c>
      <c r="F534" s="6">
        <v>18.5</v>
      </c>
      <c r="G534" s="6">
        <v>2</v>
      </c>
      <c r="H534" s="6">
        <v>17.5</v>
      </c>
      <c r="I534" s="7" t="s">
        <v>4447</v>
      </c>
      <c r="J534" s="3" t="s">
        <v>4317</v>
      </c>
      <c r="K534" s="8" t="s">
        <v>4453</v>
      </c>
      <c r="L534" s="9" t="s">
        <v>1060</v>
      </c>
      <c r="M534" s="1" t="s">
        <v>1061</v>
      </c>
    </row>
    <row r="535" spans="1:13" x14ac:dyDescent="0.3">
      <c r="A535" s="3">
        <v>1716063</v>
      </c>
      <c r="B535" s="4" t="s">
        <v>892</v>
      </c>
      <c r="C535" s="5" t="s">
        <v>1038</v>
      </c>
      <c r="D535" s="5" t="s">
        <v>105</v>
      </c>
      <c r="E535" s="3" t="s">
        <v>1067</v>
      </c>
      <c r="F535" s="6">
        <v>18.5</v>
      </c>
      <c r="G535" s="6">
        <v>2</v>
      </c>
      <c r="H535" s="6">
        <v>17.5</v>
      </c>
      <c r="I535" s="7" t="s">
        <v>4447</v>
      </c>
      <c r="J535" s="3" t="s">
        <v>4317</v>
      </c>
      <c r="K535" s="8" t="s">
        <v>4453</v>
      </c>
      <c r="L535" s="9" t="s">
        <v>1068</v>
      </c>
      <c r="M535" s="1" t="s">
        <v>1069</v>
      </c>
    </row>
    <row r="536" spans="1:13" x14ac:dyDescent="0.3">
      <c r="A536" s="3">
        <v>1716045</v>
      </c>
      <c r="B536" s="4" t="s">
        <v>892</v>
      </c>
      <c r="C536" s="5" t="s">
        <v>1014</v>
      </c>
      <c r="D536" s="5" t="s">
        <v>105</v>
      </c>
      <c r="E536" s="3" t="s">
        <v>1006</v>
      </c>
      <c r="F536" s="6">
        <v>21.5</v>
      </c>
      <c r="G536" s="6">
        <v>2</v>
      </c>
      <c r="H536" s="6">
        <v>20</v>
      </c>
      <c r="I536" s="7" t="s">
        <v>4447</v>
      </c>
      <c r="J536" s="3" t="s">
        <v>4317</v>
      </c>
      <c r="K536" s="8" t="s">
        <v>4430</v>
      </c>
      <c r="L536" s="9" t="s">
        <v>1015</v>
      </c>
      <c r="M536" s="1" t="s">
        <v>1016</v>
      </c>
    </row>
    <row r="537" spans="1:13" x14ac:dyDescent="0.3">
      <c r="A537" s="3">
        <v>1716049</v>
      </c>
      <c r="B537" s="4" t="s">
        <v>892</v>
      </c>
      <c r="C537" s="5" t="s">
        <v>1014</v>
      </c>
      <c r="D537" s="5" t="s">
        <v>105</v>
      </c>
      <c r="E537" s="3" t="s">
        <v>1018</v>
      </c>
      <c r="F537" s="6">
        <v>21.5</v>
      </c>
      <c r="G537" s="6">
        <v>2</v>
      </c>
      <c r="H537" s="6">
        <v>20</v>
      </c>
      <c r="I537" s="7" t="s">
        <v>4447</v>
      </c>
      <c r="J537" s="3" t="s">
        <v>4317</v>
      </c>
      <c r="K537" s="8" t="s">
        <v>4430</v>
      </c>
      <c r="L537" s="9" t="s">
        <v>1027</v>
      </c>
      <c r="M537" s="1" t="s">
        <v>1028</v>
      </c>
    </row>
    <row r="538" spans="1:13" x14ac:dyDescent="0.3">
      <c r="A538" s="3">
        <v>1716068</v>
      </c>
      <c r="B538" s="4" t="s">
        <v>892</v>
      </c>
      <c r="C538" s="5" t="s">
        <v>1014</v>
      </c>
      <c r="D538" s="5" t="s">
        <v>105</v>
      </c>
      <c r="E538" s="3" t="s">
        <v>1081</v>
      </c>
      <c r="F538" s="6">
        <v>21.5</v>
      </c>
      <c r="G538" s="6">
        <v>2</v>
      </c>
      <c r="H538" s="6">
        <v>20</v>
      </c>
      <c r="I538" s="7" t="s">
        <v>4447</v>
      </c>
      <c r="J538" s="3" t="s">
        <v>4317</v>
      </c>
      <c r="K538" s="8" t="s">
        <v>4430</v>
      </c>
      <c r="L538" s="9" t="s">
        <v>1084</v>
      </c>
      <c r="M538" s="1" t="s">
        <v>1085</v>
      </c>
    </row>
    <row r="539" spans="1:13" x14ac:dyDescent="0.3">
      <c r="A539" s="3">
        <v>1716073</v>
      </c>
      <c r="B539" s="4" t="s">
        <v>892</v>
      </c>
      <c r="C539" s="5" t="s">
        <v>1014</v>
      </c>
      <c r="D539" s="5" t="s">
        <v>105</v>
      </c>
      <c r="E539" s="3" t="s">
        <v>1087</v>
      </c>
      <c r="F539" s="6">
        <v>21.5</v>
      </c>
      <c r="G539" s="6">
        <v>2</v>
      </c>
      <c r="H539" s="6">
        <v>20</v>
      </c>
      <c r="I539" s="7" t="s">
        <v>4447</v>
      </c>
      <c r="J539" s="3" t="s">
        <v>4317</v>
      </c>
      <c r="K539" s="8" t="s">
        <v>4430</v>
      </c>
      <c r="L539" s="9" t="s">
        <v>1099</v>
      </c>
      <c r="M539" s="1" t="s">
        <v>1100</v>
      </c>
    </row>
    <row r="540" spans="1:13" x14ac:dyDescent="0.3">
      <c r="A540" s="3">
        <v>1716089</v>
      </c>
      <c r="B540" s="4" t="s">
        <v>892</v>
      </c>
      <c r="C540" s="5" t="s">
        <v>1144</v>
      </c>
      <c r="D540" s="5" t="s">
        <v>105</v>
      </c>
      <c r="E540" s="3" t="s">
        <v>14</v>
      </c>
      <c r="F540" s="6">
        <v>121</v>
      </c>
      <c r="G540" s="6">
        <v>80</v>
      </c>
      <c r="H540" s="6">
        <v>50</v>
      </c>
      <c r="I540" s="7" t="s">
        <v>4343</v>
      </c>
      <c r="J540" s="3" t="s">
        <v>4346</v>
      </c>
      <c r="K540" s="8" t="s">
        <v>4516</v>
      </c>
      <c r="L540" s="9" t="s">
        <v>1145</v>
      </c>
      <c r="M540" s="1" t="s">
        <v>1146</v>
      </c>
    </row>
    <row r="541" spans="1:13" x14ac:dyDescent="0.3">
      <c r="A541" s="3">
        <v>1716088</v>
      </c>
      <c r="B541" s="4" t="s">
        <v>892</v>
      </c>
      <c r="C541" s="5" t="s">
        <v>1141</v>
      </c>
      <c r="D541" s="5" t="s">
        <v>105</v>
      </c>
      <c r="E541" s="3" t="s">
        <v>14</v>
      </c>
      <c r="F541" s="6">
        <v>121</v>
      </c>
      <c r="G541" s="6">
        <v>80</v>
      </c>
      <c r="H541" s="6">
        <v>80</v>
      </c>
      <c r="I541" s="7" t="s">
        <v>4343</v>
      </c>
      <c r="J541" s="3" t="s">
        <v>4346</v>
      </c>
      <c r="K541" s="8" t="s">
        <v>4568</v>
      </c>
      <c r="L541" s="9" t="s">
        <v>1142</v>
      </c>
      <c r="M541" s="1" t="s">
        <v>1143</v>
      </c>
    </row>
    <row r="542" spans="1:13" x14ac:dyDescent="0.3">
      <c r="A542" s="3">
        <v>1714007</v>
      </c>
      <c r="B542" s="4" t="s">
        <v>892</v>
      </c>
      <c r="C542" s="5" t="s">
        <v>6748</v>
      </c>
      <c r="D542" s="5" t="s">
        <v>13</v>
      </c>
      <c r="E542" s="3" t="s">
        <v>6749</v>
      </c>
      <c r="F542" s="6">
        <v>108</v>
      </c>
      <c r="G542" s="6">
        <v>104.5</v>
      </c>
      <c r="H542" s="6">
        <v>10</v>
      </c>
      <c r="I542" s="7" t="s">
        <v>4315</v>
      </c>
      <c r="J542" s="3" t="s">
        <v>4317</v>
      </c>
      <c r="K542" s="8" t="s">
        <v>4546</v>
      </c>
      <c r="L542" s="9" t="s">
        <v>909</v>
      </c>
      <c r="M542" s="1" t="s">
        <v>910</v>
      </c>
    </row>
    <row r="543" spans="1:13" x14ac:dyDescent="0.3">
      <c r="A543" s="3">
        <v>1719199</v>
      </c>
      <c r="B543" s="4" t="s">
        <v>892</v>
      </c>
      <c r="C543" s="5" t="s">
        <v>6764</v>
      </c>
      <c r="D543" s="5" t="s">
        <v>154</v>
      </c>
      <c r="E543" s="3" t="s">
        <v>4911</v>
      </c>
      <c r="F543" s="6">
        <v>55</v>
      </c>
      <c r="G543" s="6">
        <v>49</v>
      </c>
      <c r="H543" s="6">
        <v>19</v>
      </c>
      <c r="I543" s="7">
        <v>42</v>
      </c>
      <c r="J543" s="3" t="s">
        <v>4318</v>
      </c>
      <c r="K543" s="8">
        <v>0.93</v>
      </c>
      <c r="L543" s="9" t="s">
        <v>4912</v>
      </c>
      <c r="M543" s="1" t="s">
        <v>4919</v>
      </c>
    </row>
    <row r="544" spans="1:13" x14ac:dyDescent="0.3">
      <c r="A544" s="3">
        <v>1719237</v>
      </c>
      <c r="B544" s="4" t="s">
        <v>892</v>
      </c>
      <c r="C544" s="5" t="s">
        <v>7823</v>
      </c>
      <c r="D544" s="5" t="s">
        <v>4792</v>
      </c>
      <c r="E544" s="3" t="s">
        <v>14</v>
      </c>
      <c r="F544" s="6">
        <v>54</v>
      </c>
      <c r="G544" s="6">
        <v>47.6</v>
      </c>
      <c r="H544" s="6">
        <v>18</v>
      </c>
      <c r="I544" s="7">
        <v>32</v>
      </c>
      <c r="J544" s="3" t="s">
        <v>4317</v>
      </c>
      <c r="K544" s="8">
        <f>0.1+0.09</f>
        <v>0.19</v>
      </c>
      <c r="L544" s="9" t="s">
        <v>7583</v>
      </c>
      <c r="M544" s="1" t="s">
        <v>7668</v>
      </c>
    </row>
    <row r="545" spans="1:13" x14ac:dyDescent="0.3">
      <c r="A545" s="3">
        <v>1711035</v>
      </c>
      <c r="B545" s="4" t="s">
        <v>892</v>
      </c>
      <c r="C545" s="5" t="s">
        <v>982</v>
      </c>
      <c r="D545" s="5" t="s">
        <v>154</v>
      </c>
      <c r="E545" s="3" t="s">
        <v>983</v>
      </c>
      <c r="F545" s="6">
        <v>50</v>
      </c>
      <c r="G545" s="6">
        <v>37</v>
      </c>
      <c r="H545" s="6">
        <v>31</v>
      </c>
      <c r="I545" s="7" t="s">
        <v>4316</v>
      </c>
      <c r="J545" s="3" t="s">
        <v>4318</v>
      </c>
      <c r="K545" s="8" t="s">
        <v>4361</v>
      </c>
      <c r="L545" s="9" t="s">
        <v>984</v>
      </c>
      <c r="M545" s="1" t="s">
        <v>985</v>
      </c>
    </row>
    <row r="546" spans="1:13" x14ac:dyDescent="0.3">
      <c r="A546" s="3">
        <v>1719173</v>
      </c>
      <c r="B546" s="4" t="s">
        <v>892</v>
      </c>
      <c r="C546" s="5" t="s">
        <v>1351</v>
      </c>
      <c r="D546" s="5" t="s">
        <v>96</v>
      </c>
      <c r="E546" s="3" t="s">
        <v>1352</v>
      </c>
      <c r="F546" s="6">
        <v>41</v>
      </c>
      <c r="G546" s="6">
        <v>31</v>
      </c>
      <c r="H546" s="6">
        <v>14.1</v>
      </c>
      <c r="I546" s="7" t="s">
        <v>4315</v>
      </c>
      <c r="J546" s="3" t="s">
        <v>4317</v>
      </c>
      <c r="K546" s="8">
        <v>0.67</v>
      </c>
      <c r="L546" s="9" t="s">
        <v>1353</v>
      </c>
      <c r="M546" s="1" t="s">
        <v>1354</v>
      </c>
    </row>
    <row r="547" spans="1:13" x14ac:dyDescent="0.3">
      <c r="A547" s="3">
        <v>1711100</v>
      </c>
      <c r="B547" s="4" t="s">
        <v>892</v>
      </c>
      <c r="C547" s="5" t="s">
        <v>1174</v>
      </c>
      <c r="D547" s="5" t="s">
        <v>154</v>
      </c>
      <c r="E547" s="3" t="s">
        <v>1175</v>
      </c>
      <c r="F547" s="6">
        <v>64</v>
      </c>
      <c r="G547" s="6">
        <v>38.5</v>
      </c>
      <c r="H547" s="6">
        <v>31</v>
      </c>
      <c r="I547" s="7" t="s">
        <v>4316</v>
      </c>
      <c r="J547" s="3" t="s">
        <v>4318</v>
      </c>
      <c r="K547" s="8" t="s">
        <v>4417</v>
      </c>
      <c r="L547" s="9" t="s">
        <v>1176</v>
      </c>
      <c r="M547" s="1" t="s">
        <v>1177</v>
      </c>
    </row>
    <row r="548" spans="1:13" x14ac:dyDescent="0.3">
      <c r="A548" s="3">
        <v>1719101</v>
      </c>
      <c r="B548" s="4" t="s">
        <v>892</v>
      </c>
      <c r="C548" s="5" t="s">
        <v>1174</v>
      </c>
      <c r="D548" s="5" t="s">
        <v>74</v>
      </c>
      <c r="E548" s="3" t="s">
        <v>1175</v>
      </c>
      <c r="F548" s="6">
        <v>63</v>
      </c>
      <c r="G548" s="6">
        <v>37.5</v>
      </c>
      <c r="H548" s="6">
        <v>0</v>
      </c>
      <c r="I548" s="7" t="s">
        <v>4315</v>
      </c>
      <c r="J548" s="3" t="s">
        <v>4317</v>
      </c>
      <c r="K548" s="8" t="s">
        <v>4503</v>
      </c>
      <c r="L548" s="9" t="s">
        <v>1178</v>
      </c>
      <c r="M548" s="1" t="s">
        <v>1179</v>
      </c>
    </row>
    <row r="549" spans="1:13" x14ac:dyDescent="0.3">
      <c r="A549" s="3">
        <v>1714102</v>
      </c>
      <c r="B549" s="4" t="s">
        <v>892</v>
      </c>
      <c r="C549" s="5" t="s">
        <v>1175</v>
      </c>
      <c r="D549" s="5" t="s">
        <v>392</v>
      </c>
      <c r="E549" s="3" t="s">
        <v>1175</v>
      </c>
      <c r="F549" s="6">
        <v>131</v>
      </c>
      <c r="G549" s="6">
        <v>120</v>
      </c>
      <c r="H549" s="6">
        <v>8</v>
      </c>
      <c r="I549" s="7" t="s">
        <v>4316</v>
      </c>
      <c r="J549" s="3" t="s">
        <v>4318</v>
      </c>
      <c r="K549" s="8" t="s">
        <v>4463</v>
      </c>
      <c r="L549" s="9" t="s">
        <v>1180</v>
      </c>
      <c r="M549" s="1" t="s">
        <v>1181</v>
      </c>
    </row>
    <row r="550" spans="1:13" x14ac:dyDescent="0.3">
      <c r="A550" s="3">
        <v>1720148</v>
      </c>
      <c r="B550" s="4" t="s">
        <v>892</v>
      </c>
      <c r="C550" s="5" t="s">
        <v>6771</v>
      </c>
      <c r="D550" s="5" t="s">
        <v>264</v>
      </c>
      <c r="E550" s="3" t="s">
        <v>14</v>
      </c>
      <c r="F550" s="6">
        <v>33.5</v>
      </c>
      <c r="G550" s="6">
        <v>4</v>
      </c>
      <c r="H550" s="6">
        <v>0</v>
      </c>
      <c r="I550" s="7" t="s">
        <v>4421</v>
      </c>
      <c r="J550" s="3" t="s">
        <v>4423</v>
      </c>
      <c r="K550" s="8" t="s">
        <v>4595</v>
      </c>
      <c r="L550" s="9" t="s">
        <v>1297</v>
      </c>
      <c r="M550" s="1" t="s">
        <v>1298</v>
      </c>
    </row>
    <row r="551" spans="1:13" x14ac:dyDescent="0.3">
      <c r="A551" s="3">
        <v>1721149</v>
      </c>
      <c r="B551" s="4" t="s">
        <v>892</v>
      </c>
      <c r="C551" s="5" t="s">
        <v>6771</v>
      </c>
      <c r="D551" s="5" t="s">
        <v>267</v>
      </c>
      <c r="E551" s="3" t="s">
        <v>14</v>
      </c>
      <c r="F551" s="6">
        <v>54.3</v>
      </c>
      <c r="G551" s="6">
        <v>4</v>
      </c>
      <c r="H551" s="6">
        <v>0</v>
      </c>
      <c r="I551" s="7" t="s">
        <v>4421</v>
      </c>
      <c r="J551" s="3" t="s">
        <v>4423</v>
      </c>
      <c r="K551" s="8" t="s">
        <v>4357</v>
      </c>
      <c r="L551" s="9" t="s">
        <v>1299</v>
      </c>
      <c r="M551" s="1" t="s">
        <v>1300</v>
      </c>
    </row>
    <row r="552" spans="1:13" x14ac:dyDescent="0.3">
      <c r="A552" s="3">
        <v>1710033</v>
      </c>
      <c r="B552" s="4" t="s">
        <v>892</v>
      </c>
      <c r="C552" s="5" t="s">
        <v>6728</v>
      </c>
      <c r="D552" s="5" t="s">
        <v>96</v>
      </c>
      <c r="E552" s="3" t="s">
        <v>977</v>
      </c>
      <c r="F552" s="6">
        <v>56.6</v>
      </c>
      <c r="G552" s="6">
        <v>35.5</v>
      </c>
      <c r="H552" s="6">
        <v>23</v>
      </c>
      <c r="I552" s="7" t="s">
        <v>4316</v>
      </c>
      <c r="J552" s="3" t="s">
        <v>4318</v>
      </c>
      <c r="K552" s="8" t="s">
        <v>4488</v>
      </c>
      <c r="L552" s="9" t="s">
        <v>978</v>
      </c>
      <c r="M552" s="1" t="s">
        <v>979</v>
      </c>
    </row>
    <row r="553" spans="1:13" x14ac:dyDescent="0.3">
      <c r="A553" s="3">
        <v>1720142</v>
      </c>
      <c r="B553" s="4" t="s">
        <v>892</v>
      </c>
      <c r="C553" s="5" t="s">
        <v>6770</v>
      </c>
      <c r="D553" s="5" t="s">
        <v>264</v>
      </c>
      <c r="E553" s="3" t="s">
        <v>6770</v>
      </c>
      <c r="F553" s="6">
        <v>40.6</v>
      </c>
      <c r="G553" s="6">
        <v>6.4</v>
      </c>
      <c r="H553" s="6">
        <v>0</v>
      </c>
      <c r="I553" s="7" t="s">
        <v>3375</v>
      </c>
      <c r="J553" s="3" t="s">
        <v>4422</v>
      </c>
      <c r="K553" s="8" t="s">
        <v>4560</v>
      </c>
      <c r="L553" s="9" t="s">
        <v>1283</v>
      </c>
      <c r="M553" s="1" t="s">
        <v>1284</v>
      </c>
    </row>
    <row r="554" spans="1:13" x14ac:dyDescent="0.3">
      <c r="A554" s="3">
        <v>1721143</v>
      </c>
      <c r="B554" s="4" t="s">
        <v>892</v>
      </c>
      <c r="C554" s="5" t="s">
        <v>6770</v>
      </c>
      <c r="D554" s="5" t="s">
        <v>267</v>
      </c>
      <c r="E554" s="3" t="s">
        <v>6770</v>
      </c>
      <c r="F554" s="6">
        <v>55.1</v>
      </c>
      <c r="G554" s="6">
        <v>6.4</v>
      </c>
      <c r="H554" s="6">
        <v>0</v>
      </c>
      <c r="I554" s="7" t="s">
        <v>3375</v>
      </c>
      <c r="J554" s="3" t="s">
        <v>4422</v>
      </c>
      <c r="K554" s="8" t="s">
        <v>4405</v>
      </c>
      <c r="L554" s="9" t="s">
        <v>1285</v>
      </c>
      <c r="M554" s="1" t="s">
        <v>1286</v>
      </c>
    </row>
    <row r="555" spans="1:13" x14ac:dyDescent="0.3">
      <c r="A555" s="3">
        <v>1719034</v>
      </c>
      <c r="B555" s="4" t="s">
        <v>892</v>
      </c>
      <c r="C555" s="5" t="s">
        <v>6729</v>
      </c>
      <c r="D555" s="5" t="s">
        <v>74</v>
      </c>
      <c r="E555" s="3" t="s">
        <v>977</v>
      </c>
      <c r="F555" s="6">
        <v>55.5</v>
      </c>
      <c r="G555" s="6">
        <v>35</v>
      </c>
      <c r="H555" s="6">
        <v>0</v>
      </c>
      <c r="I555" s="7" t="s">
        <v>4315</v>
      </c>
      <c r="J555" s="3" t="s">
        <v>4317</v>
      </c>
      <c r="K555" s="8" t="s">
        <v>4490</v>
      </c>
      <c r="L555" s="9" t="s">
        <v>980</v>
      </c>
      <c r="M555" s="1" t="s">
        <v>981</v>
      </c>
    </row>
    <row r="556" spans="1:13" x14ac:dyDescent="0.3">
      <c r="A556" s="3">
        <v>1711010</v>
      </c>
      <c r="B556" s="4" t="s">
        <v>892</v>
      </c>
      <c r="C556" s="5" t="s">
        <v>916</v>
      </c>
      <c r="D556" s="5" t="s">
        <v>154</v>
      </c>
      <c r="E556" s="3" t="s">
        <v>6750</v>
      </c>
      <c r="F556" s="6">
        <v>60</v>
      </c>
      <c r="G556" s="6">
        <v>48</v>
      </c>
      <c r="H556" s="6">
        <v>19</v>
      </c>
      <c r="I556" s="7" t="s">
        <v>4316</v>
      </c>
      <c r="J556" s="3" t="s">
        <v>4318</v>
      </c>
      <c r="K556" s="8" t="s">
        <v>4351</v>
      </c>
      <c r="L556" s="9" t="s">
        <v>917</v>
      </c>
      <c r="M556" s="1" t="s">
        <v>5416</v>
      </c>
    </row>
    <row r="557" spans="1:13" x14ac:dyDescent="0.3">
      <c r="A557" s="3">
        <v>1714011</v>
      </c>
      <c r="B557" s="4" t="s">
        <v>892</v>
      </c>
      <c r="C557" s="5" t="s">
        <v>919</v>
      </c>
      <c r="D557" s="5" t="s">
        <v>13</v>
      </c>
      <c r="E557" s="3" t="s">
        <v>6751</v>
      </c>
      <c r="F557" s="6">
        <v>61.5</v>
      </c>
      <c r="G557" s="6">
        <v>49.5</v>
      </c>
      <c r="H557" s="6">
        <v>5.5</v>
      </c>
      <c r="I557" s="7" t="s">
        <v>4315</v>
      </c>
      <c r="J557" s="3" t="s">
        <v>4317</v>
      </c>
      <c r="K557" s="8" t="s">
        <v>4500</v>
      </c>
      <c r="L557" s="9" t="s">
        <v>920</v>
      </c>
      <c r="M557" s="1" t="s">
        <v>918</v>
      </c>
    </row>
    <row r="558" spans="1:13" x14ac:dyDescent="0.3">
      <c r="A558" s="3">
        <v>1719137</v>
      </c>
      <c r="B558" s="4" t="s">
        <v>892</v>
      </c>
      <c r="C558" s="5" t="s">
        <v>5417</v>
      </c>
      <c r="D558" s="5" t="s">
        <v>74</v>
      </c>
      <c r="E558" s="3" t="s">
        <v>1264</v>
      </c>
      <c r="F558" s="6">
        <v>59</v>
      </c>
      <c r="G558" s="6">
        <v>47</v>
      </c>
      <c r="H558" s="6">
        <v>0</v>
      </c>
      <c r="I558" s="7" t="s">
        <v>4421</v>
      </c>
      <c r="J558" s="3" t="s">
        <v>4423</v>
      </c>
      <c r="K558" s="8" t="s">
        <v>4321</v>
      </c>
      <c r="L558" s="9" t="s">
        <v>1270</v>
      </c>
      <c r="M558" s="1" t="s">
        <v>1271</v>
      </c>
    </row>
    <row r="559" spans="1:13" x14ac:dyDescent="0.3">
      <c r="A559" s="3">
        <v>1719138</v>
      </c>
      <c r="B559" s="4" t="s">
        <v>892</v>
      </c>
      <c r="C559" s="5" t="s">
        <v>1272</v>
      </c>
      <c r="D559" s="5" t="s">
        <v>74</v>
      </c>
      <c r="E559" s="3" t="s">
        <v>1264</v>
      </c>
      <c r="F559" s="6">
        <v>47.2</v>
      </c>
      <c r="G559" s="6">
        <v>17.7</v>
      </c>
      <c r="H559" s="6">
        <v>0</v>
      </c>
      <c r="I559" s="7" t="s">
        <v>4421</v>
      </c>
      <c r="J559" s="3" t="s">
        <v>4423</v>
      </c>
      <c r="K559" s="8" t="s">
        <v>4453</v>
      </c>
      <c r="L559" s="9" t="s">
        <v>1273</v>
      </c>
      <c r="M559" s="1" t="s">
        <v>1274</v>
      </c>
    </row>
    <row r="560" spans="1:13" x14ac:dyDescent="0.3">
      <c r="A560" s="3">
        <v>1719210</v>
      </c>
      <c r="B560" s="4" t="s">
        <v>892</v>
      </c>
      <c r="C560" s="5" t="s">
        <v>5283</v>
      </c>
      <c r="D560" s="5" t="s">
        <v>74</v>
      </c>
      <c r="E560" s="3" t="s">
        <v>14</v>
      </c>
      <c r="F560" s="6">
        <v>55</v>
      </c>
      <c r="G560" s="6">
        <v>18</v>
      </c>
      <c r="H560" s="6" t="s">
        <v>14</v>
      </c>
      <c r="I560" s="7" t="s">
        <v>4421</v>
      </c>
      <c r="J560" s="3" t="s">
        <v>5282</v>
      </c>
      <c r="K560" s="8">
        <v>0.1</v>
      </c>
      <c r="L560" s="9" t="s">
        <v>5279</v>
      </c>
      <c r="M560" s="1" t="s">
        <v>5281</v>
      </c>
    </row>
    <row r="561" spans="1:13" x14ac:dyDescent="0.3">
      <c r="A561" s="3">
        <v>1714012</v>
      </c>
      <c r="B561" s="4" t="s">
        <v>892</v>
      </c>
      <c r="C561" s="5" t="s">
        <v>921</v>
      </c>
      <c r="D561" s="5" t="s">
        <v>13</v>
      </c>
      <c r="E561" s="3" t="s">
        <v>14</v>
      </c>
      <c r="F561" s="6">
        <v>124</v>
      </c>
      <c r="G561" s="6">
        <v>98.5</v>
      </c>
      <c r="H561" s="6">
        <v>7</v>
      </c>
      <c r="I561" s="7" t="s">
        <v>4316</v>
      </c>
      <c r="J561" s="3" t="s">
        <v>4318</v>
      </c>
      <c r="K561" s="8" t="s">
        <v>4325</v>
      </c>
      <c r="L561" s="9" t="s">
        <v>922</v>
      </c>
      <c r="M561" s="1" t="s">
        <v>918</v>
      </c>
    </row>
    <row r="562" spans="1:13" x14ac:dyDescent="0.3">
      <c r="A562" s="3">
        <v>1719205</v>
      </c>
      <c r="B562" s="4" t="s">
        <v>892</v>
      </c>
      <c r="C562" s="5" t="s">
        <v>1269</v>
      </c>
      <c r="D562" s="5" t="s">
        <v>552</v>
      </c>
      <c r="E562" s="3" t="s">
        <v>14</v>
      </c>
      <c r="F562" s="6" t="s">
        <v>4783</v>
      </c>
      <c r="G562" s="6" t="s">
        <v>4783</v>
      </c>
      <c r="H562" s="6">
        <v>43</v>
      </c>
      <c r="I562" s="7" t="s">
        <v>14</v>
      </c>
      <c r="J562" s="3" t="s">
        <v>14</v>
      </c>
      <c r="K562" s="8" t="s">
        <v>14</v>
      </c>
      <c r="L562" s="9" t="s">
        <v>5016</v>
      </c>
      <c r="M562" s="1" t="s">
        <v>5225</v>
      </c>
    </row>
    <row r="563" spans="1:13" x14ac:dyDescent="0.3">
      <c r="A563" s="3">
        <v>1719013</v>
      </c>
      <c r="B563" s="4" t="s">
        <v>892</v>
      </c>
      <c r="C563" s="5" t="s">
        <v>923</v>
      </c>
      <c r="D563" s="5" t="s">
        <v>74</v>
      </c>
      <c r="E563" s="3" t="s">
        <v>14</v>
      </c>
      <c r="F563" s="6">
        <v>54</v>
      </c>
      <c r="G563" s="6">
        <v>33</v>
      </c>
      <c r="H563" s="6">
        <v>0</v>
      </c>
      <c r="I563" s="7" t="s">
        <v>4315</v>
      </c>
      <c r="J563" s="3" t="s">
        <v>4317</v>
      </c>
      <c r="K563" s="8" t="s">
        <v>4424</v>
      </c>
      <c r="L563" s="9" t="s">
        <v>924</v>
      </c>
      <c r="M563" s="24" t="s">
        <v>925</v>
      </c>
    </row>
    <row r="564" spans="1:13" x14ac:dyDescent="0.3">
      <c r="A564" s="3">
        <v>1710003</v>
      </c>
      <c r="B564" s="4" t="s">
        <v>892</v>
      </c>
      <c r="C564" s="5" t="s">
        <v>897</v>
      </c>
      <c r="D564" s="5" t="s">
        <v>96</v>
      </c>
      <c r="E564" s="3" t="s">
        <v>14</v>
      </c>
      <c r="F564" s="6">
        <v>36</v>
      </c>
      <c r="G564" s="6">
        <v>23.5</v>
      </c>
      <c r="H564" s="6">
        <v>22</v>
      </c>
      <c r="I564" s="7" t="s">
        <v>4315</v>
      </c>
      <c r="J564" s="3" t="s">
        <v>4317</v>
      </c>
      <c r="K564" s="8" t="s">
        <v>4340</v>
      </c>
      <c r="L564" s="9" t="s">
        <v>898</v>
      </c>
      <c r="M564" s="1" t="s">
        <v>899</v>
      </c>
    </row>
    <row r="565" spans="1:13" x14ac:dyDescent="0.3">
      <c r="A565" s="3">
        <v>1710025</v>
      </c>
      <c r="B565" s="4" t="s">
        <v>892</v>
      </c>
      <c r="C565" s="5" t="s">
        <v>956</v>
      </c>
      <c r="D565" s="5" t="s">
        <v>96</v>
      </c>
      <c r="E565" s="3" t="s">
        <v>14</v>
      </c>
      <c r="F565" s="6">
        <v>58</v>
      </c>
      <c r="G565" s="6">
        <v>56.3</v>
      </c>
      <c r="H565" s="6">
        <v>37</v>
      </c>
      <c r="I565" s="7" t="s">
        <v>4315</v>
      </c>
      <c r="J565" s="3" t="s">
        <v>4317</v>
      </c>
      <c r="K565" s="8" t="s">
        <v>4543</v>
      </c>
      <c r="L565" s="9" t="s">
        <v>957</v>
      </c>
      <c r="M565" s="1" t="s">
        <v>958</v>
      </c>
    </row>
    <row r="566" spans="1:13" x14ac:dyDescent="0.3">
      <c r="A566" s="3">
        <v>1716020</v>
      </c>
      <c r="B566" s="4" t="s">
        <v>892</v>
      </c>
      <c r="C566" s="5" t="s">
        <v>6499</v>
      </c>
      <c r="D566" s="5" t="s">
        <v>682</v>
      </c>
      <c r="E566" s="4" t="s">
        <v>943</v>
      </c>
      <c r="F566" s="6">
        <v>121</v>
      </c>
      <c r="G566" s="6">
        <v>80</v>
      </c>
      <c r="H566" s="6">
        <v>80</v>
      </c>
      <c r="I566" s="7" t="s">
        <v>4343</v>
      </c>
      <c r="J566" s="3" t="s">
        <v>4346</v>
      </c>
      <c r="K566" s="8" t="s">
        <v>4568</v>
      </c>
      <c r="L566" s="9" t="s">
        <v>944</v>
      </c>
      <c r="M566" s="1" t="s">
        <v>945</v>
      </c>
    </row>
    <row r="567" spans="1:13" x14ac:dyDescent="0.3">
      <c r="A567" s="3">
        <v>1714021</v>
      </c>
      <c r="B567" s="4" t="s">
        <v>892</v>
      </c>
      <c r="C567" s="5" t="s">
        <v>6499</v>
      </c>
      <c r="D567" s="5" t="s">
        <v>13</v>
      </c>
      <c r="E567" s="4" t="s">
        <v>943</v>
      </c>
      <c r="F567" s="6">
        <v>122.7</v>
      </c>
      <c r="G567" s="6">
        <v>81.7</v>
      </c>
      <c r="H567" s="6">
        <v>14.7</v>
      </c>
      <c r="I567" s="7" t="s">
        <v>4316</v>
      </c>
      <c r="J567" s="3" t="s">
        <v>4318</v>
      </c>
      <c r="K567" s="8" t="s">
        <v>4569</v>
      </c>
      <c r="L567" s="9" t="s">
        <v>946</v>
      </c>
      <c r="M567" s="1" t="s">
        <v>947</v>
      </c>
    </row>
    <row r="568" spans="1:13" x14ac:dyDescent="0.3">
      <c r="A568" s="3">
        <v>1719135</v>
      </c>
      <c r="B568" s="4" t="s">
        <v>892</v>
      </c>
      <c r="C568" s="5" t="s">
        <v>1263</v>
      </c>
      <c r="D568" s="5" t="s">
        <v>74</v>
      </c>
      <c r="E568" s="3" t="s">
        <v>1264</v>
      </c>
      <c r="F568" s="6">
        <v>41</v>
      </c>
      <c r="G568" s="6">
        <v>28</v>
      </c>
      <c r="H568" s="6">
        <v>0</v>
      </c>
      <c r="I568" s="7" t="s">
        <v>4421</v>
      </c>
      <c r="J568" s="3" t="s">
        <v>4423</v>
      </c>
      <c r="K568" s="8" t="s">
        <v>4405</v>
      </c>
      <c r="L568" s="9" t="s">
        <v>1265</v>
      </c>
      <c r="M568" s="1" t="s">
        <v>1266</v>
      </c>
    </row>
    <row r="569" spans="1:13" x14ac:dyDescent="0.3">
      <c r="A569" s="3">
        <v>1719122</v>
      </c>
      <c r="B569" s="4" t="s">
        <v>892</v>
      </c>
      <c r="C569" s="5" t="s">
        <v>1232</v>
      </c>
      <c r="D569" s="5" t="s">
        <v>74</v>
      </c>
      <c r="E569" s="3" t="s">
        <v>1233</v>
      </c>
      <c r="F569" s="6">
        <v>47.5</v>
      </c>
      <c r="G569" s="6">
        <v>42</v>
      </c>
      <c r="H569" s="6">
        <v>0</v>
      </c>
      <c r="I569" s="7" t="s">
        <v>4447</v>
      </c>
      <c r="J569" s="3" t="s">
        <v>4317</v>
      </c>
      <c r="K569" s="8" t="s">
        <v>4428</v>
      </c>
      <c r="L569" s="9" t="s">
        <v>1234</v>
      </c>
      <c r="M569" s="1" t="s">
        <v>1235</v>
      </c>
    </row>
    <row r="570" spans="1:13" x14ac:dyDescent="0.3">
      <c r="A570" s="3">
        <v>1731121</v>
      </c>
      <c r="B570" s="4" t="s">
        <v>892</v>
      </c>
      <c r="C570" s="5" t="s">
        <v>1228</v>
      </c>
      <c r="D570" s="5" t="s">
        <v>261</v>
      </c>
      <c r="E570" s="3" t="s">
        <v>1229</v>
      </c>
      <c r="F570" s="6">
        <v>2.2999999999999998</v>
      </c>
      <c r="G570" s="6">
        <v>1.5</v>
      </c>
      <c r="H570" s="6">
        <v>0.7</v>
      </c>
      <c r="I570" s="7" t="s">
        <v>4316</v>
      </c>
      <c r="J570" s="3" t="s">
        <v>4318</v>
      </c>
      <c r="K570" s="8" t="s">
        <v>4441</v>
      </c>
      <c r="L570" s="9" t="s">
        <v>1230</v>
      </c>
      <c r="M570" s="1" t="s">
        <v>1231</v>
      </c>
    </row>
    <row r="571" spans="1:13" x14ac:dyDescent="0.3">
      <c r="A571" s="3">
        <v>1721112</v>
      </c>
      <c r="B571" s="4" t="s">
        <v>892</v>
      </c>
      <c r="C571" s="5" t="s">
        <v>6737</v>
      </c>
      <c r="D571" s="5" t="s">
        <v>154</v>
      </c>
      <c r="E571" s="3" t="s">
        <v>1205</v>
      </c>
      <c r="F571" s="6">
        <v>48</v>
      </c>
      <c r="G571" s="6">
        <v>44</v>
      </c>
      <c r="H571" s="6">
        <v>26</v>
      </c>
      <c r="I571" s="7" t="s">
        <v>4316</v>
      </c>
      <c r="J571" s="3" t="s">
        <v>4318</v>
      </c>
      <c r="K571" s="8" t="s">
        <v>4436</v>
      </c>
      <c r="L571" s="9" t="s">
        <v>1206</v>
      </c>
      <c r="M571" s="1" t="s">
        <v>1207</v>
      </c>
    </row>
    <row r="572" spans="1:13" x14ac:dyDescent="0.3">
      <c r="A572" s="3">
        <v>1720113</v>
      </c>
      <c r="B572" s="4" t="s">
        <v>892</v>
      </c>
      <c r="C572" s="5" t="s">
        <v>6738</v>
      </c>
      <c r="D572" s="5" t="s">
        <v>264</v>
      </c>
      <c r="E572" s="3" t="s">
        <v>1205</v>
      </c>
      <c r="F572" s="6">
        <v>42.6</v>
      </c>
      <c r="G572" s="6">
        <v>13</v>
      </c>
      <c r="H572" s="6">
        <v>0</v>
      </c>
      <c r="I572" s="7" t="s">
        <v>4315</v>
      </c>
      <c r="J572" s="3" t="s">
        <v>4317</v>
      </c>
      <c r="K572" s="8" t="s">
        <v>4405</v>
      </c>
      <c r="L572" s="9" t="s">
        <v>1208</v>
      </c>
      <c r="M572" s="1" t="s">
        <v>1209</v>
      </c>
    </row>
    <row r="573" spans="1:13" x14ac:dyDescent="0.3">
      <c r="A573" s="3">
        <v>1721114</v>
      </c>
      <c r="B573" s="4" t="s">
        <v>892</v>
      </c>
      <c r="C573" s="5" t="s">
        <v>6738</v>
      </c>
      <c r="D573" s="5" t="s">
        <v>267</v>
      </c>
      <c r="E573" s="3" t="s">
        <v>1205</v>
      </c>
      <c r="F573" s="6">
        <v>53</v>
      </c>
      <c r="G573" s="6">
        <v>17</v>
      </c>
      <c r="H573" s="6">
        <v>0</v>
      </c>
      <c r="I573" s="7" t="s">
        <v>4315</v>
      </c>
      <c r="J573" s="3" t="s">
        <v>4317</v>
      </c>
      <c r="K573" s="8" t="s">
        <v>4567</v>
      </c>
      <c r="L573" s="9" t="s">
        <v>1210</v>
      </c>
      <c r="M573" s="1" t="s">
        <v>1211</v>
      </c>
    </row>
    <row r="574" spans="1:13" x14ac:dyDescent="0.3">
      <c r="A574" s="3">
        <v>1711103</v>
      </c>
      <c r="B574" s="4" t="s">
        <v>892</v>
      </c>
      <c r="C574" s="5" t="s">
        <v>6739</v>
      </c>
      <c r="D574" s="5" t="s">
        <v>154</v>
      </c>
      <c r="E574" s="3" t="s">
        <v>1183</v>
      </c>
      <c r="F574" s="6">
        <v>56.5</v>
      </c>
      <c r="G574" s="6">
        <v>55.5</v>
      </c>
      <c r="H574" s="6">
        <v>26.5</v>
      </c>
      <c r="I574" s="7" t="s">
        <v>4316</v>
      </c>
      <c r="J574" s="3" t="s">
        <v>4318</v>
      </c>
      <c r="K574" s="8" t="s">
        <v>4328</v>
      </c>
      <c r="L574" s="9" t="s">
        <v>1184</v>
      </c>
      <c r="M574" s="1" t="s">
        <v>1185</v>
      </c>
    </row>
    <row r="575" spans="1:13" x14ac:dyDescent="0.3">
      <c r="A575" s="3">
        <v>1720104</v>
      </c>
      <c r="B575" s="4" t="s">
        <v>892</v>
      </c>
      <c r="C575" s="5" t="s">
        <v>6740</v>
      </c>
      <c r="D575" s="5" t="s">
        <v>264</v>
      </c>
      <c r="E575" s="3" t="s">
        <v>1183</v>
      </c>
      <c r="F575" s="6">
        <v>55</v>
      </c>
      <c r="G575" s="6">
        <v>13</v>
      </c>
      <c r="H575" s="6">
        <v>0</v>
      </c>
      <c r="I575" s="7" t="s">
        <v>4315</v>
      </c>
      <c r="J575" s="3" t="s">
        <v>4317</v>
      </c>
      <c r="K575" s="8" t="s">
        <v>4575</v>
      </c>
      <c r="L575" s="9" t="s">
        <v>1186</v>
      </c>
      <c r="M575" s="1" t="s">
        <v>1187</v>
      </c>
    </row>
    <row r="576" spans="1:13" x14ac:dyDescent="0.3">
      <c r="A576" s="3">
        <v>1721105</v>
      </c>
      <c r="B576" s="4" t="s">
        <v>892</v>
      </c>
      <c r="C576" s="5" t="s">
        <v>6740</v>
      </c>
      <c r="D576" s="5" t="s">
        <v>267</v>
      </c>
      <c r="E576" s="3" t="s">
        <v>1183</v>
      </c>
      <c r="F576" s="6">
        <v>59</v>
      </c>
      <c r="G576" s="6">
        <v>17</v>
      </c>
      <c r="H576" s="6">
        <v>0</v>
      </c>
      <c r="I576" s="7" t="s">
        <v>4315</v>
      </c>
      <c r="J576" s="3" t="s">
        <v>4317</v>
      </c>
      <c r="K576" s="8" t="s">
        <v>4429</v>
      </c>
      <c r="L576" s="9" t="s">
        <v>1188</v>
      </c>
      <c r="M576" s="1" t="s">
        <v>1189</v>
      </c>
    </row>
    <row r="577" spans="1:13" x14ac:dyDescent="0.3">
      <c r="A577" s="3">
        <v>1711125</v>
      </c>
      <c r="B577" s="4" t="s">
        <v>892</v>
      </c>
      <c r="C577" s="5" t="s">
        <v>6733</v>
      </c>
      <c r="D577" s="5" t="s">
        <v>154</v>
      </c>
      <c r="E577" s="3" t="s">
        <v>1240</v>
      </c>
      <c r="F577" s="6">
        <v>63</v>
      </c>
      <c r="G577" s="6">
        <v>49</v>
      </c>
      <c r="H577" s="6">
        <v>20</v>
      </c>
      <c r="I577" s="7" t="s">
        <v>4316</v>
      </c>
      <c r="J577" s="3" t="s">
        <v>4318</v>
      </c>
      <c r="K577" s="8" t="s">
        <v>4597</v>
      </c>
      <c r="L577" s="9" t="s">
        <v>1241</v>
      </c>
      <c r="M577" s="1" t="s">
        <v>1242</v>
      </c>
    </row>
    <row r="578" spans="1:13" x14ac:dyDescent="0.3">
      <c r="A578" s="3">
        <v>1714128</v>
      </c>
      <c r="B578" s="4" t="s">
        <v>892</v>
      </c>
      <c r="C578" s="5" t="s">
        <v>6734</v>
      </c>
      <c r="D578" s="5" t="s">
        <v>392</v>
      </c>
      <c r="E578" s="3" t="s">
        <v>1240</v>
      </c>
      <c r="F578" s="6">
        <v>65</v>
      </c>
      <c r="G578" s="6">
        <v>51</v>
      </c>
      <c r="H578" s="6">
        <v>10</v>
      </c>
      <c r="I578" s="7" t="s">
        <v>4315</v>
      </c>
      <c r="J578" s="3" t="s">
        <v>4317</v>
      </c>
      <c r="K578" s="8" t="s">
        <v>4366</v>
      </c>
      <c r="L578" s="9" t="s">
        <v>1247</v>
      </c>
      <c r="M578" s="1" t="s">
        <v>6719</v>
      </c>
    </row>
    <row r="579" spans="1:13" x14ac:dyDescent="0.3">
      <c r="A579" s="3">
        <v>1719134</v>
      </c>
      <c r="B579" s="4" t="s">
        <v>892</v>
      </c>
      <c r="C579" s="5" t="s">
        <v>4847</v>
      </c>
      <c r="D579" s="5" t="s">
        <v>74</v>
      </c>
      <c r="E579" s="3" t="s">
        <v>6773</v>
      </c>
      <c r="F579" s="6">
        <v>68</v>
      </c>
      <c r="G579" s="6">
        <v>18</v>
      </c>
      <c r="H579" s="6">
        <v>0</v>
      </c>
      <c r="I579" s="7" t="s">
        <v>4421</v>
      </c>
      <c r="J579" s="3" t="s">
        <v>4423</v>
      </c>
      <c r="K579" s="8" t="s">
        <v>4364</v>
      </c>
      <c r="L579" s="9" t="s">
        <v>1261</v>
      </c>
      <c r="M579" s="1" t="s">
        <v>1262</v>
      </c>
    </row>
    <row r="580" spans="1:13" x14ac:dyDescent="0.3">
      <c r="A580" s="3">
        <v>1720130</v>
      </c>
      <c r="B580" s="4" t="s">
        <v>892</v>
      </c>
      <c r="C580" s="5" t="s">
        <v>6736</v>
      </c>
      <c r="D580" s="5" t="s">
        <v>264</v>
      </c>
      <c r="E580" s="3" t="s">
        <v>1251</v>
      </c>
      <c r="F580" s="6">
        <v>48</v>
      </c>
      <c r="G580" s="6">
        <v>19</v>
      </c>
      <c r="H580" s="6">
        <v>0</v>
      </c>
      <c r="I580" s="7" t="s">
        <v>3375</v>
      </c>
      <c r="J580" s="3" t="s">
        <v>4422</v>
      </c>
      <c r="K580" s="8" t="s">
        <v>4581</v>
      </c>
      <c r="L580" s="9" t="s">
        <v>1252</v>
      </c>
      <c r="M580" s="1" t="s">
        <v>1253</v>
      </c>
    </row>
    <row r="581" spans="1:13" x14ac:dyDescent="0.3">
      <c r="A581" s="3">
        <v>1721131</v>
      </c>
      <c r="B581" s="4" t="s">
        <v>892</v>
      </c>
      <c r="C581" s="5" t="s">
        <v>6736</v>
      </c>
      <c r="D581" s="5" t="s">
        <v>267</v>
      </c>
      <c r="E581" s="3" t="s">
        <v>1251</v>
      </c>
      <c r="F581" s="6">
        <v>62</v>
      </c>
      <c r="G581" s="6">
        <v>13</v>
      </c>
      <c r="H581" s="6">
        <v>0</v>
      </c>
      <c r="I581" s="7" t="s">
        <v>3375</v>
      </c>
      <c r="J581" s="3" t="s">
        <v>4422</v>
      </c>
      <c r="K581" s="8" t="s">
        <v>4433</v>
      </c>
      <c r="L581" s="9" t="s">
        <v>1254</v>
      </c>
      <c r="M581" s="24" t="s">
        <v>1255</v>
      </c>
    </row>
    <row r="582" spans="1:13" x14ac:dyDescent="0.3">
      <c r="A582" s="3">
        <v>1720132</v>
      </c>
      <c r="B582" s="4" t="s">
        <v>892</v>
      </c>
      <c r="C582" s="5" t="s">
        <v>6747</v>
      </c>
      <c r="D582" s="5" t="s">
        <v>264</v>
      </c>
      <c r="E582" s="3" t="s">
        <v>1256</v>
      </c>
      <c r="F582" s="6">
        <v>32.5</v>
      </c>
      <c r="G582" s="6">
        <v>7</v>
      </c>
      <c r="H582" s="6">
        <v>0</v>
      </c>
      <c r="I582" s="7" t="s">
        <v>3375</v>
      </c>
      <c r="J582" s="3" t="s">
        <v>4422</v>
      </c>
      <c r="K582" s="8" t="s">
        <v>4433</v>
      </c>
      <c r="L582" s="9" t="s">
        <v>1257</v>
      </c>
      <c r="M582" s="1" t="s">
        <v>1258</v>
      </c>
    </row>
    <row r="583" spans="1:13" x14ac:dyDescent="0.3">
      <c r="A583" s="3">
        <v>1721133</v>
      </c>
      <c r="B583" s="4" t="s">
        <v>892</v>
      </c>
      <c r="C583" s="5" t="s">
        <v>6747</v>
      </c>
      <c r="D583" s="5" t="s">
        <v>267</v>
      </c>
      <c r="E583" s="3" t="s">
        <v>1256</v>
      </c>
      <c r="F583" s="6">
        <v>54</v>
      </c>
      <c r="G583" s="6">
        <v>7</v>
      </c>
      <c r="H583" s="6">
        <v>0</v>
      </c>
      <c r="I583" s="7" t="s">
        <v>3375</v>
      </c>
      <c r="J583" s="3" t="s">
        <v>4422</v>
      </c>
      <c r="K583" s="8" t="s">
        <v>4427</v>
      </c>
      <c r="L583" s="9" t="s">
        <v>1259</v>
      </c>
      <c r="M583" s="1" t="s">
        <v>1260</v>
      </c>
    </row>
    <row r="584" spans="1:13" x14ac:dyDescent="0.3">
      <c r="A584" s="3">
        <v>1719167</v>
      </c>
      <c r="B584" s="4" t="s">
        <v>892</v>
      </c>
      <c r="C584" s="5" t="s">
        <v>6741</v>
      </c>
      <c r="D584" s="5" t="s">
        <v>154</v>
      </c>
      <c r="E584" s="3" t="s">
        <v>1342</v>
      </c>
      <c r="F584" s="6">
        <v>56</v>
      </c>
      <c r="G584" s="6">
        <v>47.5</v>
      </c>
      <c r="H584" s="6">
        <v>28</v>
      </c>
      <c r="I584" s="7" t="s">
        <v>4446</v>
      </c>
      <c r="J584" s="3" t="s">
        <v>4318</v>
      </c>
      <c r="K584" s="8">
        <v>1.1100000000000001</v>
      </c>
      <c r="L584" s="9" t="s">
        <v>1343</v>
      </c>
      <c r="M584" s="1" t="s">
        <v>1344</v>
      </c>
    </row>
    <row r="585" spans="1:13" x14ac:dyDescent="0.3">
      <c r="A585" s="3">
        <v>1719192</v>
      </c>
      <c r="B585" s="4" t="s">
        <v>892</v>
      </c>
      <c r="C585" s="5" t="s">
        <v>4982</v>
      </c>
      <c r="D585" s="5" t="s">
        <v>96</v>
      </c>
      <c r="E585" s="3" t="s">
        <v>4845</v>
      </c>
      <c r="F585" s="6">
        <v>62.5</v>
      </c>
      <c r="G585" s="6">
        <v>78.5</v>
      </c>
      <c r="H585" s="6">
        <v>44.3</v>
      </c>
      <c r="I585" s="7">
        <v>42</v>
      </c>
      <c r="J585" s="3" t="s">
        <v>4318</v>
      </c>
      <c r="K585" s="8">
        <v>3.68</v>
      </c>
      <c r="L585" s="9" t="s">
        <v>4835</v>
      </c>
      <c r="M585" s="1" t="s">
        <v>4997</v>
      </c>
    </row>
    <row r="586" spans="1:13" x14ac:dyDescent="0.3">
      <c r="A586" s="3">
        <v>1719193</v>
      </c>
      <c r="B586" s="4" t="s">
        <v>892</v>
      </c>
      <c r="C586" s="5" t="s">
        <v>5014</v>
      </c>
      <c r="D586" s="5" t="s">
        <v>4792</v>
      </c>
      <c r="E586" s="3" t="s">
        <v>4845</v>
      </c>
      <c r="F586" s="6">
        <v>62</v>
      </c>
      <c r="G586" s="6">
        <v>78</v>
      </c>
      <c r="H586" s="6">
        <v>44</v>
      </c>
      <c r="I586" s="7">
        <v>32</v>
      </c>
      <c r="J586" s="3" t="s">
        <v>4317</v>
      </c>
      <c r="K586" s="8">
        <v>0.27</v>
      </c>
      <c r="L586" s="9" t="s">
        <v>4836</v>
      </c>
      <c r="M586" s="1" t="s">
        <v>4879</v>
      </c>
    </row>
    <row r="587" spans="1:13" x14ac:dyDescent="0.3">
      <c r="A587" s="3">
        <v>1719185</v>
      </c>
      <c r="B587" s="4" t="s">
        <v>892</v>
      </c>
      <c r="C587" s="5" t="s">
        <v>4983</v>
      </c>
      <c r="D587" s="5" t="s">
        <v>96</v>
      </c>
      <c r="E587" s="3" t="s">
        <v>4841</v>
      </c>
      <c r="F587" s="6">
        <v>83.5</v>
      </c>
      <c r="G587" s="6">
        <v>64</v>
      </c>
      <c r="H587" s="6">
        <v>54</v>
      </c>
      <c r="I587" s="7">
        <v>42</v>
      </c>
      <c r="J587" s="3" t="s">
        <v>4318</v>
      </c>
      <c r="K587" s="8">
        <v>3.53</v>
      </c>
      <c r="L587" s="9" t="s">
        <v>4825</v>
      </c>
      <c r="M587" s="1" t="s">
        <v>4892</v>
      </c>
    </row>
    <row r="588" spans="1:13" x14ac:dyDescent="0.3">
      <c r="A588" s="3">
        <v>1719186</v>
      </c>
      <c r="B588" s="4" t="s">
        <v>892</v>
      </c>
      <c r="C588" s="5" t="s">
        <v>6478</v>
      </c>
      <c r="D588" s="5" t="s">
        <v>4792</v>
      </c>
      <c r="E588" s="3" t="s">
        <v>4841</v>
      </c>
      <c r="F588" s="6">
        <v>82</v>
      </c>
      <c r="G588" s="6">
        <v>63</v>
      </c>
      <c r="H588" s="6">
        <v>52</v>
      </c>
      <c r="I588" s="7">
        <v>32</v>
      </c>
      <c r="J588" s="3" t="s">
        <v>4318</v>
      </c>
      <c r="K588" s="8">
        <v>0.43</v>
      </c>
      <c r="L588" s="9" t="s">
        <v>4826</v>
      </c>
      <c r="M588" s="1" t="s">
        <v>4893</v>
      </c>
    </row>
    <row r="589" spans="1:13" x14ac:dyDescent="0.3">
      <c r="A589" s="3">
        <v>1719174</v>
      </c>
      <c r="B589" s="4" t="s">
        <v>892</v>
      </c>
      <c r="C589" s="5" t="s">
        <v>4984</v>
      </c>
      <c r="D589" s="5" t="s">
        <v>154</v>
      </c>
      <c r="E589" s="3" t="s">
        <v>4840</v>
      </c>
      <c r="F589" s="6">
        <v>130</v>
      </c>
      <c r="G589" s="6">
        <v>125</v>
      </c>
      <c r="H589" s="6">
        <v>78</v>
      </c>
      <c r="I589" s="7">
        <v>42</v>
      </c>
      <c r="J589" s="3" t="s">
        <v>4318</v>
      </c>
      <c r="K589" s="8">
        <v>7.26</v>
      </c>
      <c r="L589" s="9" t="s">
        <v>1355</v>
      </c>
      <c r="M589" s="24" t="s">
        <v>4999</v>
      </c>
    </row>
    <row r="590" spans="1:13" x14ac:dyDescent="0.3">
      <c r="A590" s="3">
        <v>1719176</v>
      </c>
      <c r="B590" s="4" t="s">
        <v>892</v>
      </c>
      <c r="C590" s="5" t="s">
        <v>4985</v>
      </c>
      <c r="D590" s="5" t="s">
        <v>392</v>
      </c>
      <c r="E590" s="3" t="s">
        <v>4840</v>
      </c>
      <c r="F590" s="6">
        <v>132</v>
      </c>
      <c r="G590" s="6">
        <v>127</v>
      </c>
      <c r="H590" s="6">
        <v>10</v>
      </c>
      <c r="I590" s="7">
        <v>32</v>
      </c>
      <c r="J590" s="3" t="s">
        <v>4317</v>
      </c>
      <c r="K590" s="8">
        <v>2.23</v>
      </c>
      <c r="L590" s="9" t="s">
        <v>1357</v>
      </c>
      <c r="M590" s="24" t="s">
        <v>4890</v>
      </c>
    </row>
    <row r="591" spans="1:13" x14ac:dyDescent="0.3">
      <c r="A591" s="3">
        <v>1719175</v>
      </c>
      <c r="B591" s="4" t="s">
        <v>892</v>
      </c>
      <c r="C591" s="5" t="s">
        <v>4986</v>
      </c>
      <c r="D591" s="5" t="s">
        <v>4792</v>
      </c>
      <c r="E591" s="3" t="s">
        <v>4840</v>
      </c>
      <c r="F591" s="6">
        <v>124</v>
      </c>
      <c r="G591" s="6">
        <v>129</v>
      </c>
      <c r="H591" s="6">
        <v>77</v>
      </c>
      <c r="I591" s="7">
        <v>42</v>
      </c>
      <c r="J591" s="3" t="s">
        <v>4318</v>
      </c>
      <c r="K591" s="8">
        <v>0.95</v>
      </c>
      <c r="L591" s="9" t="s">
        <v>1356</v>
      </c>
      <c r="M591" s="24" t="s">
        <v>4889</v>
      </c>
    </row>
    <row r="592" spans="1:13" x14ac:dyDescent="0.3">
      <c r="A592" s="3">
        <v>1719190</v>
      </c>
      <c r="B592" s="4" t="s">
        <v>892</v>
      </c>
      <c r="C592" s="5" t="s">
        <v>4987</v>
      </c>
      <c r="D592" s="5" t="s">
        <v>96</v>
      </c>
      <c r="E592" s="3" t="s">
        <v>4831</v>
      </c>
      <c r="F592" s="6">
        <v>32.5</v>
      </c>
      <c r="G592" s="6">
        <v>26.5</v>
      </c>
      <c r="H592" s="6">
        <v>15</v>
      </c>
      <c r="I592" s="7">
        <v>32</v>
      </c>
      <c r="J592" s="3" t="s">
        <v>4317</v>
      </c>
      <c r="K592" s="8">
        <v>0.52</v>
      </c>
      <c r="L592" s="9" t="s">
        <v>4829</v>
      </c>
      <c r="M592" s="1" t="s">
        <v>4894</v>
      </c>
    </row>
    <row r="593" spans="1:13" x14ac:dyDescent="0.3">
      <c r="A593" s="3">
        <v>1719191</v>
      </c>
      <c r="B593" s="4" t="s">
        <v>892</v>
      </c>
      <c r="C593" s="5" t="s">
        <v>4988</v>
      </c>
      <c r="D593" s="5" t="s">
        <v>4792</v>
      </c>
      <c r="E593" s="3" t="s">
        <v>4831</v>
      </c>
      <c r="F593" s="6">
        <v>32</v>
      </c>
      <c r="G593" s="6">
        <v>26</v>
      </c>
      <c r="H593" s="6">
        <v>14</v>
      </c>
      <c r="I593" s="7">
        <v>32</v>
      </c>
      <c r="J593" s="3" t="s">
        <v>4317</v>
      </c>
      <c r="K593" s="8">
        <v>0.04</v>
      </c>
      <c r="L593" s="9" t="s">
        <v>4830</v>
      </c>
      <c r="M593" s="1" t="s">
        <v>4895</v>
      </c>
    </row>
    <row r="594" spans="1:13" x14ac:dyDescent="0.3">
      <c r="A594" s="3">
        <v>1719194</v>
      </c>
      <c r="B594" s="4" t="s">
        <v>892</v>
      </c>
      <c r="C594" s="5" t="s">
        <v>4989</v>
      </c>
      <c r="D594" s="5" t="s">
        <v>154</v>
      </c>
      <c r="E594" s="3" t="s">
        <v>6445</v>
      </c>
      <c r="F594" s="6">
        <v>128.5</v>
      </c>
      <c r="G594" s="6">
        <v>67.5</v>
      </c>
      <c r="H594" s="6">
        <v>53</v>
      </c>
      <c r="I594" s="7">
        <v>42</v>
      </c>
      <c r="J594" s="3" t="s">
        <v>4318</v>
      </c>
      <c r="K594" s="8">
        <v>3.46</v>
      </c>
      <c r="L594" s="9" t="s">
        <v>4837</v>
      </c>
      <c r="M594" s="1" t="s">
        <v>4880</v>
      </c>
    </row>
    <row r="595" spans="1:13" x14ac:dyDescent="0.3">
      <c r="A595" s="3">
        <v>1719196</v>
      </c>
      <c r="B595" s="4" t="s">
        <v>892</v>
      </c>
      <c r="C595" s="5" t="s">
        <v>6446</v>
      </c>
      <c r="D595" s="5" t="s">
        <v>392</v>
      </c>
      <c r="E595" s="3" t="s">
        <v>6445</v>
      </c>
      <c r="F595" s="6">
        <v>129.5</v>
      </c>
      <c r="G595" s="6">
        <v>68.5</v>
      </c>
      <c r="H595" s="6">
        <v>10</v>
      </c>
      <c r="I595" s="7">
        <v>32</v>
      </c>
      <c r="J595" s="3" t="s">
        <v>4317</v>
      </c>
      <c r="K595" s="8">
        <v>1.32</v>
      </c>
      <c r="L595" s="9" t="s">
        <v>4839</v>
      </c>
      <c r="M595" s="1" t="s">
        <v>4882</v>
      </c>
    </row>
    <row r="596" spans="1:13" x14ac:dyDescent="0.3">
      <c r="A596" s="3">
        <v>1719195</v>
      </c>
      <c r="B596" s="4" t="s">
        <v>892</v>
      </c>
      <c r="C596" s="5" t="s">
        <v>4990</v>
      </c>
      <c r="D596" s="5" t="s">
        <v>4792</v>
      </c>
      <c r="E596" s="3" t="s">
        <v>6445</v>
      </c>
      <c r="F596" s="6">
        <v>127</v>
      </c>
      <c r="G596" s="6">
        <v>66</v>
      </c>
      <c r="H596" s="6">
        <v>52</v>
      </c>
      <c r="I596" s="7">
        <v>32</v>
      </c>
      <c r="J596" s="3" t="s">
        <v>4317</v>
      </c>
      <c r="K596" s="8">
        <v>0.66</v>
      </c>
      <c r="L596" s="9" t="s">
        <v>4838</v>
      </c>
      <c r="M596" s="1" t="s">
        <v>4881</v>
      </c>
    </row>
    <row r="597" spans="1:13" x14ac:dyDescent="0.3">
      <c r="A597" s="3">
        <v>1719169</v>
      </c>
      <c r="B597" s="4" t="s">
        <v>892</v>
      </c>
      <c r="C597" s="5" t="s">
        <v>4991</v>
      </c>
      <c r="D597" s="5" t="s">
        <v>96</v>
      </c>
      <c r="E597" s="3" t="s">
        <v>6444</v>
      </c>
      <c r="F597" s="6">
        <v>79</v>
      </c>
      <c r="G597" s="6">
        <v>39.5</v>
      </c>
      <c r="H597" s="6">
        <v>26</v>
      </c>
      <c r="I597" s="7">
        <v>42</v>
      </c>
      <c r="J597" s="3" t="s">
        <v>4318</v>
      </c>
      <c r="K597" s="8">
        <v>1.61</v>
      </c>
      <c r="L597" s="9" t="s">
        <v>1347</v>
      </c>
      <c r="M597" s="24" t="s">
        <v>4883</v>
      </c>
    </row>
    <row r="598" spans="1:13" x14ac:dyDescent="0.3">
      <c r="A598" s="3">
        <v>1719170</v>
      </c>
      <c r="B598" s="4" t="s">
        <v>892</v>
      </c>
      <c r="C598" s="5" t="s">
        <v>4992</v>
      </c>
      <c r="D598" s="5" t="s">
        <v>4792</v>
      </c>
      <c r="E598" s="3" t="s">
        <v>6444</v>
      </c>
      <c r="F598" s="6">
        <v>77.5</v>
      </c>
      <c r="G598" s="6">
        <v>38</v>
      </c>
      <c r="H598" s="6">
        <v>24</v>
      </c>
      <c r="I598" s="7">
        <v>32</v>
      </c>
      <c r="J598" s="3" t="s">
        <v>4318</v>
      </c>
      <c r="K598" s="8">
        <v>0.19</v>
      </c>
      <c r="L598" s="9" t="s">
        <v>1348</v>
      </c>
      <c r="M598" s="24" t="s">
        <v>4884</v>
      </c>
    </row>
    <row r="599" spans="1:13" x14ac:dyDescent="0.3">
      <c r="A599" s="3">
        <v>1719177</v>
      </c>
      <c r="B599" s="4" t="s">
        <v>892</v>
      </c>
      <c r="C599" s="5" t="s">
        <v>4993</v>
      </c>
      <c r="D599" s="5" t="s">
        <v>23</v>
      </c>
      <c r="E599" s="3" t="s">
        <v>4834</v>
      </c>
      <c r="F599" s="6">
        <v>156</v>
      </c>
      <c r="G599" s="6">
        <v>107</v>
      </c>
      <c r="H599" s="6">
        <v>33</v>
      </c>
      <c r="I599" s="7">
        <v>42</v>
      </c>
      <c r="J599" s="3" t="s">
        <v>4318</v>
      </c>
      <c r="K599" s="8">
        <v>4.62</v>
      </c>
      <c r="L599" s="9" t="s">
        <v>1358</v>
      </c>
      <c r="M599" s="24" t="s">
        <v>4998</v>
      </c>
    </row>
    <row r="600" spans="1:13" x14ac:dyDescent="0.3">
      <c r="A600" s="3">
        <v>1719179</v>
      </c>
      <c r="B600" s="4" t="s">
        <v>892</v>
      </c>
      <c r="C600" s="5" t="s">
        <v>4994</v>
      </c>
      <c r="D600" s="5" t="s">
        <v>392</v>
      </c>
      <c r="E600" s="3" t="s">
        <v>4834</v>
      </c>
      <c r="F600" s="6">
        <v>157</v>
      </c>
      <c r="G600" s="6">
        <v>109</v>
      </c>
      <c r="H600" s="6">
        <v>10</v>
      </c>
      <c r="I600" s="7">
        <v>32</v>
      </c>
      <c r="J600" s="3" t="s">
        <v>4317</v>
      </c>
      <c r="K600" s="8">
        <v>2.2799999999999998</v>
      </c>
      <c r="L600" s="9" t="s">
        <v>1360</v>
      </c>
      <c r="M600" s="24" t="s">
        <v>4996</v>
      </c>
    </row>
    <row r="601" spans="1:13" x14ac:dyDescent="0.3">
      <c r="A601" s="3">
        <v>1719178</v>
      </c>
      <c r="B601" s="4" t="s">
        <v>892</v>
      </c>
      <c r="C601" s="5" t="s">
        <v>4995</v>
      </c>
      <c r="D601" s="5" t="s">
        <v>4792</v>
      </c>
      <c r="E601" s="3" t="s">
        <v>4834</v>
      </c>
      <c r="F601" s="6">
        <v>155</v>
      </c>
      <c r="G601" s="6">
        <v>106</v>
      </c>
      <c r="H601" s="6">
        <v>32</v>
      </c>
      <c r="I601" s="7">
        <v>32</v>
      </c>
      <c r="J601" s="3" t="s">
        <v>4318</v>
      </c>
      <c r="K601" s="8">
        <v>0.5</v>
      </c>
      <c r="L601" s="9" t="s">
        <v>1359</v>
      </c>
      <c r="M601" s="24" t="s">
        <v>4891</v>
      </c>
    </row>
    <row r="602" spans="1:13" x14ac:dyDescent="0.3">
      <c r="A602" s="3">
        <v>1719171</v>
      </c>
      <c r="B602" s="4" t="s">
        <v>892</v>
      </c>
      <c r="C602" s="5" t="s">
        <v>5003</v>
      </c>
      <c r="D602" s="5" t="s">
        <v>96</v>
      </c>
      <c r="E602" s="3" t="s">
        <v>4846</v>
      </c>
      <c r="F602" s="6">
        <v>97</v>
      </c>
      <c r="G602" s="6">
        <v>57.5</v>
      </c>
      <c r="H602" s="6">
        <v>22</v>
      </c>
      <c r="I602" s="7">
        <v>42</v>
      </c>
      <c r="J602" s="3" t="s">
        <v>4318</v>
      </c>
      <c r="K602" s="8">
        <v>2.1800000000000002</v>
      </c>
      <c r="L602" s="9" t="s">
        <v>1349</v>
      </c>
      <c r="M602" s="24" t="s">
        <v>4887</v>
      </c>
    </row>
    <row r="603" spans="1:13" x14ac:dyDescent="0.3">
      <c r="A603" s="3">
        <v>1719172</v>
      </c>
      <c r="B603" s="4" t="s">
        <v>892</v>
      </c>
      <c r="C603" s="5" t="s">
        <v>5004</v>
      </c>
      <c r="D603" s="5" t="s">
        <v>4792</v>
      </c>
      <c r="E603" s="3" t="s">
        <v>4846</v>
      </c>
      <c r="F603" s="6">
        <v>96</v>
      </c>
      <c r="G603" s="6">
        <v>56</v>
      </c>
      <c r="H603" s="6">
        <v>20</v>
      </c>
      <c r="I603" s="7">
        <v>32</v>
      </c>
      <c r="J603" s="3" t="s">
        <v>4317</v>
      </c>
      <c r="K603" s="8">
        <v>0.16</v>
      </c>
      <c r="L603" s="9" t="s">
        <v>1350</v>
      </c>
      <c r="M603" s="24" t="s">
        <v>4888</v>
      </c>
    </row>
    <row r="604" spans="1:13" x14ac:dyDescent="0.3">
      <c r="A604" s="3">
        <v>1719215</v>
      </c>
      <c r="B604" s="4" t="s">
        <v>892</v>
      </c>
      <c r="C604" s="5" t="s">
        <v>5985</v>
      </c>
      <c r="D604" s="5" t="s">
        <v>5020</v>
      </c>
      <c r="E604" s="3" t="s">
        <v>5986</v>
      </c>
      <c r="F604" s="6">
        <v>7.5</v>
      </c>
      <c r="G604" s="6">
        <v>14.5</v>
      </c>
      <c r="H604" s="6">
        <v>22.5</v>
      </c>
      <c r="I604" s="26">
        <v>32</v>
      </c>
      <c r="J604" s="3" t="s">
        <v>4422</v>
      </c>
      <c r="K604" s="8"/>
      <c r="L604" s="9" t="s">
        <v>5987</v>
      </c>
      <c r="M604" s="1" t="s">
        <v>5989</v>
      </c>
    </row>
    <row r="605" spans="1:13" x14ac:dyDescent="0.3">
      <c r="A605" s="3">
        <v>1719214</v>
      </c>
      <c r="B605" s="4" t="s">
        <v>892</v>
      </c>
      <c r="C605" s="5" t="s">
        <v>5990</v>
      </c>
      <c r="D605" s="5" t="s">
        <v>74</v>
      </c>
      <c r="E605" s="3" t="s">
        <v>6774</v>
      </c>
      <c r="F605" s="6">
        <v>46</v>
      </c>
      <c r="G605" s="6">
        <v>52</v>
      </c>
      <c r="H605" s="6" t="s">
        <v>14</v>
      </c>
      <c r="I605" s="7"/>
      <c r="J605" s="3" t="s">
        <v>5282</v>
      </c>
      <c r="K605" s="8"/>
      <c r="L605" s="9" t="s">
        <v>5426</v>
      </c>
      <c r="M605" s="1" t="s">
        <v>5988</v>
      </c>
    </row>
    <row r="606" spans="1:13" x14ac:dyDescent="0.3">
      <c r="A606" s="3">
        <v>1719209</v>
      </c>
      <c r="B606" s="4" t="s">
        <v>892</v>
      </c>
      <c r="C606" s="5" t="s">
        <v>5277</v>
      </c>
      <c r="D606" s="5" t="s">
        <v>5069</v>
      </c>
      <c r="E606" s="3" t="s">
        <v>906</v>
      </c>
      <c r="F606" s="6">
        <v>43</v>
      </c>
      <c r="G606" s="6">
        <v>34</v>
      </c>
      <c r="H606" s="6">
        <v>4</v>
      </c>
      <c r="I606" s="7">
        <v>42</v>
      </c>
      <c r="J606" s="3" t="s">
        <v>4318</v>
      </c>
      <c r="K606" s="8">
        <v>0.21</v>
      </c>
      <c r="L606" s="9" t="s">
        <v>5278</v>
      </c>
      <c r="M606" s="1" t="s">
        <v>5280</v>
      </c>
    </row>
    <row r="607" spans="1:13" x14ac:dyDescent="0.3">
      <c r="A607" s="3">
        <v>1719235</v>
      </c>
      <c r="B607" s="4" t="s">
        <v>892</v>
      </c>
      <c r="C607" s="5" t="s">
        <v>6798</v>
      </c>
      <c r="D607" s="5" t="s">
        <v>4792</v>
      </c>
      <c r="E607" s="3" t="s">
        <v>14</v>
      </c>
      <c r="F607" s="6">
        <v>49.8</v>
      </c>
      <c r="G607" s="6">
        <v>31.8</v>
      </c>
      <c r="H607" s="6">
        <v>28</v>
      </c>
      <c r="I607" s="7">
        <v>32</v>
      </c>
      <c r="J607" s="3" t="s">
        <v>4317</v>
      </c>
      <c r="K607" s="8">
        <f>0.14+0.09</f>
        <v>0.23</v>
      </c>
      <c r="L607" s="9" t="s">
        <v>6799</v>
      </c>
      <c r="M607" s="1" t="s">
        <v>6808</v>
      </c>
    </row>
    <row r="608" spans="1:13" x14ac:dyDescent="0.3">
      <c r="A608" s="3">
        <v>1719213</v>
      </c>
      <c r="B608" s="4" t="s">
        <v>892</v>
      </c>
      <c r="C608" s="5" t="s">
        <v>6746</v>
      </c>
      <c r="D608" s="5" t="s">
        <v>74</v>
      </c>
      <c r="E608" s="3" t="s">
        <v>14</v>
      </c>
      <c r="F608" s="6">
        <v>54</v>
      </c>
      <c r="G608" s="6">
        <v>42</v>
      </c>
      <c r="H608" s="6" t="s">
        <v>14</v>
      </c>
      <c r="I608" s="7" t="s">
        <v>14</v>
      </c>
      <c r="J608" s="3" t="s">
        <v>5395</v>
      </c>
      <c r="K608" s="8"/>
      <c r="L608" s="9" t="s">
        <v>5396</v>
      </c>
      <c r="M608" s="1" t="s">
        <v>5398</v>
      </c>
    </row>
    <row r="609" spans="1:13" x14ac:dyDescent="0.3">
      <c r="A609" s="3">
        <v>1719234</v>
      </c>
      <c r="B609" s="4" t="s">
        <v>892</v>
      </c>
      <c r="C609" s="5" t="s">
        <v>6781</v>
      </c>
      <c r="D609" s="5" t="s">
        <v>74</v>
      </c>
      <c r="E609" s="3" t="s">
        <v>6782</v>
      </c>
      <c r="F609" s="6">
        <v>46</v>
      </c>
      <c r="G609" s="6">
        <v>33</v>
      </c>
      <c r="H609" s="6" t="s">
        <v>14</v>
      </c>
      <c r="I609" s="7" t="s">
        <v>6783</v>
      </c>
      <c r="J609" s="3" t="s">
        <v>4423</v>
      </c>
      <c r="K609" s="8">
        <v>0.15</v>
      </c>
      <c r="L609" s="9" t="s">
        <v>6784</v>
      </c>
      <c r="M609" s="1" t="s">
        <v>6789</v>
      </c>
    </row>
    <row r="610" spans="1:13" x14ac:dyDescent="0.3">
      <c r="A610" s="3">
        <v>1719222</v>
      </c>
      <c r="B610" s="4" t="s">
        <v>892</v>
      </c>
      <c r="C610" s="5" t="s">
        <v>6137</v>
      </c>
      <c r="D610" s="5" t="s">
        <v>552</v>
      </c>
      <c r="E610" s="3" t="s">
        <v>14</v>
      </c>
      <c r="F610" s="6" t="s">
        <v>4783</v>
      </c>
      <c r="G610" s="6" t="s">
        <v>4783</v>
      </c>
      <c r="H610" s="6" t="s">
        <v>5207</v>
      </c>
      <c r="I610" s="7" t="s">
        <v>6138</v>
      </c>
      <c r="J610" s="3" t="s">
        <v>14</v>
      </c>
      <c r="K610" s="8" t="s">
        <v>14</v>
      </c>
      <c r="L610" s="9" t="s">
        <v>6139</v>
      </c>
      <c r="M610" s="1" t="s">
        <v>6140</v>
      </c>
    </row>
    <row r="611" spans="1:13" x14ac:dyDescent="0.3">
      <c r="A611" s="3">
        <v>1719217</v>
      </c>
      <c r="B611" s="4" t="s">
        <v>892</v>
      </c>
      <c r="C611" s="5" t="s">
        <v>6125</v>
      </c>
      <c r="D611" s="5" t="s">
        <v>4792</v>
      </c>
      <c r="E611" s="3" t="s">
        <v>6113</v>
      </c>
      <c r="F611" s="6">
        <v>53.8</v>
      </c>
      <c r="G611" s="6">
        <v>57.9</v>
      </c>
      <c r="H611" s="6">
        <v>34.5</v>
      </c>
      <c r="I611" s="7">
        <v>32</v>
      </c>
      <c r="J611" s="3" t="s">
        <v>4317</v>
      </c>
      <c r="K611" s="8">
        <v>0.19</v>
      </c>
      <c r="L611" s="9" t="s">
        <v>6112</v>
      </c>
      <c r="M611" s="1" t="s">
        <v>6134</v>
      </c>
    </row>
    <row r="612" spans="1:13" x14ac:dyDescent="0.3">
      <c r="A612" s="3">
        <v>1719216</v>
      </c>
      <c r="B612" s="4" t="s">
        <v>892</v>
      </c>
      <c r="C612" s="5" t="s">
        <v>6124</v>
      </c>
      <c r="D612" s="5" t="s">
        <v>4792</v>
      </c>
      <c r="E612" s="3" t="s">
        <v>6123</v>
      </c>
      <c r="F612" s="6">
        <v>61.5</v>
      </c>
      <c r="G612" s="6">
        <v>53.5</v>
      </c>
      <c r="H612" s="6">
        <v>4.5</v>
      </c>
      <c r="I612" s="26">
        <v>32</v>
      </c>
      <c r="J612" s="3" t="s">
        <v>4422</v>
      </c>
      <c r="K612" s="8">
        <v>0.03</v>
      </c>
      <c r="L612" s="9" t="s">
        <v>6111</v>
      </c>
      <c r="M612" s="1" t="s">
        <v>6133</v>
      </c>
    </row>
    <row r="613" spans="1:13" x14ac:dyDescent="0.3">
      <c r="A613" s="3">
        <v>1719218</v>
      </c>
      <c r="B613" s="4" t="s">
        <v>892</v>
      </c>
      <c r="C613" s="5" t="s">
        <v>6243</v>
      </c>
      <c r="D613" s="5" t="s">
        <v>96</v>
      </c>
      <c r="E613" s="3" t="s">
        <v>6126</v>
      </c>
      <c r="F613" s="6">
        <v>79</v>
      </c>
      <c r="G613" s="6">
        <v>55</v>
      </c>
      <c r="H613" s="6">
        <v>26.5</v>
      </c>
      <c r="I613" s="7">
        <v>32</v>
      </c>
      <c r="J613" s="3" t="s">
        <v>4317</v>
      </c>
      <c r="K613" s="8">
        <f>2.23/2</f>
        <v>1.115</v>
      </c>
      <c r="L613" s="9" t="s">
        <v>6127</v>
      </c>
      <c r="M613" s="1" t="s">
        <v>6135</v>
      </c>
    </row>
    <row r="614" spans="1:13" x14ac:dyDescent="0.3">
      <c r="A614" s="3">
        <v>1719219</v>
      </c>
      <c r="B614" s="4" t="s">
        <v>892</v>
      </c>
      <c r="C614" s="5" t="s">
        <v>6244</v>
      </c>
      <c r="D614" s="5" t="s">
        <v>4792</v>
      </c>
      <c r="E614" s="3" t="s">
        <v>6126</v>
      </c>
      <c r="F614" s="6">
        <v>54</v>
      </c>
      <c r="G614" s="6">
        <v>78</v>
      </c>
      <c r="H614" s="6">
        <v>10</v>
      </c>
      <c r="I614" s="7">
        <v>32</v>
      </c>
      <c r="J614" s="3" t="s">
        <v>4317</v>
      </c>
      <c r="K614" s="8">
        <v>0.05</v>
      </c>
      <c r="L614" s="9" t="s">
        <v>6128</v>
      </c>
      <c r="M614" s="1" t="s">
        <v>6136</v>
      </c>
    </row>
    <row r="615" spans="1:13" x14ac:dyDescent="0.3">
      <c r="A615" s="3">
        <v>1719221</v>
      </c>
      <c r="B615" s="4" t="s">
        <v>892</v>
      </c>
      <c r="C615" s="5" t="s">
        <v>6247</v>
      </c>
      <c r="D615" s="5" t="s">
        <v>4792</v>
      </c>
      <c r="E615" s="3" t="s">
        <v>6248</v>
      </c>
      <c r="F615" s="6">
        <v>48</v>
      </c>
      <c r="G615" s="6">
        <v>59.5</v>
      </c>
      <c r="H615" s="6">
        <v>25</v>
      </c>
      <c r="I615" s="7">
        <v>32</v>
      </c>
      <c r="J615" s="3" t="s">
        <v>4317</v>
      </c>
      <c r="K615" s="8">
        <v>0.12</v>
      </c>
      <c r="L615" s="9" t="s">
        <v>6130</v>
      </c>
      <c r="M615" s="1" t="s">
        <v>6262</v>
      </c>
    </row>
    <row r="616" spans="1:13" x14ac:dyDescent="0.3">
      <c r="A616" s="3">
        <v>1719220</v>
      </c>
      <c r="B616" s="4" t="s">
        <v>892</v>
      </c>
      <c r="C616" s="5" t="s">
        <v>6245</v>
      </c>
      <c r="D616" s="5" t="s">
        <v>4792</v>
      </c>
      <c r="E616" s="3" t="s">
        <v>6246</v>
      </c>
      <c r="F616" s="6">
        <v>56</v>
      </c>
      <c r="G616" s="6">
        <v>60</v>
      </c>
      <c r="H616" s="6">
        <v>23</v>
      </c>
      <c r="I616" s="7">
        <v>32</v>
      </c>
      <c r="J616" s="3" t="s">
        <v>4317</v>
      </c>
      <c r="K616" s="8">
        <v>0.14000000000000001</v>
      </c>
      <c r="L616" s="9" t="s">
        <v>6129</v>
      </c>
      <c r="M616" s="1" t="s">
        <v>6261</v>
      </c>
    </row>
    <row r="617" spans="1:13" x14ac:dyDescent="0.3">
      <c r="A617" s="3">
        <v>1719224</v>
      </c>
      <c r="B617" s="4" t="s">
        <v>892</v>
      </c>
      <c r="C617" s="5" t="s">
        <v>6302</v>
      </c>
      <c r="D617" s="5" t="s">
        <v>96</v>
      </c>
      <c r="E617" s="3" t="s">
        <v>6304</v>
      </c>
      <c r="F617" s="6">
        <v>55.8</v>
      </c>
      <c r="G617" s="6">
        <v>47.8</v>
      </c>
      <c r="H617" s="6">
        <v>17.600000000000001</v>
      </c>
      <c r="I617" s="7">
        <v>42</v>
      </c>
      <c r="J617" s="3" t="s">
        <v>4318</v>
      </c>
      <c r="K617" s="8">
        <v>1.38</v>
      </c>
      <c r="L617" s="9" t="s">
        <v>6305</v>
      </c>
      <c r="M617" s="1" t="s">
        <v>6313</v>
      </c>
    </row>
    <row r="618" spans="1:13" x14ac:dyDescent="0.3">
      <c r="A618" s="3">
        <v>1719225</v>
      </c>
      <c r="B618" s="4" t="s">
        <v>892</v>
      </c>
      <c r="C618" s="5" t="s">
        <v>6303</v>
      </c>
      <c r="D618" s="5" t="s">
        <v>4792</v>
      </c>
      <c r="E618" s="3" t="s">
        <v>6304</v>
      </c>
      <c r="F618" s="6">
        <v>55</v>
      </c>
      <c r="G618" s="6">
        <v>47</v>
      </c>
      <c r="H618" s="6">
        <v>15</v>
      </c>
      <c r="I618" s="7">
        <v>32</v>
      </c>
      <c r="J618" s="3" t="s">
        <v>4317</v>
      </c>
      <c r="K618" s="8">
        <v>0.15</v>
      </c>
      <c r="L618" s="9" t="s">
        <v>6306</v>
      </c>
      <c r="M618" s="1" t="s">
        <v>6314</v>
      </c>
    </row>
    <row r="619" spans="1:13" x14ac:dyDescent="0.3">
      <c r="A619" s="3">
        <v>1719226</v>
      </c>
      <c r="B619" s="4" t="s">
        <v>892</v>
      </c>
      <c r="C619" s="5" t="s">
        <v>6309</v>
      </c>
      <c r="D619" s="5" t="s">
        <v>96</v>
      </c>
      <c r="E619" s="3" t="s">
        <v>6311</v>
      </c>
      <c r="F619" s="6">
        <v>88</v>
      </c>
      <c r="G619" s="6">
        <v>70</v>
      </c>
      <c r="H619" s="6">
        <v>37.5</v>
      </c>
      <c r="I619" s="7">
        <v>42</v>
      </c>
      <c r="J619" s="3" t="s">
        <v>4318</v>
      </c>
      <c r="K619" s="8">
        <v>3.48</v>
      </c>
      <c r="L619" s="9" t="s">
        <v>6307</v>
      </c>
      <c r="M619" s="1" t="s">
        <v>6315</v>
      </c>
    </row>
    <row r="620" spans="1:13" x14ac:dyDescent="0.3">
      <c r="A620" s="3">
        <v>1719227</v>
      </c>
      <c r="B620" s="4" t="s">
        <v>892</v>
      </c>
      <c r="C620" s="5" t="s">
        <v>6310</v>
      </c>
      <c r="D620" s="5" t="s">
        <v>96</v>
      </c>
      <c r="E620" s="3" t="s">
        <v>6312</v>
      </c>
      <c r="F620" s="6">
        <v>91</v>
      </c>
      <c r="G620" s="6">
        <v>57</v>
      </c>
      <c r="H620" s="6">
        <v>37.5</v>
      </c>
      <c r="I620" s="7">
        <v>42</v>
      </c>
      <c r="J620" s="3" t="s">
        <v>4318</v>
      </c>
      <c r="K620" s="8">
        <v>2.87</v>
      </c>
      <c r="L620" s="9" t="s">
        <v>6308</v>
      </c>
      <c r="M620" s="1" t="s">
        <v>6316</v>
      </c>
    </row>
    <row r="621" spans="1:13" x14ac:dyDescent="0.3">
      <c r="A621" s="3">
        <v>1719232</v>
      </c>
      <c r="B621" s="4" t="s">
        <v>892</v>
      </c>
      <c r="C621" s="5" t="s">
        <v>6610</v>
      </c>
      <c r="D621" s="5" t="s">
        <v>74</v>
      </c>
      <c r="E621" s="3" t="s">
        <v>6566</v>
      </c>
      <c r="F621" s="6">
        <v>53.5</v>
      </c>
      <c r="G621" s="6">
        <v>39</v>
      </c>
      <c r="H621" s="6" t="s">
        <v>14</v>
      </c>
      <c r="I621" s="7">
        <v>32</v>
      </c>
      <c r="J621" s="3" t="s">
        <v>4317</v>
      </c>
      <c r="K621" s="8">
        <v>0.21</v>
      </c>
      <c r="L621" s="9" t="s">
        <v>6565</v>
      </c>
      <c r="M621" s="1" t="s">
        <v>6575</v>
      </c>
    </row>
    <row r="622" spans="1:13" x14ac:dyDescent="0.3">
      <c r="A622" s="3">
        <v>1719231</v>
      </c>
      <c r="B622" s="4" t="s">
        <v>892</v>
      </c>
      <c r="C622" s="5" t="s">
        <v>6609</v>
      </c>
      <c r="D622" s="5" t="s">
        <v>74</v>
      </c>
      <c r="E622" s="3" t="s">
        <v>6561</v>
      </c>
      <c r="F622" s="6">
        <v>54.5</v>
      </c>
      <c r="G622" s="6">
        <v>14.5</v>
      </c>
      <c r="H622" s="6" t="s">
        <v>14</v>
      </c>
      <c r="I622" s="7">
        <v>32</v>
      </c>
      <c r="J622" s="3" t="s">
        <v>4317</v>
      </c>
      <c r="K622" s="8">
        <v>0.08</v>
      </c>
      <c r="L622" s="9" t="s">
        <v>6564</v>
      </c>
      <c r="M622" s="1" t="s">
        <v>6574</v>
      </c>
    </row>
    <row r="623" spans="1:13" x14ac:dyDescent="0.3">
      <c r="A623" s="3">
        <v>1719230</v>
      </c>
      <c r="B623" s="4" t="s">
        <v>892</v>
      </c>
      <c r="C623" s="5" t="s">
        <v>6608</v>
      </c>
      <c r="D623" s="5" t="s">
        <v>6562</v>
      </c>
      <c r="E623" s="3" t="s">
        <v>6561</v>
      </c>
      <c r="F623" s="6">
        <v>45.5</v>
      </c>
      <c r="G623" s="6">
        <v>29</v>
      </c>
      <c r="H623" s="6">
        <v>5.5</v>
      </c>
      <c r="I623" s="7">
        <v>42</v>
      </c>
      <c r="J623" s="3" t="s">
        <v>4318</v>
      </c>
      <c r="K623" s="8">
        <v>0.31</v>
      </c>
      <c r="L623" s="9" t="s">
        <v>6563</v>
      </c>
      <c r="M623" s="1" t="s">
        <v>6573</v>
      </c>
    </row>
    <row r="624" spans="1:13" x14ac:dyDescent="0.3">
      <c r="A624" s="3">
        <v>1719236</v>
      </c>
      <c r="B624" s="4" t="s">
        <v>892</v>
      </c>
      <c r="C624" s="5" t="s">
        <v>6950</v>
      </c>
      <c r="D624" s="5" t="s">
        <v>4792</v>
      </c>
      <c r="E624" s="3" t="s">
        <v>14</v>
      </c>
      <c r="F624" s="6">
        <v>20</v>
      </c>
      <c r="G624" s="6">
        <v>29.4</v>
      </c>
      <c r="H624" s="6">
        <v>4.8</v>
      </c>
      <c r="I624" s="7" t="s">
        <v>6324</v>
      </c>
      <c r="J624" s="3" t="s">
        <v>4422</v>
      </c>
      <c r="K624" s="8">
        <f>0.02+0.01</f>
        <v>0.03</v>
      </c>
      <c r="L624" s="9" t="s">
        <v>6800</v>
      </c>
      <c r="M624" s="1" t="s">
        <v>6809</v>
      </c>
    </row>
    <row r="625" spans="1:13" x14ac:dyDescent="0.3">
      <c r="A625" s="3">
        <v>1719239</v>
      </c>
      <c r="B625" s="4" t="s">
        <v>892</v>
      </c>
      <c r="C625" s="5" t="s">
        <v>7842</v>
      </c>
      <c r="D625" s="5" t="s">
        <v>4792</v>
      </c>
      <c r="E625" s="3" t="s">
        <v>14</v>
      </c>
      <c r="F625" s="6">
        <v>53.6</v>
      </c>
      <c r="G625" s="6">
        <v>48</v>
      </c>
      <c r="H625" s="6">
        <v>5</v>
      </c>
      <c r="I625" s="7">
        <v>26</v>
      </c>
      <c r="J625" s="3" t="s">
        <v>4317</v>
      </c>
      <c r="K625" s="8">
        <f>0.02+0.03</f>
        <v>0.05</v>
      </c>
      <c r="L625" s="9" t="s">
        <v>7843</v>
      </c>
      <c r="M625" s="1" t="s">
        <v>7844</v>
      </c>
    </row>
    <row r="626" spans="1:13" x14ac:dyDescent="0.3">
      <c r="A626" s="3">
        <v>1719241</v>
      </c>
      <c r="B626" s="4" t="s">
        <v>892</v>
      </c>
      <c r="C626" s="5" t="s">
        <v>7926</v>
      </c>
      <c r="D626" s="5" t="s">
        <v>4792</v>
      </c>
      <c r="E626" s="3" t="s">
        <v>7927</v>
      </c>
      <c r="F626" s="6">
        <v>57.5</v>
      </c>
      <c r="G626" s="6">
        <v>54</v>
      </c>
      <c r="H626" s="6" t="s">
        <v>7928</v>
      </c>
      <c r="I626" s="7" t="s">
        <v>6324</v>
      </c>
      <c r="J626" s="3" t="s">
        <v>4422</v>
      </c>
      <c r="K626" s="8">
        <f>0.28+0.08</f>
        <v>0.36000000000000004</v>
      </c>
      <c r="L626" s="9" t="s">
        <v>7929</v>
      </c>
      <c r="M626" s="1" t="s">
        <v>7930</v>
      </c>
    </row>
    <row r="627" spans="1:13" x14ac:dyDescent="0.3">
      <c r="A627" s="3">
        <v>1719240</v>
      </c>
      <c r="B627" s="4" t="s">
        <v>892</v>
      </c>
      <c r="C627" s="5" t="s">
        <v>7923</v>
      </c>
      <c r="D627" s="5" t="s">
        <v>4914</v>
      </c>
      <c r="E627" s="3" t="s">
        <v>14</v>
      </c>
      <c r="F627" s="6">
        <v>51.4</v>
      </c>
      <c r="G627" s="6">
        <v>16.5</v>
      </c>
      <c r="H627" s="6">
        <v>3.5</v>
      </c>
      <c r="I627" s="7" t="s">
        <v>6324</v>
      </c>
      <c r="J627" s="3" t="s">
        <v>4422</v>
      </c>
      <c r="K627" s="8">
        <v>0.11</v>
      </c>
      <c r="L627" s="9" t="s">
        <v>7924</v>
      </c>
      <c r="M627" s="1" t="s">
        <v>7925</v>
      </c>
    </row>
    <row r="628" spans="1:13" x14ac:dyDescent="0.3">
      <c r="A628" s="3">
        <v>1719242</v>
      </c>
      <c r="B628" s="4" t="s">
        <v>892</v>
      </c>
      <c r="C628" s="5" t="s">
        <v>8003</v>
      </c>
      <c r="D628" s="5" t="s">
        <v>4792</v>
      </c>
      <c r="E628" s="3" t="s">
        <v>14</v>
      </c>
      <c r="F628" s="6">
        <v>55</v>
      </c>
      <c r="G628" s="6">
        <v>47</v>
      </c>
      <c r="H628" s="6">
        <v>4</v>
      </c>
      <c r="I628" s="7" t="s">
        <v>6324</v>
      </c>
      <c r="J628" s="3" t="s">
        <v>4422</v>
      </c>
      <c r="K628" s="8">
        <v>0.2</v>
      </c>
      <c r="L628" s="9" t="s">
        <v>8004</v>
      </c>
      <c r="M628" s="1"/>
    </row>
    <row r="629" spans="1:13" x14ac:dyDescent="0.3">
      <c r="A629" s="3">
        <v>1719243</v>
      </c>
      <c r="B629" s="4" t="s">
        <v>892</v>
      </c>
      <c r="C629" s="5" t="s">
        <v>8039</v>
      </c>
      <c r="D629" s="5"/>
      <c r="E629" s="3"/>
      <c r="F629" s="6"/>
      <c r="G629" s="6"/>
      <c r="H629" s="6"/>
      <c r="I629" s="7"/>
      <c r="J629" s="3"/>
      <c r="K629" s="8"/>
      <c r="L629" s="9"/>
      <c r="M629" s="1"/>
    </row>
    <row r="630" spans="1:13" s="82" customFormat="1" x14ac:dyDescent="0.3">
      <c r="A630" s="74">
        <v>1720023</v>
      </c>
      <c r="B630" s="75" t="s">
        <v>892</v>
      </c>
      <c r="C630" s="76" t="s">
        <v>951</v>
      </c>
      <c r="D630" s="76" t="s">
        <v>264</v>
      </c>
      <c r="E630" s="74" t="s">
        <v>6731</v>
      </c>
      <c r="F630" s="77">
        <v>57.3</v>
      </c>
      <c r="G630" s="77">
        <v>19.5</v>
      </c>
      <c r="H630" s="77">
        <v>0</v>
      </c>
      <c r="I630" s="78" t="s">
        <v>4315</v>
      </c>
      <c r="J630" s="74" t="s">
        <v>4317</v>
      </c>
      <c r="K630" s="79" t="s">
        <v>4357</v>
      </c>
      <c r="L630" s="80" t="s">
        <v>952</v>
      </c>
      <c r="M630" s="81" t="s">
        <v>953</v>
      </c>
    </row>
    <row r="631" spans="1:13" x14ac:dyDescent="0.3">
      <c r="A631" s="3">
        <v>1721024</v>
      </c>
      <c r="B631" s="4" t="s">
        <v>892</v>
      </c>
      <c r="C631" s="5" t="s">
        <v>951</v>
      </c>
      <c r="D631" s="5" t="s">
        <v>267</v>
      </c>
      <c r="E631" s="3" t="s">
        <v>6731</v>
      </c>
      <c r="F631" s="6">
        <v>53.5</v>
      </c>
      <c r="G631" s="6">
        <v>19.5</v>
      </c>
      <c r="H631" s="6">
        <v>0</v>
      </c>
      <c r="I631" s="7" t="s">
        <v>4315</v>
      </c>
      <c r="J631" s="3" t="s">
        <v>4317</v>
      </c>
      <c r="K631" s="8" t="s">
        <v>4350</v>
      </c>
      <c r="L631" s="9" t="s">
        <v>954</v>
      </c>
      <c r="M631" s="1" t="s">
        <v>955</v>
      </c>
    </row>
    <row r="632" spans="1:13" x14ac:dyDescent="0.3">
      <c r="A632" s="3">
        <v>1719165</v>
      </c>
      <c r="B632" s="4" t="s">
        <v>892</v>
      </c>
      <c r="C632" s="5" t="s">
        <v>1337</v>
      </c>
      <c r="D632" s="5" t="s">
        <v>74</v>
      </c>
      <c r="E632" s="3" t="s">
        <v>1337</v>
      </c>
      <c r="F632" s="6">
        <v>47.5</v>
      </c>
      <c r="G632" s="6">
        <v>42</v>
      </c>
      <c r="H632" s="6">
        <v>0</v>
      </c>
      <c r="I632" s="7" t="s">
        <v>4315</v>
      </c>
      <c r="J632" s="3" t="s">
        <v>4317</v>
      </c>
      <c r="K632" s="8" t="s">
        <v>4428</v>
      </c>
      <c r="L632" s="9" t="s">
        <v>1338</v>
      </c>
      <c r="M632" s="1" t="s">
        <v>1339</v>
      </c>
    </row>
    <row r="633" spans="1:13" x14ac:dyDescent="0.3">
      <c r="A633" s="3">
        <v>1719212</v>
      </c>
      <c r="B633" s="4" t="s">
        <v>892</v>
      </c>
      <c r="C633" s="5" t="s">
        <v>5393</v>
      </c>
      <c r="D633" s="5" t="s">
        <v>74</v>
      </c>
      <c r="E633" s="3" t="s">
        <v>14</v>
      </c>
      <c r="F633" s="6"/>
      <c r="G633" s="6"/>
      <c r="H633" s="6"/>
      <c r="I633" s="7" t="s">
        <v>14</v>
      </c>
      <c r="J633" s="3" t="s">
        <v>5282</v>
      </c>
      <c r="K633" s="8"/>
      <c r="L633" s="9" t="s">
        <v>5394</v>
      </c>
      <c r="M633" s="1" t="s">
        <v>5397</v>
      </c>
    </row>
    <row r="634" spans="1:13" x14ac:dyDescent="0.3">
      <c r="A634" s="3">
        <v>1719204</v>
      </c>
      <c r="B634" s="4" t="s">
        <v>892</v>
      </c>
      <c r="C634" s="5" t="s">
        <v>1737</v>
      </c>
      <c r="D634" s="5" t="s">
        <v>23</v>
      </c>
      <c r="E634" s="3" t="s">
        <v>1737</v>
      </c>
      <c r="F634" s="6">
        <v>56</v>
      </c>
      <c r="G634" s="6">
        <v>49.3</v>
      </c>
      <c r="H634" s="6">
        <v>28</v>
      </c>
      <c r="I634" s="7">
        <v>42</v>
      </c>
      <c r="J634" s="3" t="s">
        <v>4318</v>
      </c>
      <c r="K634" s="8">
        <v>1.1399999999999999</v>
      </c>
      <c r="L634" s="9" t="s">
        <v>5013</v>
      </c>
      <c r="M634" s="1" t="s">
        <v>5103</v>
      </c>
    </row>
    <row r="635" spans="1:13" x14ac:dyDescent="0.3">
      <c r="A635" s="3">
        <v>1719202</v>
      </c>
      <c r="B635" s="4" t="s">
        <v>892</v>
      </c>
      <c r="C635" s="5" t="s">
        <v>6766</v>
      </c>
      <c r="D635" s="5" t="s">
        <v>5069</v>
      </c>
      <c r="E635" s="3" t="s">
        <v>1737</v>
      </c>
      <c r="F635" s="6">
        <v>48.5</v>
      </c>
      <c r="G635" s="6">
        <v>40</v>
      </c>
      <c r="H635" s="6">
        <v>5</v>
      </c>
      <c r="I635" s="7">
        <v>42</v>
      </c>
      <c r="J635" s="3" t="s">
        <v>4318</v>
      </c>
      <c r="K635" s="8">
        <v>0.28999999999999998</v>
      </c>
      <c r="L635" s="9" t="s">
        <v>4970</v>
      </c>
      <c r="M635" s="1" t="s">
        <v>4971</v>
      </c>
    </row>
    <row r="636" spans="1:13" x14ac:dyDescent="0.3">
      <c r="A636" s="3">
        <v>1728067</v>
      </c>
      <c r="B636" s="4" t="s">
        <v>892</v>
      </c>
      <c r="C636" s="5" t="s">
        <v>1080</v>
      </c>
      <c r="D636" s="5" t="s">
        <v>552</v>
      </c>
      <c r="E636" s="3" t="s">
        <v>1081</v>
      </c>
      <c r="F636" s="6">
        <v>5.0999999999999996</v>
      </c>
      <c r="G636" s="6">
        <v>5.0999999999999996</v>
      </c>
      <c r="H636" s="6">
        <v>24.5</v>
      </c>
      <c r="I636" s="7" t="s">
        <v>14</v>
      </c>
      <c r="J636" s="3" t="s">
        <v>14</v>
      </c>
      <c r="K636" s="8" t="s">
        <v>14</v>
      </c>
      <c r="L636" s="9" t="s">
        <v>1082</v>
      </c>
      <c r="M636" s="1" t="s">
        <v>1083</v>
      </c>
    </row>
    <row r="637" spans="1:13" x14ac:dyDescent="0.3">
      <c r="A637" s="3">
        <v>17208072</v>
      </c>
      <c r="B637" s="4" t="s">
        <v>892</v>
      </c>
      <c r="C637" s="5" t="s">
        <v>1096</v>
      </c>
      <c r="D637" s="5" t="s">
        <v>552</v>
      </c>
      <c r="E637" s="3" t="s">
        <v>1087</v>
      </c>
      <c r="F637" s="6" t="s">
        <v>14</v>
      </c>
      <c r="G637" s="6" t="s">
        <v>14</v>
      </c>
      <c r="H637" s="6" t="s">
        <v>14</v>
      </c>
      <c r="I637" s="7" t="s">
        <v>14</v>
      </c>
      <c r="J637" s="3" t="s">
        <v>14</v>
      </c>
      <c r="K637" s="8" t="s">
        <v>14</v>
      </c>
      <c r="L637" s="9" t="s">
        <v>1097</v>
      </c>
      <c r="M637" s="1" t="s">
        <v>1098</v>
      </c>
    </row>
    <row r="638" spans="1:13" x14ac:dyDescent="0.3">
      <c r="A638" s="3">
        <v>1719206</v>
      </c>
      <c r="B638" s="4" t="s">
        <v>892</v>
      </c>
      <c r="C638" s="5" t="s">
        <v>6763</v>
      </c>
      <c r="D638" s="5" t="s">
        <v>13</v>
      </c>
      <c r="E638" s="3" t="s">
        <v>6762</v>
      </c>
      <c r="F638" s="6">
        <v>114</v>
      </c>
      <c r="G638" s="6">
        <v>101.3</v>
      </c>
      <c r="H638" s="6">
        <v>7.6</v>
      </c>
      <c r="I638" s="7">
        <v>42</v>
      </c>
      <c r="J638" s="3" t="s">
        <v>4318</v>
      </c>
      <c r="K638" s="8">
        <v>1.5</v>
      </c>
      <c r="L638" s="9" t="s">
        <v>5017</v>
      </c>
      <c r="M638" s="1" t="s">
        <v>5040</v>
      </c>
    </row>
    <row r="639" spans="1:13" x14ac:dyDescent="0.3">
      <c r="A639" s="3">
        <v>1714087</v>
      </c>
      <c r="B639" s="4" t="s">
        <v>892</v>
      </c>
      <c r="C639" s="5" t="s">
        <v>1138</v>
      </c>
      <c r="D639" s="5" t="s">
        <v>392</v>
      </c>
      <c r="E639" s="3" t="s">
        <v>1138</v>
      </c>
      <c r="F639" s="6">
        <v>123</v>
      </c>
      <c r="G639" s="6">
        <v>82</v>
      </c>
      <c r="H639" s="6">
        <v>12</v>
      </c>
      <c r="I639" s="7" t="s">
        <v>4315</v>
      </c>
      <c r="J639" s="3" t="s">
        <v>4317</v>
      </c>
      <c r="K639" s="8" t="s">
        <v>4319</v>
      </c>
      <c r="L639" s="9" t="s">
        <v>1139</v>
      </c>
      <c r="M639" s="1" t="s">
        <v>1140</v>
      </c>
    </row>
    <row r="640" spans="1:13" x14ac:dyDescent="0.3">
      <c r="A640" s="3">
        <v>1719200</v>
      </c>
      <c r="B640" s="4" t="s">
        <v>892</v>
      </c>
      <c r="C640" s="5" t="s">
        <v>6745</v>
      </c>
      <c r="D640" s="5" t="s">
        <v>3717</v>
      </c>
      <c r="E640" s="3" t="s">
        <v>6744</v>
      </c>
      <c r="F640" s="6">
        <v>114</v>
      </c>
      <c r="G640" s="6">
        <v>96</v>
      </c>
      <c r="H640" s="6">
        <v>10</v>
      </c>
      <c r="I640" s="7">
        <v>42</v>
      </c>
      <c r="J640" s="3" t="s">
        <v>4318</v>
      </c>
      <c r="K640" s="8">
        <v>1.55</v>
      </c>
      <c r="L640" s="9" t="s">
        <v>4972</v>
      </c>
      <c r="M640" s="1" t="s">
        <v>4973</v>
      </c>
    </row>
    <row r="641" spans="1:13" x14ac:dyDescent="0.3">
      <c r="A641" s="3">
        <v>1719207</v>
      </c>
      <c r="B641" s="4" t="s">
        <v>892</v>
      </c>
      <c r="C641" s="5" t="s">
        <v>5109</v>
      </c>
      <c r="D641" s="5" t="s">
        <v>13</v>
      </c>
      <c r="E641" s="3" t="s">
        <v>5066</v>
      </c>
      <c r="F641" s="6">
        <v>114.3</v>
      </c>
      <c r="G641" s="6">
        <v>101.3</v>
      </c>
      <c r="H641" s="6">
        <v>7.6</v>
      </c>
      <c r="I641" s="7">
        <v>42</v>
      </c>
      <c r="J641" s="3" t="s">
        <v>4318</v>
      </c>
      <c r="K641" s="8">
        <v>1.51</v>
      </c>
      <c r="L641" s="9" t="s">
        <v>5022</v>
      </c>
      <c r="M641" s="1" t="s">
        <v>5067</v>
      </c>
    </row>
    <row r="642" spans="1:13" x14ac:dyDescent="0.3">
      <c r="A642" s="3">
        <v>1710090</v>
      </c>
      <c r="B642" s="4" t="s">
        <v>892</v>
      </c>
      <c r="C642" s="5" t="s">
        <v>1147</v>
      </c>
      <c r="D642" s="5" t="s">
        <v>96</v>
      </c>
      <c r="E642" s="3" t="s">
        <v>6752</v>
      </c>
      <c r="F642" s="6">
        <v>41.5</v>
      </c>
      <c r="G642" s="6">
        <v>30.2</v>
      </c>
      <c r="H642" s="6">
        <v>15.5</v>
      </c>
      <c r="I642" s="7" t="s">
        <v>4315</v>
      </c>
      <c r="J642" s="3" t="s">
        <v>4317</v>
      </c>
      <c r="K642" s="8" t="s">
        <v>4590</v>
      </c>
      <c r="L642" s="9" t="s">
        <v>1148</v>
      </c>
      <c r="M642" s="1" t="s">
        <v>1149</v>
      </c>
    </row>
    <row r="643" spans="1:13" x14ac:dyDescent="0.3">
      <c r="A643" s="3">
        <v>1710030</v>
      </c>
      <c r="B643" s="4" t="s">
        <v>892</v>
      </c>
      <c r="C643" s="5" t="s">
        <v>968</v>
      </c>
      <c r="D643" s="5" t="s">
        <v>96</v>
      </c>
      <c r="E643" s="3" t="s">
        <v>14</v>
      </c>
      <c r="F643" s="6">
        <v>55.5</v>
      </c>
      <c r="G643" s="6">
        <v>55.5</v>
      </c>
      <c r="H643" s="6">
        <v>22</v>
      </c>
      <c r="I643" s="7" t="s">
        <v>4316</v>
      </c>
      <c r="J643" s="3" t="s">
        <v>4318</v>
      </c>
      <c r="K643" s="8" t="s">
        <v>4572</v>
      </c>
      <c r="L643" s="9" t="s">
        <v>969</v>
      </c>
      <c r="M643" s="1" t="s">
        <v>970</v>
      </c>
    </row>
    <row r="644" spans="1:13" x14ac:dyDescent="0.3">
      <c r="A644" s="3">
        <v>1791008</v>
      </c>
      <c r="B644" s="4" t="s">
        <v>892</v>
      </c>
      <c r="C644" s="5" t="s">
        <v>911</v>
      </c>
      <c r="D644" s="5" t="s">
        <v>74</v>
      </c>
      <c r="E644" s="3" t="s">
        <v>14</v>
      </c>
      <c r="F644" s="6">
        <v>136</v>
      </c>
      <c r="G644" s="6">
        <v>18.5</v>
      </c>
      <c r="H644" s="6">
        <v>0</v>
      </c>
      <c r="I644" s="7" t="s">
        <v>4315</v>
      </c>
      <c r="J644" s="3" t="s">
        <v>4317</v>
      </c>
      <c r="K644" s="8" t="s">
        <v>4563</v>
      </c>
      <c r="L644" s="9" t="s">
        <v>912</v>
      </c>
      <c r="M644" s="1" t="s">
        <v>913</v>
      </c>
    </row>
    <row r="645" spans="1:13" x14ac:dyDescent="0.3">
      <c r="A645" s="3">
        <v>1719139</v>
      </c>
      <c r="B645" s="4" t="s">
        <v>892</v>
      </c>
      <c r="C645" s="5" t="s">
        <v>6767</v>
      </c>
      <c r="D645" s="5" t="s">
        <v>74</v>
      </c>
      <c r="E645" s="3" t="s">
        <v>1264</v>
      </c>
      <c r="F645" s="6">
        <v>46</v>
      </c>
      <c r="G645" s="6">
        <v>21</v>
      </c>
      <c r="H645" s="6">
        <v>0</v>
      </c>
      <c r="I645" s="7" t="s">
        <v>4421</v>
      </c>
      <c r="J645" s="3" t="s">
        <v>4423</v>
      </c>
      <c r="K645" s="8" t="s">
        <v>4430</v>
      </c>
      <c r="L645" s="9" t="s">
        <v>1275</v>
      </c>
      <c r="M645" s="1" t="s">
        <v>1276</v>
      </c>
    </row>
    <row r="646" spans="1:13" x14ac:dyDescent="0.3">
      <c r="A646" s="3">
        <v>1719180</v>
      </c>
      <c r="B646" s="4" t="s">
        <v>892</v>
      </c>
      <c r="C646" s="5" t="s">
        <v>1361</v>
      </c>
      <c r="D646" s="5" t="s">
        <v>161</v>
      </c>
      <c r="E646" s="3" t="s">
        <v>14</v>
      </c>
      <c r="F646" s="6">
        <v>42.5</v>
      </c>
      <c r="G646" s="6">
        <v>20.5</v>
      </c>
      <c r="H646" s="6">
        <v>12.5</v>
      </c>
      <c r="I646" s="7" t="s">
        <v>4315</v>
      </c>
      <c r="J646" s="3" t="s">
        <v>4317</v>
      </c>
      <c r="K646" s="8">
        <v>0.32</v>
      </c>
      <c r="L646" s="9" t="s">
        <v>1362</v>
      </c>
      <c r="M646" s="1" t="s">
        <v>1363</v>
      </c>
    </row>
    <row r="647" spans="1:13" x14ac:dyDescent="0.3">
      <c r="A647" s="3">
        <v>1719182</v>
      </c>
      <c r="B647" s="4" t="s">
        <v>892</v>
      </c>
      <c r="C647" s="5" t="s">
        <v>1361</v>
      </c>
      <c r="D647" s="5" t="s">
        <v>392</v>
      </c>
      <c r="E647" s="3" t="s">
        <v>14</v>
      </c>
      <c r="F647" s="6">
        <v>44.5</v>
      </c>
      <c r="G647" s="6">
        <v>23.5</v>
      </c>
      <c r="H647" s="6">
        <v>13.5</v>
      </c>
      <c r="I647" s="7" t="s">
        <v>4315</v>
      </c>
      <c r="J647" s="3" t="s">
        <v>4317</v>
      </c>
      <c r="K647" s="8">
        <v>0.36</v>
      </c>
      <c r="L647" s="9" t="s">
        <v>1367</v>
      </c>
      <c r="M647" s="1" t="s">
        <v>1368</v>
      </c>
    </row>
    <row r="648" spans="1:13" x14ac:dyDescent="0.3">
      <c r="A648" s="3">
        <v>1711004</v>
      </c>
      <c r="B648" s="4" t="s">
        <v>892</v>
      </c>
      <c r="C648" s="5" t="s">
        <v>900</v>
      </c>
      <c r="D648" s="5" t="s">
        <v>154</v>
      </c>
      <c r="E648" s="3" t="s">
        <v>14</v>
      </c>
      <c r="F648" s="6">
        <v>59.5</v>
      </c>
      <c r="G648" s="6">
        <v>36.4</v>
      </c>
      <c r="H648" s="6">
        <v>26.3</v>
      </c>
      <c r="I648" s="7" t="s">
        <v>4315</v>
      </c>
      <c r="J648" s="3" t="s">
        <v>4317</v>
      </c>
      <c r="K648" s="8" t="s">
        <v>4561</v>
      </c>
      <c r="L648" s="9" t="s">
        <v>901</v>
      </c>
      <c r="M648" s="1" t="s">
        <v>902</v>
      </c>
    </row>
    <row r="649" spans="1:13" x14ac:dyDescent="0.3">
      <c r="A649" s="3">
        <v>1720144</v>
      </c>
      <c r="B649" s="4" t="s">
        <v>892</v>
      </c>
      <c r="C649" s="5" t="s">
        <v>1287</v>
      </c>
      <c r="D649" s="5" t="s">
        <v>264</v>
      </c>
      <c r="E649" s="3" t="s">
        <v>1288</v>
      </c>
      <c r="F649" s="6">
        <v>32.5</v>
      </c>
      <c r="G649" s="6">
        <v>5.7</v>
      </c>
      <c r="H649" s="6">
        <v>0</v>
      </c>
      <c r="I649" s="7" t="s">
        <v>4421</v>
      </c>
      <c r="J649" s="3" t="s">
        <v>4423</v>
      </c>
      <c r="K649" s="8" t="s">
        <v>4599</v>
      </c>
      <c r="L649" s="9" t="s">
        <v>1289</v>
      </c>
      <c r="M649" s="1" t="s">
        <v>1290</v>
      </c>
    </row>
    <row r="650" spans="1:13" x14ac:dyDescent="0.3">
      <c r="A650" s="3">
        <v>1721145</v>
      </c>
      <c r="B650" s="4" t="s">
        <v>892</v>
      </c>
      <c r="C650" s="5" t="s">
        <v>1287</v>
      </c>
      <c r="D650" s="5" t="s">
        <v>267</v>
      </c>
      <c r="E650" s="3" t="s">
        <v>1288</v>
      </c>
      <c r="F650" s="6">
        <v>54.2</v>
      </c>
      <c r="G650" s="6">
        <v>5.7</v>
      </c>
      <c r="H650" s="6">
        <v>0</v>
      </c>
      <c r="I650" s="7" t="s">
        <v>4421</v>
      </c>
      <c r="J650" s="3" t="s">
        <v>4423</v>
      </c>
      <c r="K650" s="8" t="s">
        <v>4563</v>
      </c>
      <c r="L650" s="9" t="s">
        <v>1291</v>
      </c>
      <c r="M650" s="1" t="s">
        <v>1292</v>
      </c>
    </row>
    <row r="651" spans="1:13" x14ac:dyDescent="0.3">
      <c r="A651" s="3">
        <v>1719208</v>
      </c>
      <c r="B651" s="4" t="s">
        <v>892</v>
      </c>
      <c r="C651" s="5" t="s">
        <v>5226</v>
      </c>
      <c r="D651" s="5" t="s">
        <v>552</v>
      </c>
      <c r="E651" s="3" t="s">
        <v>5227</v>
      </c>
      <c r="F651" s="6" t="s">
        <v>4783</v>
      </c>
      <c r="G651" s="6" t="s">
        <v>4783</v>
      </c>
      <c r="H651" s="6" t="s">
        <v>6546</v>
      </c>
      <c r="I651" s="7" t="s">
        <v>14</v>
      </c>
      <c r="J651" s="3" t="s">
        <v>14</v>
      </c>
      <c r="K651" s="8" t="s">
        <v>14</v>
      </c>
      <c r="L651" s="9" t="s">
        <v>5228</v>
      </c>
      <c r="M651" s="1" t="s">
        <v>5229</v>
      </c>
    </row>
    <row r="652" spans="1:13" x14ac:dyDescent="0.3">
      <c r="A652" s="3">
        <v>1710026</v>
      </c>
      <c r="B652" s="4" t="s">
        <v>892</v>
      </c>
      <c r="C652" s="5" t="s">
        <v>959</v>
      </c>
      <c r="D652" s="5" t="s">
        <v>96</v>
      </c>
      <c r="E652" s="3" t="s">
        <v>14</v>
      </c>
      <c r="F652" s="6">
        <v>51.5</v>
      </c>
      <c r="G652" s="6">
        <v>51.5</v>
      </c>
      <c r="H652" s="6">
        <v>25.9</v>
      </c>
      <c r="I652" s="7" t="s">
        <v>4315</v>
      </c>
      <c r="J652" s="3" t="s">
        <v>4317</v>
      </c>
      <c r="K652" s="8" t="s">
        <v>4570</v>
      </c>
      <c r="L652" s="9" t="s">
        <v>960</v>
      </c>
      <c r="M652" s="1" t="s">
        <v>961</v>
      </c>
    </row>
    <row r="653" spans="1:13" x14ac:dyDescent="0.3">
      <c r="A653" s="3">
        <v>1720018</v>
      </c>
      <c r="B653" s="4" t="s">
        <v>892</v>
      </c>
      <c r="C653" s="5" t="s">
        <v>938</v>
      </c>
      <c r="D653" s="5" t="s">
        <v>264</v>
      </c>
      <c r="E653" s="3" t="s">
        <v>1323</v>
      </c>
      <c r="F653" s="6">
        <v>59</v>
      </c>
      <c r="G653" s="6">
        <v>22</v>
      </c>
      <c r="H653" s="6">
        <v>0</v>
      </c>
      <c r="I653" s="7" t="s">
        <v>4315</v>
      </c>
      <c r="J653" s="3" t="s">
        <v>4317</v>
      </c>
      <c r="K653" s="8" t="s">
        <v>4486</v>
      </c>
      <c r="L653" s="9" t="s">
        <v>939</v>
      </c>
      <c r="M653" s="1" t="s">
        <v>940</v>
      </c>
    </row>
    <row r="654" spans="1:13" x14ac:dyDescent="0.3">
      <c r="A654" s="3">
        <v>1721019</v>
      </c>
      <c r="B654" s="4" t="s">
        <v>892</v>
      </c>
      <c r="C654" s="5" t="s">
        <v>938</v>
      </c>
      <c r="D654" s="5" t="s">
        <v>267</v>
      </c>
      <c r="E654" s="3" t="s">
        <v>1323</v>
      </c>
      <c r="F654" s="6">
        <v>36</v>
      </c>
      <c r="G654" s="6">
        <v>22</v>
      </c>
      <c r="H654" s="6">
        <v>0</v>
      </c>
      <c r="I654" s="7" t="s">
        <v>4315</v>
      </c>
      <c r="J654" s="3" t="s">
        <v>4317</v>
      </c>
      <c r="K654" s="8" t="s">
        <v>4433</v>
      </c>
      <c r="L654" s="9" t="s">
        <v>941</v>
      </c>
      <c r="M654" s="1" t="s">
        <v>942</v>
      </c>
    </row>
    <row r="655" spans="1:13" x14ac:dyDescent="0.3">
      <c r="A655" s="3">
        <v>1719140</v>
      </c>
      <c r="B655" s="4" t="s">
        <v>892</v>
      </c>
      <c r="C655" s="5" t="s">
        <v>1277</v>
      </c>
      <c r="D655" s="5" t="s">
        <v>74</v>
      </c>
      <c r="E655" s="3" t="s">
        <v>1264</v>
      </c>
      <c r="F655" s="6">
        <v>54</v>
      </c>
      <c r="G655" s="6">
        <v>20.399999999999999</v>
      </c>
      <c r="H655" s="6">
        <v>0</v>
      </c>
      <c r="I655" s="7" t="s">
        <v>4421</v>
      </c>
      <c r="J655" s="3" t="s">
        <v>4423</v>
      </c>
      <c r="K655" s="8" t="s">
        <v>4405</v>
      </c>
      <c r="L655" s="9" t="s">
        <v>1278</v>
      </c>
      <c r="M655" s="1" t="s">
        <v>1279</v>
      </c>
    </row>
    <row r="656" spans="1:13" x14ac:dyDescent="0.3">
      <c r="A656" s="3">
        <v>1719141</v>
      </c>
      <c r="B656" s="4" t="s">
        <v>892</v>
      </c>
      <c r="C656" s="5" t="s">
        <v>1280</v>
      </c>
      <c r="D656" s="5" t="s">
        <v>74</v>
      </c>
      <c r="E656" s="3" t="s">
        <v>1264</v>
      </c>
      <c r="F656" s="6">
        <v>53.6</v>
      </c>
      <c r="G656" s="6">
        <v>32.4</v>
      </c>
      <c r="H656" s="6">
        <v>0</v>
      </c>
      <c r="I656" s="7" t="s">
        <v>4421</v>
      </c>
      <c r="J656" s="3" t="s">
        <v>4423</v>
      </c>
      <c r="K656" s="8" t="s">
        <v>4501</v>
      </c>
      <c r="L656" s="9" t="s">
        <v>1281</v>
      </c>
      <c r="M656" s="1" t="s">
        <v>1282</v>
      </c>
    </row>
    <row r="657" spans="1:13" x14ac:dyDescent="0.3">
      <c r="A657" s="3">
        <v>1814001</v>
      </c>
      <c r="B657" s="4" t="s">
        <v>1371</v>
      </c>
      <c r="C657" s="5" t="s">
        <v>4607</v>
      </c>
      <c r="D657" s="5" t="s">
        <v>392</v>
      </c>
      <c r="E657" s="3" t="s">
        <v>14</v>
      </c>
      <c r="F657" s="6">
        <v>112</v>
      </c>
      <c r="G657" s="6">
        <v>95</v>
      </c>
      <c r="H657" s="6">
        <v>10.5</v>
      </c>
      <c r="I657" s="7" t="s">
        <v>4315</v>
      </c>
      <c r="J657" s="3" t="s">
        <v>4317</v>
      </c>
      <c r="K657" s="8" t="s">
        <v>4604</v>
      </c>
      <c r="L657" s="9" t="s">
        <v>1372</v>
      </c>
      <c r="M657" s="1" t="s">
        <v>1373</v>
      </c>
    </row>
    <row r="658" spans="1:13" x14ac:dyDescent="0.3">
      <c r="A658" s="3">
        <v>1813002</v>
      </c>
      <c r="B658" s="4" t="s">
        <v>1371</v>
      </c>
      <c r="C658" s="5" t="s">
        <v>1374</v>
      </c>
      <c r="D658" s="5" t="s">
        <v>491</v>
      </c>
      <c r="E658" s="3" t="s">
        <v>14</v>
      </c>
      <c r="F658" s="6">
        <v>28</v>
      </c>
      <c r="G658" s="6">
        <v>17.600000000000001</v>
      </c>
      <c r="H658" s="6">
        <v>15.6</v>
      </c>
      <c r="I658" s="7" t="s">
        <v>4315</v>
      </c>
      <c r="J658" s="3" t="s">
        <v>4317</v>
      </c>
      <c r="K658" s="8" t="s">
        <v>4602</v>
      </c>
      <c r="L658" s="9" t="s">
        <v>1375</v>
      </c>
      <c r="M658" s="1" t="s">
        <v>1376</v>
      </c>
    </row>
    <row r="659" spans="1:13" x14ac:dyDescent="0.3">
      <c r="A659" s="3">
        <v>1820003</v>
      </c>
      <c r="B659" s="4" t="s">
        <v>1371</v>
      </c>
      <c r="C659" s="5" t="s">
        <v>1377</v>
      </c>
      <c r="D659" s="5" t="s">
        <v>264</v>
      </c>
      <c r="E659" s="3" t="s">
        <v>14</v>
      </c>
      <c r="F659" s="6">
        <v>28</v>
      </c>
      <c r="G659" s="6">
        <v>13.2</v>
      </c>
      <c r="H659" s="6">
        <v>0</v>
      </c>
      <c r="I659" s="7" t="s">
        <v>4315</v>
      </c>
      <c r="J659" s="3" t="s">
        <v>4317</v>
      </c>
      <c r="K659" s="8" t="s">
        <v>4452</v>
      </c>
      <c r="L659" s="9" t="s">
        <v>1378</v>
      </c>
      <c r="M659" s="1" t="s">
        <v>1379</v>
      </c>
    </row>
    <row r="660" spans="1:13" x14ac:dyDescent="0.3">
      <c r="A660" s="3">
        <v>1820004</v>
      </c>
      <c r="B660" s="4" t="s">
        <v>1371</v>
      </c>
      <c r="C660" s="5" t="s">
        <v>1377</v>
      </c>
      <c r="D660" s="5" t="s">
        <v>267</v>
      </c>
      <c r="E660" s="3" t="s">
        <v>14</v>
      </c>
      <c r="F660" s="6">
        <v>17.3</v>
      </c>
      <c r="G660" s="6">
        <v>13.2</v>
      </c>
      <c r="H660" s="6">
        <v>0</v>
      </c>
      <c r="I660" s="7" t="s">
        <v>4315</v>
      </c>
      <c r="J660" s="3" t="s">
        <v>4317</v>
      </c>
      <c r="K660" s="8" t="s">
        <v>4578</v>
      </c>
      <c r="L660" s="9" t="s">
        <v>1380</v>
      </c>
      <c r="M660" s="1" t="s">
        <v>1381</v>
      </c>
    </row>
    <row r="661" spans="1:13" x14ac:dyDescent="0.3">
      <c r="A661" s="3">
        <v>1820005</v>
      </c>
      <c r="B661" s="4" t="s">
        <v>1371</v>
      </c>
      <c r="C661" s="5" t="s">
        <v>1382</v>
      </c>
      <c r="D661" s="5" t="s">
        <v>264</v>
      </c>
      <c r="E661" s="3" t="s">
        <v>14</v>
      </c>
      <c r="F661" s="6">
        <v>29</v>
      </c>
      <c r="G661" s="6">
        <v>9</v>
      </c>
      <c r="H661" s="6">
        <v>0</v>
      </c>
      <c r="I661" s="7" t="s">
        <v>4315</v>
      </c>
      <c r="J661" s="3" t="s">
        <v>4317</v>
      </c>
      <c r="K661" s="8" t="s">
        <v>4605</v>
      </c>
      <c r="L661" s="9" t="s">
        <v>1383</v>
      </c>
      <c r="M661" s="1" t="s">
        <v>1384</v>
      </c>
    </row>
    <row r="662" spans="1:13" x14ac:dyDescent="0.3">
      <c r="A662" s="3">
        <v>1813006</v>
      </c>
      <c r="B662" s="4" t="s">
        <v>1371</v>
      </c>
      <c r="C662" s="5" t="s">
        <v>1385</v>
      </c>
      <c r="D662" s="5" t="s">
        <v>491</v>
      </c>
      <c r="E662" s="3" t="s">
        <v>14</v>
      </c>
      <c r="F662" s="6">
        <v>23.9</v>
      </c>
      <c r="G662" s="6">
        <v>22.3</v>
      </c>
      <c r="H662" s="6">
        <v>6.7</v>
      </c>
      <c r="I662" s="7" t="s">
        <v>4315</v>
      </c>
      <c r="J662" s="3" t="s">
        <v>4317</v>
      </c>
      <c r="K662" s="8" t="s">
        <v>4360</v>
      </c>
      <c r="L662" s="9" t="s">
        <v>1386</v>
      </c>
      <c r="M662" s="1" t="s">
        <v>1387</v>
      </c>
    </row>
    <row r="663" spans="1:13" x14ac:dyDescent="0.3">
      <c r="A663" s="3">
        <v>1820007</v>
      </c>
      <c r="B663" s="4" t="s">
        <v>1371</v>
      </c>
      <c r="C663" s="5" t="s">
        <v>1388</v>
      </c>
      <c r="D663" s="5" t="s">
        <v>264</v>
      </c>
      <c r="E663" s="3" t="s">
        <v>14</v>
      </c>
      <c r="F663" s="6">
        <v>16.8</v>
      </c>
      <c r="G663" s="6">
        <v>10</v>
      </c>
      <c r="H663" s="6">
        <v>0</v>
      </c>
      <c r="I663" s="7" t="s">
        <v>4315</v>
      </c>
      <c r="J663" s="3" t="s">
        <v>4317</v>
      </c>
      <c r="K663" s="8" t="s">
        <v>4453</v>
      </c>
      <c r="L663" s="9" t="s">
        <v>1389</v>
      </c>
      <c r="M663" s="1" t="s">
        <v>1390</v>
      </c>
    </row>
    <row r="664" spans="1:13" x14ac:dyDescent="0.3">
      <c r="A664" s="3">
        <v>1821008</v>
      </c>
      <c r="B664" s="4" t="s">
        <v>1371</v>
      </c>
      <c r="C664" s="5" t="s">
        <v>1391</v>
      </c>
      <c r="D664" s="5" t="s">
        <v>267</v>
      </c>
      <c r="E664" s="3" t="s">
        <v>14</v>
      </c>
      <c r="F664" s="6">
        <v>27</v>
      </c>
      <c r="G664" s="6">
        <v>10</v>
      </c>
      <c r="H664" s="6">
        <v>0</v>
      </c>
      <c r="I664" s="7" t="s">
        <v>4315</v>
      </c>
      <c r="J664" s="3" t="s">
        <v>4317</v>
      </c>
      <c r="K664" s="8" t="s">
        <v>4405</v>
      </c>
      <c r="L664" s="9" t="s">
        <v>1392</v>
      </c>
      <c r="M664" s="1" t="s">
        <v>1393</v>
      </c>
    </row>
    <row r="665" spans="1:13" x14ac:dyDescent="0.3">
      <c r="A665" s="3">
        <v>1820009</v>
      </c>
      <c r="B665" s="4" t="s">
        <v>1371</v>
      </c>
      <c r="C665" s="5">
        <v>2835762</v>
      </c>
      <c r="D665" s="5" t="s">
        <v>264</v>
      </c>
      <c r="E665" s="3" t="s">
        <v>14</v>
      </c>
      <c r="F665" s="6">
        <v>29</v>
      </c>
      <c r="G665" s="6">
        <v>11.3</v>
      </c>
      <c r="H665" s="6">
        <v>0</v>
      </c>
      <c r="I665" s="7" t="s">
        <v>4315</v>
      </c>
      <c r="J665" s="3" t="s">
        <v>4317</v>
      </c>
      <c r="K665" s="8" t="s">
        <v>4559</v>
      </c>
      <c r="L665" s="9" t="s">
        <v>1394</v>
      </c>
      <c r="M665" s="1" t="s">
        <v>1395</v>
      </c>
    </row>
    <row r="666" spans="1:13" x14ac:dyDescent="0.3">
      <c r="A666" s="3">
        <v>1821010</v>
      </c>
      <c r="B666" s="4" t="s">
        <v>1371</v>
      </c>
      <c r="C666" s="5">
        <v>2835762</v>
      </c>
      <c r="D666" s="5" t="s">
        <v>267</v>
      </c>
      <c r="E666" s="3" t="s">
        <v>14</v>
      </c>
      <c r="F666" s="6">
        <v>42.4</v>
      </c>
      <c r="G666" s="6">
        <v>11.3</v>
      </c>
      <c r="H666" s="6">
        <v>0</v>
      </c>
      <c r="I666" s="7" t="s">
        <v>4315</v>
      </c>
      <c r="J666" s="3" t="s">
        <v>4317</v>
      </c>
      <c r="K666" s="8" t="s">
        <v>4560</v>
      </c>
      <c r="L666" s="9" t="s">
        <v>1396</v>
      </c>
      <c r="M666" s="1" t="s">
        <v>1397</v>
      </c>
    </row>
    <row r="667" spans="1:13" x14ac:dyDescent="0.3">
      <c r="A667" s="3">
        <v>1813011</v>
      </c>
      <c r="B667" s="4" t="s">
        <v>1371</v>
      </c>
      <c r="C667" s="5" t="s">
        <v>1398</v>
      </c>
      <c r="D667" s="5" t="s">
        <v>491</v>
      </c>
      <c r="E667" s="3" t="s">
        <v>14</v>
      </c>
      <c r="F667" s="6">
        <v>28</v>
      </c>
      <c r="G667" s="6">
        <v>17.600000000000001</v>
      </c>
      <c r="H667" s="6">
        <v>13.6</v>
      </c>
      <c r="I667" s="7" t="s">
        <v>4315</v>
      </c>
      <c r="J667" s="3" t="s">
        <v>4317</v>
      </c>
      <c r="K667" s="8" t="s">
        <v>4500</v>
      </c>
      <c r="L667" s="9" t="s">
        <v>1399</v>
      </c>
      <c r="M667" s="1" t="s">
        <v>1400</v>
      </c>
    </row>
    <row r="668" spans="1:13" x14ac:dyDescent="0.3">
      <c r="A668" s="3">
        <v>1810012</v>
      </c>
      <c r="B668" s="4" t="s">
        <v>1371</v>
      </c>
      <c r="C668" s="5" t="s">
        <v>1401</v>
      </c>
      <c r="D668" s="5" t="s">
        <v>96</v>
      </c>
      <c r="E668" s="3" t="s">
        <v>1401</v>
      </c>
      <c r="F668" s="6">
        <v>29.4</v>
      </c>
      <c r="G668" s="6">
        <v>28.4</v>
      </c>
      <c r="H668" s="6">
        <v>9.1</v>
      </c>
      <c r="I668" s="7" t="s">
        <v>4315</v>
      </c>
      <c r="J668" s="3" t="s">
        <v>4317</v>
      </c>
      <c r="K668" s="8" t="s">
        <v>4606</v>
      </c>
      <c r="L668" s="9" t="s">
        <v>1402</v>
      </c>
      <c r="M668" s="1" t="s">
        <v>1403</v>
      </c>
    </row>
    <row r="669" spans="1:13" x14ac:dyDescent="0.3">
      <c r="A669" s="3">
        <v>1815013</v>
      </c>
      <c r="B669" s="4" t="s">
        <v>1371</v>
      </c>
      <c r="C669" s="5" t="s">
        <v>1404</v>
      </c>
      <c r="D669" s="5" t="s">
        <v>78</v>
      </c>
      <c r="E669" s="3" t="s">
        <v>1405</v>
      </c>
      <c r="F669" s="6">
        <v>28.8</v>
      </c>
      <c r="G669" s="6">
        <v>7.8</v>
      </c>
      <c r="H669" s="6">
        <v>28.2</v>
      </c>
      <c r="I669" s="7" t="s">
        <v>4316</v>
      </c>
      <c r="J669" s="3" t="s">
        <v>4318</v>
      </c>
      <c r="K669" s="8" t="s">
        <v>4439</v>
      </c>
      <c r="L669" s="9" t="s">
        <v>1406</v>
      </c>
      <c r="M669" s="1" t="s">
        <v>1407</v>
      </c>
    </row>
    <row r="670" spans="1:13" x14ac:dyDescent="0.3">
      <c r="A670" s="3">
        <v>10311001</v>
      </c>
      <c r="B670" s="4" t="s">
        <v>1408</v>
      </c>
      <c r="C670" s="5" t="s">
        <v>1409</v>
      </c>
      <c r="D670" s="5" t="s">
        <v>154</v>
      </c>
      <c r="E670" s="3" t="s">
        <v>1409</v>
      </c>
      <c r="F670" s="6">
        <v>53.2</v>
      </c>
      <c r="G670" s="6">
        <v>36.200000000000003</v>
      </c>
      <c r="H670" s="6">
        <v>18.399999999999999</v>
      </c>
      <c r="I670" s="7" t="s">
        <v>4316</v>
      </c>
      <c r="J670" s="3" t="s">
        <v>4318</v>
      </c>
      <c r="K670" s="8" t="s">
        <v>4443</v>
      </c>
      <c r="L670" s="9" t="s">
        <v>1410</v>
      </c>
      <c r="M670" s="1" t="s">
        <v>1411</v>
      </c>
    </row>
    <row r="671" spans="1:13" x14ac:dyDescent="0.3">
      <c r="A671" s="3">
        <v>10311002</v>
      </c>
      <c r="B671" s="4" t="s">
        <v>1408</v>
      </c>
      <c r="C671" s="5" t="s">
        <v>1412</v>
      </c>
      <c r="D671" s="5" t="s">
        <v>154</v>
      </c>
      <c r="E671" s="3" t="s">
        <v>1412</v>
      </c>
      <c r="F671" s="6">
        <v>109.7</v>
      </c>
      <c r="G671" s="6">
        <v>30.7</v>
      </c>
      <c r="H671" s="6">
        <v>18.899999999999999</v>
      </c>
      <c r="I671" s="7" t="s">
        <v>4316</v>
      </c>
      <c r="J671" s="3" t="s">
        <v>4318</v>
      </c>
      <c r="K671" s="8" t="s">
        <v>4436</v>
      </c>
      <c r="L671" s="9" t="s">
        <v>1413</v>
      </c>
      <c r="M671" s="1" t="s">
        <v>1414</v>
      </c>
    </row>
    <row r="672" spans="1:13" x14ac:dyDescent="0.3">
      <c r="A672" s="3">
        <v>10314003</v>
      </c>
      <c r="B672" s="4" t="s">
        <v>1408</v>
      </c>
      <c r="C672" s="5" t="s">
        <v>1415</v>
      </c>
      <c r="D672" s="5" t="s">
        <v>392</v>
      </c>
      <c r="E672" s="3" t="s">
        <v>1415</v>
      </c>
      <c r="F672" s="6">
        <v>124.8</v>
      </c>
      <c r="G672" s="6">
        <v>116.4</v>
      </c>
      <c r="H672" s="6">
        <v>7.9</v>
      </c>
      <c r="I672" s="7" t="s">
        <v>4315</v>
      </c>
      <c r="J672" s="3" t="s">
        <v>4317</v>
      </c>
      <c r="K672" s="8" t="s">
        <v>4608</v>
      </c>
      <c r="L672" s="9" t="s">
        <v>1416</v>
      </c>
      <c r="M672" s="1" t="s">
        <v>1417</v>
      </c>
    </row>
    <row r="673" spans="1:13" x14ac:dyDescent="0.3">
      <c r="A673" s="3">
        <v>10314004</v>
      </c>
      <c r="B673" s="4" t="s">
        <v>1408</v>
      </c>
      <c r="C673" s="5" t="s">
        <v>1418</v>
      </c>
      <c r="D673" s="5" t="s">
        <v>392</v>
      </c>
      <c r="E673" s="3" t="s">
        <v>1419</v>
      </c>
      <c r="F673" s="6">
        <v>113.3</v>
      </c>
      <c r="G673" s="6">
        <v>97.9</v>
      </c>
      <c r="H673" s="6">
        <v>7.9</v>
      </c>
      <c r="I673" s="7" t="s">
        <v>4315</v>
      </c>
      <c r="J673" s="3" t="s">
        <v>4317</v>
      </c>
      <c r="K673" s="8" t="s">
        <v>4609</v>
      </c>
      <c r="L673" s="9" t="s">
        <v>1420</v>
      </c>
      <c r="M673" s="1" t="s">
        <v>1421</v>
      </c>
    </row>
    <row r="674" spans="1:13" x14ac:dyDescent="0.3">
      <c r="A674" s="3">
        <v>10314005</v>
      </c>
      <c r="B674" s="4" t="s">
        <v>1408</v>
      </c>
      <c r="C674" s="5" t="s">
        <v>1422</v>
      </c>
      <c r="D674" s="5" t="s">
        <v>392</v>
      </c>
      <c r="E674" s="3" t="s">
        <v>1419</v>
      </c>
      <c r="F674" s="6">
        <v>120.3</v>
      </c>
      <c r="G674" s="6">
        <v>100.4</v>
      </c>
      <c r="H674" s="6">
        <v>7.9</v>
      </c>
      <c r="I674" s="7" t="s">
        <v>4315</v>
      </c>
      <c r="J674" s="3" t="s">
        <v>4317</v>
      </c>
      <c r="K674" s="8" t="s">
        <v>4547</v>
      </c>
      <c r="L674" s="9" t="s">
        <v>1423</v>
      </c>
      <c r="M674" s="1" t="s">
        <v>1424</v>
      </c>
    </row>
    <row r="675" spans="1:13" x14ac:dyDescent="0.3">
      <c r="A675" s="3">
        <v>10311006</v>
      </c>
      <c r="B675" s="4" t="s">
        <v>1408</v>
      </c>
      <c r="C675" s="5" t="s">
        <v>1425</v>
      </c>
      <c r="D675" s="5" t="s">
        <v>154</v>
      </c>
      <c r="E675" s="3" t="s">
        <v>1425</v>
      </c>
      <c r="F675" s="6">
        <v>59.2</v>
      </c>
      <c r="G675" s="6">
        <v>35.200000000000003</v>
      </c>
      <c r="H675" s="6">
        <v>19.2</v>
      </c>
      <c r="I675" s="7" t="s">
        <v>4316</v>
      </c>
      <c r="J675" s="3" t="s">
        <v>4318</v>
      </c>
      <c r="K675" s="8" t="s">
        <v>4320</v>
      </c>
      <c r="L675" s="9" t="s">
        <v>1426</v>
      </c>
      <c r="M675" s="1" t="s">
        <v>1427</v>
      </c>
    </row>
    <row r="676" spans="1:13" x14ac:dyDescent="0.3">
      <c r="A676" s="3">
        <v>10314007</v>
      </c>
      <c r="B676" s="4" t="s">
        <v>1408</v>
      </c>
      <c r="C676" s="5" t="s">
        <v>1425</v>
      </c>
      <c r="D676" s="5" t="s">
        <v>392</v>
      </c>
      <c r="E676" s="3" t="s">
        <v>1425</v>
      </c>
      <c r="F676" s="6">
        <v>61.8</v>
      </c>
      <c r="G676" s="6">
        <v>37.4</v>
      </c>
      <c r="H676" s="6">
        <v>5.4</v>
      </c>
      <c r="I676" s="7" t="s">
        <v>4315</v>
      </c>
      <c r="J676" s="3" t="s">
        <v>4317</v>
      </c>
      <c r="K676" s="8" t="s">
        <v>4360</v>
      </c>
      <c r="L676" s="9" t="s">
        <v>1428</v>
      </c>
      <c r="M676" s="1" t="s">
        <v>1429</v>
      </c>
    </row>
    <row r="677" spans="1:13" x14ac:dyDescent="0.3">
      <c r="A677" s="3">
        <v>10311008</v>
      </c>
      <c r="B677" s="4" t="s">
        <v>1408</v>
      </c>
      <c r="C677" s="5" t="s">
        <v>1430</v>
      </c>
      <c r="D677" s="5" t="s">
        <v>154</v>
      </c>
      <c r="E677" s="3" t="s">
        <v>1430</v>
      </c>
      <c r="F677" s="6">
        <v>186</v>
      </c>
      <c r="G677" s="6">
        <v>38</v>
      </c>
      <c r="H677" s="6">
        <v>28.5</v>
      </c>
      <c r="I677" s="7" t="s">
        <v>4316</v>
      </c>
      <c r="J677" s="3" t="s">
        <v>4318</v>
      </c>
      <c r="K677" s="8" t="s">
        <v>4610</v>
      </c>
      <c r="L677" s="9" t="s">
        <v>1431</v>
      </c>
      <c r="M677" s="1" t="s">
        <v>1432</v>
      </c>
    </row>
    <row r="678" spans="1:13" x14ac:dyDescent="0.3">
      <c r="A678" s="3">
        <v>10311009</v>
      </c>
      <c r="B678" s="4" t="s">
        <v>1408</v>
      </c>
      <c r="C678" s="5" t="s">
        <v>1433</v>
      </c>
      <c r="D678" s="5" t="s">
        <v>154</v>
      </c>
      <c r="E678" s="3" t="s">
        <v>1433</v>
      </c>
      <c r="F678" s="6">
        <v>112.5</v>
      </c>
      <c r="G678" s="6">
        <v>58.5</v>
      </c>
      <c r="H678" s="6">
        <v>37</v>
      </c>
      <c r="I678" s="7" t="s">
        <v>4316</v>
      </c>
      <c r="J678" s="3" t="s">
        <v>4318</v>
      </c>
      <c r="K678" s="8" t="s">
        <v>4611</v>
      </c>
      <c r="L678" s="9" t="s">
        <v>1434</v>
      </c>
      <c r="M678" s="1" t="s">
        <v>1435</v>
      </c>
    </row>
    <row r="679" spans="1:13" x14ac:dyDescent="0.3">
      <c r="A679" s="3">
        <v>10311010</v>
      </c>
      <c r="B679" s="4" t="s">
        <v>1408</v>
      </c>
      <c r="C679" s="5" t="s">
        <v>1436</v>
      </c>
      <c r="D679" s="5" t="s">
        <v>154</v>
      </c>
      <c r="E679" s="3" t="s">
        <v>1436</v>
      </c>
      <c r="F679" s="6">
        <v>55.5</v>
      </c>
      <c r="G679" s="6">
        <v>54</v>
      </c>
      <c r="H679" s="6">
        <v>37</v>
      </c>
      <c r="I679" s="7" t="s">
        <v>4316</v>
      </c>
      <c r="J679" s="3" t="s">
        <v>4318</v>
      </c>
      <c r="K679" s="8" t="s">
        <v>4612</v>
      </c>
      <c r="L679" s="9" t="s">
        <v>1437</v>
      </c>
      <c r="M679" s="1" t="s">
        <v>1438</v>
      </c>
    </row>
    <row r="680" spans="1:13" x14ac:dyDescent="0.3">
      <c r="A680" s="3">
        <v>10311011</v>
      </c>
      <c r="B680" s="4" t="s">
        <v>1408</v>
      </c>
      <c r="C680" s="5" t="s">
        <v>1439</v>
      </c>
      <c r="D680" s="5" t="s">
        <v>154</v>
      </c>
      <c r="E680" s="3" t="s">
        <v>1439</v>
      </c>
      <c r="F680" s="6">
        <v>79.5</v>
      </c>
      <c r="G680" s="6">
        <v>35.5</v>
      </c>
      <c r="H680" s="6">
        <v>18.5</v>
      </c>
      <c r="I680" s="7" t="s">
        <v>4316</v>
      </c>
      <c r="J680" s="3" t="s">
        <v>4318</v>
      </c>
      <c r="K680" s="8" t="s">
        <v>4598</v>
      </c>
      <c r="L680" s="9" t="s">
        <v>1440</v>
      </c>
      <c r="M680" s="1" t="s">
        <v>1441</v>
      </c>
    </row>
    <row r="681" spans="1:13" x14ac:dyDescent="0.3">
      <c r="A681" s="3">
        <v>10311012</v>
      </c>
      <c r="B681" s="4" t="s">
        <v>1408</v>
      </c>
      <c r="C681" s="5" t="s">
        <v>1442</v>
      </c>
      <c r="D681" s="5" t="s">
        <v>154</v>
      </c>
      <c r="E681" s="3" t="s">
        <v>1442</v>
      </c>
      <c r="F681" s="6">
        <v>120.5</v>
      </c>
      <c r="G681" s="6">
        <v>35.5</v>
      </c>
      <c r="H681" s="6">
        <v>18.5</v>
      </c>
      <c r="I681" s="7" t="s">
        <v>4316</v>
      </c>
      <c r="J681" s="3" t="s">
        <v>4318</v>
      </c>
      <c r="K681" s="8" t="s">
        <v>4435</v>
      </c>
      <c r="L681" s="9" t="s">
        <v>1443</v>
      </c>
      <c r="M681" s="1" t="s">
        <v>1444</v>
      </c>
    </row>
    <row r="682" spans="1:13" x14ac:dyDescent="0.3">
      <c r="A682" s="3">
        <v>10314013</v>
      </c>
      <c r="B682" s="4" t="s">
        <v>1408</v>
      </c>
      <c r="C682" s="5" t="s">
        <v>1436</v>
      </c>
      <c r="D682" s="5" t="s">
        <v>392</v>
      </c>
      <c r="E682" s="3" t="s">
        <v>1436</v>
      </c>
      <c r="F682" s="6">
        <v>59.5</v>
      </c>
      <c r="G682" s="6">
        <v>56</v>
      </c>
      <c r="H682" s="6">
        <v>7.8</v>
      </c>
      <c r="I682" s="7" t="s">
        <v>4315</v>
      </c>
      <c r="J682" s="3" t="s">
        <v>4317</v>
      </c>
      <c r="K682" s="8" t="s">
        <v>4526</v>
      </c>
      <c r="L682" s="9" t="s">
        <v>1445</v>
      </c>
      <c r="M682" s="1" t="s">
        <v>1446</v>
      </c>
    </row>
    <row r="683" spans="1:13" x14ac:dyDescent="0.3">
      <c r="A683" s="3">
        <v>10314014</v>
      </c>
      <c r="B683" s="4" t="s">
        <v>1408</v>
      </c>
      <c r="C683" s="5" t="s">
        <v>1447</v>
      </c>
      <c r="D683" s="5" t="s">
        <v>392</v>
      </c>
      <c r="E683" s="3" t="s">
        <v>1447</v>
      </c>
      <c r="F683" s="6">
        <v>59.5</v>
      </c>
      <c r="G683" s="6">
        <v>56</v>
      </c>
      <c r="H683" s="6">
        <v>7.8</v>
      </c>
      <c r="I683" s="7" t="s">
        <v>4315</v>
      </c>
      <c r="J683" s="3" t="s">
        <v>4317</v>
      </c>
      <c r="K683" s="8" t="s">
        <v>4526</v>
      </c>
      <c r="L683" s="9" t="s">
        <v>1448</v>
      </c>
      <c r="M683" s="1" t="s">
        <v>1449</v>
      </c>
    </row>
    <row r="684" spans="1:13" x14ac:dyDescent="0.3">
      <c r="A684" s="3">
        <v>10314015</v>
      </c>
      <c r="B684" s="4" t="s">
        <v>1408</v>
      </c>
      <c r="C684" s="5" t="s">
        <v>1439</v>
      </c>
      <c r="D684" s="5" t="s">
        <v>392</v>
      </c>
      <c r="E684" s="3" t="s">
        <v>1439</v>
      </c>
      <c r="F684" s="6">
        <v>81.5</v>
      </c>
      <c r="G684" s="6">
        <v>38</v>
      </c>
      <c r="H684" s="6">
        <v>7.8</v>
      </c>
      <c r="I684" s="7" t="s">
        <v>4315</v>
      </c>
      <c r="J684" s="3" t="s">
        <v>4317</v>
      </c>
      <c r="K684" s="8" t="s">
        <v>4350</v>
      </c>
      <c r="L684" s="9" t="s">
        <v>1450</v>
      </c>
      <c r="M684" s="1" t="s">
        <v>1451</v>
      </c>
    </row>
    <row r="685" spans="1:13" x14ac:dyDescent="0.3">
      <c r="A685" s="3">
        <v>10314016</v>
      </c>
      <c r="B685" s="4" t="s">
        <v>1408</v>
      </c>
      <c r="C685" s="5" t="s">
        <v>1452</v>
      </c>
      <c r="D685" s="5" t="s">
        <v>392</v>
      </c>
      <c r="E685" s="3" t="s">
        <v>1452</v>
      </c>
      <c r="F685" s="6">
        <v>81.5</v>
      </c>
      <c r="G685" s="6">
        <v>38</v>
      </c>
      <c r="H685" s="6">
        <v>7.8</v>
      </c>
      <c r="I685" s="7" t="s">
        <v>4315</v>
      </c>
      <c r="J685" s="3" t="s">
        <v>4317</v>
      </c>
      <c r="K685" s="8" t="s">
        <v>4350</v>
      </c>
      <c r="L685" s="9" t="s">
        <v>1453</v>
      </c>
      <c r="M685" s="1" t="s">
        <v>1454</v>
      </c>
    </row>
    <row r="686" spans="1:13" x14ac:dyDescent="0.3">
      <c r="A686" s="3">
        <v>10314017</v>
      </c>
      <c r="B686" s="4" t="s">
        <v>1408</v>
      </c>
      <c r="C686" s="5" t="s">
        <v>1442</v>
      </c>
      <c r="D686" s="5" t="s">
        <v>392</v>
      </c>
      <c r="E686" s="3" t="s">
        <v>1442</v>
      </c>
      <c r="F686" s="6">
        <v>123</v>
      </c>
      <c r="G686" s="6">
        <v>38.700000000000003</v>
      </c>
      <c r="H686" s="6">
        <v>7.8</v>
      </c>
      <c r="I686" s="7" t="s">
        <v>4315</v>
      </c>
      <c r="J686" s="3" t="s">
        <v>4317</v>
      </c>
      <c r="K686" s="8" t="s">
        <v>4457</v>
      </c>
      <c r="L686" s="9" t="s">
        <v>1455</v>
      </c>
      <c r="M686" s="1" t="s">
        <v>1456</v>
      </c>
    </row>
    <row r="687" spans="1:13" x14ac:dyDescent="0.3">
      <c r="A687" s="3">
        <v>10314018</v>
      </c>
      <c r="B687" s="4" t="s">
        <v>1408</v>
      </c>
      <c r="C687" s="5" t="s">
        <v>1457</v>
      </c>
      <c r="D687" s="5" t="s">
        <v>392</v>
      </c>
      <c r="E687" s="3" t="s">
        <v>1457</v>
      </c>
      <c r="F687" s="6">
        <v>123</v>
      </c>
      <c r="G687" s="6">
        <v>38.700000000000003</v>
      </c>
      <c r="H687" s="6">
        <v>7.8</v>
      </c>
      <c r="I687" s="7" t="s">
        <v>4315</v>
      </c>
      <c r="J687" s="3" t="s">
        <v>4317</v>
      </c>
      <c r="K687" s="8" t="s">
        <v>4457</v>
      </c>
      <c r="L687" s="9" t="s">
        <v>1458</v>
      </c>
      <c r="M687" s="1" t="s">
        <v>1459</v>
      </c>
    </row>
    <row r="688" spans="1:13" x14ac:dyDescent="0.3">
      <c r="A688" s="3">
        <v>10314019</v>
      </c>
      <c r="B688" s="4" t="s">
        <v>1408</v>
      </c>
      <c r="C688" s="5" t="s">
        <v>1460</v>
      </c>
      <c r="D688" s="5" t="s">
        <v>392</v>
      </c>
      <c r="E688" s="3" t="s">
        <v>1460</v>
      </c>
      <c r="F688" s="6">
        <v>123</v>
      </c>
      <c r="G688" s="6">
        <v>38.700000000000003</v>
      </c>
      <c r="H688" s="6">
        <v>7.8</v>
      </c>
      <c r="I688" s="7" t="s">
        <v>4315</v>
      </c>
      <c r="J688" s="3" t="s">
        <v>4317</v>
      </c>
      <c r="K688" s="8" t="s">
        <v>4457</v>
      </c>
      <c r="L688" s="9" t="s">
        <v>1461</v>
      </c>
      <c r="M688" s="1" t="s">
        <v>1462</v>
      </c>
    </row>
    <row r="689" spans="1:13" x14ac:dyDescent="0.3">
      <c r="A689" s="3">
        <v>10314020</v>
      </c>
      <c r="B689" s="4" t="s">
        <v>1408</v>
      </c>
      <c r="C689" s="5" t="s">
        <v>1433</v>
      </c>
      <c r="D689" s="5" t="s">
        <v>392</v>
      </c>
      <c r="E689" s="3" t="s">
        <v>1433</v>
      </c>
      <c r="F689" s="6">
        <v>112.5</v>
      </c>
      <c r="G689" s="6">
        <v>60</v>
      </c>
      <c r="H689" s="6">
        <v>7.8</v>
      </c>
      <c r="I689" s="7" t="s">
        <v>4315</v>
      </c>
      <c r="J689" s="3" t="s">
        <v>4317</v>
      </c>
      <c r="K689" s="8" t="s">
        <v>4566</v>
      </c>
      <c r="L689" s="9" t="s">
        <v>1463</v>
      </c>
      <c r="M689" s="1" t="s">
        <v>1464</v>
      </c>
    </row>
    <row r="690" spans="1:13" x14ac:dyDescent="0.3">
      <c r="A690" s="3">
        <v>10314021</v>
      </c>
      <c r="B690" s="4" t="s">
        <v>1408</v>
      </c>
      <c r="C690" s="5" t="s">
        <v>1419</v>
      </c>
      <c r="D690" s="5" t="s">
        <v>392</v>
      </c>
      <c r="E690" s="3" t="s">
        <v>1419</v>
      </c>
      <c r="F690" s="6">
        <v>123</v>
      </c>
      <c r="G690" s="6">
        <v>97.3</v>
      </c>
      <c r="H690" s="6">
        <v>7.8</v>
      </c>
      <c r="I690" s="7" t="s">
        <v>4315</v>
      </c>
      <c r="J690" s="3" t="s">
        <v>4317</v>
      </c>
      <c r="K690" s="8" t="s">
        <v>4319</v>
      </c>
      <c r="L690" s="9" t="s">
        <v>1465</v>
      </c>
      <c r="M690" s="1" t="s">
        <v>1466</v>
      </c>
    </row>
    <row r="691" spans="1:13" x14ac:dyDescent="0.3">
      <c r="A691" s="3">
        <v>10314022</v>
      </c>
      <c r="B691" s="4" t="s">
        <v>1408</v>
      </c>
      <c r="C691" s="5" t="s">
        <v>1467</v>
      </c>
      <c r="D691" s="5" t="s">
        <v>392</v>
      </c>
      <c r="E691" s="3" t="s">
        <v>1430</v>
      </c>
      <c r="F691" s="6">
        <v>186.6</v>
      </c>
      <c r="G691" s="6">
        <v>40</v>
      </c>
      <c r="H691" s="6">
        <v>7.8</v>
      </c>
      <c r="I691" s="7" t="s">
        <v>4315</v>
      </c>
      <c r="J691" s="3" t="s">
        <v>4317</v>
      </c>
      <c r="K691" s="8" t="s">
        <v>4408</v>
      </c>
      <c r="L691" s="9" t="s">
        <v>1468</v>
      </c>
      <c r="M691" s="1" t="s">
        <v>1469</v>
      </c>
    </row>
    <row r="692" spans="1:13" x14ac:dyDescent="0.3">
      <c r="A692" s="3">
        <v>10314023</v>
      </c>
      <c r="B692" s="4" t="s">
        <v>1408</v>
      </c>
      <c r="C692" s="5" t="s">
        <v>1470</v>
      </c>
      <c r="D692" s="5" t="s">
        <v>392</v>
      </c>
      <c r="E692" s="3" t="s">
        <v>1470</v>
      </c>
      <c r="F692" s="6">
        <v>112.5</v>
      </c>
      <c r="G692" s="6">
        <v>107.5</v>
      </c>
      <c r="H692" s="6">
        <v>7.8</v>
      </c>
      <c r="I692" s="7" t="s">
        <v>4315</v>
      </c>
      <c r="J692" s="3" t="s">
        <v>4317</v>
      </c>
      <c r="K692" s="8" t="s">
        <v>4547</v>
      </c>
      <c r="L692" s="9" t="s">
        <v>1471</v>
      </c>
      <c r="M692" s="1" t="s">
        <v>1472</v>
      </c>
    </row>
    <row r="693" spans="1:13" x14ac:dyDescent="0.3">
      <c r="A693" s="3">
        <v>10314024</v>
      </c>
      <c r="B693" s="4" t="s">
        <v>1408</v>
      </c>
      <c r="C693" s="5" t="s">
        <v>1473</v>
      </c>
      <c r="D693" s="5" t="s">
        <v>392</v>
      </c>
      <c r="E693" s="3" t="s">
        <v>1473</v>
      </c>
      <c r="F693" s="6">
        <v>117.5</v>
      </c>
      <c r="G693" s="6">
        <v>112.5</v>
      </c>
      <c r="H693" s="6">
        <v>7.8</v>
      </c>
      <c r="I693" s="7" t="s">
        <v>4315</v>
      </c>
      <c r="J693" s="3" t="s">
        <v>4317</v>
      </c>
      <c r="K693" s="8" t="s">
        <v>4613</v>
      </c>
      <c r="L693" s="9" t="s">
        <v>1474</v>
      </c>
      <c r="M693" s="1" t="s">
        <v>1475</v>
      </c>
    </row>
    <row r="694" spans="1:13" x14ac:dyDescent="0.3">
      <c r="A694" s="3">
        <v>10316025</v>
      </c>
      <c r="B694" s="4" t="s">
        <v>1408</v>
      </c>
      <c r="C694" s="5" t="s">
        <v>1476</v>
      </c>
      <c r="D694" s="5" t="s">
        <v>105</v>
      </c>
      <c r="E694" s="3" t="s">
        <v>1476</v>
      </c>
      <c r="F694" s="6">
        <v>123</v>
      </c>
      <c r="G694" s="6">
        <v>110</v>
      </c>
      <c r="H694" s="6">
        <v>51</v>
      </c>
      <c r="I694" s="7" t="s">
        <v>4316</v>
      </c>
      <c r="J694" s="3" t="s">
        <v>4318</v>
      </c>
      <c r="K694" s="8" t="s">
        <v>4614</v>
      </c>
      <c r="L694" s="9" t="s">
        <v>1477</v>
      </c>
      <c r="M694" s="1" t="s">
        <v>1478</v>
      </c>
    </row>
    <row r="695" spans="1:13" x14ac:dyDescent="0.3">
      <c r="A695" s="3">
        <v>10316026</v>
      </c>
      <c r="B695" s="4" t="s">
        <v>1408</v>
      </c>
      <c r="C695" s="5" t="s">
        <v>1479</v>
      </c>
      <c r="D695" s="5" t="s">
        <v>105</v>
      </c>
      <c r="E695" s="3" t="s">
        <v>1480</v>
      </c>
      <c r="F695" s="6">
        <v>113</v>
      </c>
      <c r="G695" s="6">
        <v>109</v>
      </c>
      <c r="H695" s="6">
        <v>94</v>
      </c>
      <c r="I695" s="7" t="s">
        <v>4316</v>
      </c>
      <c r="J695" s="3" t="s">
        <v>4318</v>
      </c>
      <c r="K695" s="8" t="s">
        <v>4615</v>
      </c>
      <c r="L695" s="9" t="s">
        <v>1481</v>
      </c>
      <c r="M695" s="1" t="s">
        <v>1482</v>
      </c>
    </row>
    <row r="696" spans="1:13" x14ac:dyDescent="0.3">
      <c r="A696" s="3">
        <v>10316027</v>
      </c>
      <c r="B696" s="4" t="s">
        <v>1408</v>
      </c>
      <c r="C696" s="5" t="s">
        <v>1483</v>
      </c>
      <c r="D696" s="5" t="s">
        <v>105</v>
      </c>
      <c r="E696" s="3" t="s">
        <v>1483</v>
      </c>
      <c r="F696" s="6">
        <v>121.5</v>
      </c>
      <c r="G696" s="6">
        <v>121</v>
      </c>
      <c r="H696" s="6">
        <v>74.5</v>
      </c>
      <c r="I696" s="7" t="s">
        <v>4316</v>
      </c>
      <c r="J696" s="3" t="s">
        <v>4318</v>
      </c>
      <c r="K696" s="8" t="s">
        <v>4610</v>
      </c>
      <c r="L696" s="9" t="s">
        <v>1484</v>
      </c>
      <c r="M696" s="1" t="s">
        <v>1485</v>
      </c>
    </row>
    <row r="697" spans="1:13" x14ac:dyDescent="0.3">
      <c r="A697" s="3">
        <v>10311028</v>
      </c>
      <c r="B697" s="4" t="s">
        <v>1408</v>
      </c>
      <c r="C697" s="5" t="s">
        <v>1486</v>
      </c>
      <c r="D697" s="5" t="s">
        <v>154</v>
      </c>
      <c r="E697" s="3" t="s">
        <v>1486</v>
      </c>
      <c r="F697" s="6">
        <v>110.5</v>
      </c>
      <c r="G697" s="6">
        <v>37.5</v>
      </c>
      <c r="H697" s="6">
        <v>24</v>
      </c>
      <c r="I697" s="7" t="s">
        <v>4316</v>
      </c>
      <c r="J697" s="3" t="s">
        <v>4318</v>
      </c>
      <c r="K697" s="8" t="s">
        <v>4616</v>
      </c>
      <c r="L697" s="9" t="s">
        <v>1487</v>
      </c>
      <c r="M697" s="1" t="s">
        <v>1488</v>
      </c>
    </row>
    <row r="698" spans="1:13" x14ac:dyDescent="0.3">
      <c r="A698" s="3">
        <v>10311029</v>
      </c>
      <c r="B698" s="4" t="s">
        <v>1408</v>
      </c>
      <c r="C698" s="5" t="s">
        <v>1489</v>
      </c>
      <c r="D698" s="5" t="s">
        <v>154</v>
      </c>
      <c r="E698" s="3" t="s">
        <v>1489</v>
      </c>
      <c r="F698" s="6">
        <v>55</v>
      </c>
      <c r="G698" s="6">
        <v>35</v>
      </c>
      <c r="H698" s="6">
        <v>15</v>
      </c>
      <c r="I698" s="7" t="s">
        <v>4316</v>
      </c>
      <c r="J698" s="3" t="s">
        <v>4318</v>
      </c>
      <c r="K698" s="8" t="s">
        <v>4429</v>
      </c>
      <c r="L698" s="9" t="s">
        <v>1490</v>
      </c>
      <c r="M698" s="1" t="s">
        <v>1491</v>
      </c>
    </row>
    <row r="699" spans="1:13" x14ac:dyDescent="0.3">
      <c r="A699" s="3">
        <v>10314030</v>
      </c>
      <c r="B699" s="4" t="s">
        <v>1408</v>
      </c>
      <c r="C699" s="5" t="s">
        <v>1492</v>
      </c>
      <c r="D699" s="5" t="s">
        <v>392</v>
      </c>
      <c r="E699" s="3" t="s">
        <v>1493</v>
      </c>
      <c r="F699" s="6">
        <v>37.4</v>
      </c>
      <c r="G699" s="6">
        <v>28.5</v>
      </c>
      <c r="H699" s="6">
        <v>7.6</v>
      </c>
      <c r="I699" s="7" t="s">
        <v>4315</v>
      </c>
      <c r="J699" s="3" t="s">
        <v>4317</v>
      </c>
      <c r="K699" s="8" t="s">
        <v>4427</v>
      </c>
      <c r="L699" s="9" t="s">
        <v>1494</v>
      </c>
      <c r="M699" s="1" t="s">
        <v>1495</v>
      </c>
    </row>
    <row r="700" spans="1:13" x14ac:dyDescent="0.3">
      <c r="A700" s="3">
        <v>10311031</v>
      </c>
      <c r="B700" s="4" t="s">
        <v>1408</v>
      </c>
      <c r="C700" s="5" t="s">
        <v>1496</v>
      </c>
      <c r="D700" s="5" t="s">
        <v>154</v>
      </c>
      <c r="E700" s="3" t="s">
        <v>1496</v>
      </c>
      <c r="F700" s="6">
        <v>37.5</v>
      </c>
      <c r="G700" s="6">
        <v>27.2</v>
      </c>
      <c r="H700" s="6">
        <v>17</v>
      </c>
      <c r="I700" s="7" t="s">
        <v>4316</v>
      </c>
      <c r="J700" s="3" t="s">
        <v>4318</v>
      </c>
      <c r="K700" s="8" t="s">
        <v>4617</v>
      </c>
      <c r="L700" s="9" t="s">
        <v>1497</v>
      </c>
      <c r="M700" s="1" t="s">
        <v>1498</v>
      </c>
    </row>
    <row r="701" spans="1:13" x14ac:dyDescent="0.3">
      <c r="A701" s="3">
        <v>10316032</v>
      </c>
      <c r="B701" s="4" t="s">
        <v>1408</v>
      </c>
      <c r="C701" s="5" t="s">
        <v>1499</v>
      </c>
      <c r="D701" s="5" t="s">
        <v>105</v>
      </c>
      <c r="E701" s="3" t="s">
        <v>1499</v>
      </c>
      <c r="F701" s="6">
        <v>114.3</v>
      </c>
      <c r="G701" s="6">
        <v>97.8</v>
      </c>
      <c r="H701" s="6">
        <v>76.2</v>
      </c>
      <c r="I701" s="7" t="s">
        <v>4316</v>
      </c>
      <c r="J701" s="3" t="s">
        <v>4318</v>
      </c>
      <c r="K701" s="8" t="s">
        <v>4407</v>
      </c>
      <c r="L701" s="9" t="s">
        <v>1500</v>
      </c>
      <c r="M701" s="1" t="s">
        <v>1501</v>
      </c>
    </row>
    <row r="702" spans="1:13" x14ac:dyDescent="0.3">
      <c r="A702" s="3">
        <v>10312033</v>
      </c>
      <c r="B702" s="4" t="s">
        <v>1408</v>
      </c>
      <c r="C702" s="5" t="s">
        <v>1502</v>
      </c>
      <c r="D702" s="5" t="s">
        <v>392</v>
      </c>
      <c r="E702" s="3" t="s">
        <v>1502</v>
      </c>
      <c r="F702" s="6">
        <v>37.5</v>
      </c>
      <c r="G702" s="6">
        <v>28.3</v>
      </c>
      <c r="H702" s="6">
        <v>12.5</v>
      </c>
      <c r="I702" s="7" t="s">
        <v>4315</v>
      </c>
      <c r="J702" s="3" t="s">
        <v>4317</v>
      </c>
      <c r="K702" s="8" t="s">
        <v>4439</v>
      </c>
      <c r="L702" s="9" t="s">
        <v>1503</v>
      </c>
      <c r="M702" s="1" t="s">
        <v>1504</v>
      </c>
    </row>
    <row r="703" spans="1:13" x14ac:dyDescent="0.3">
      <c r="A703" s="3">
        <v>10320034</v>
      </c>
      <c r="B703" s="4" t="s">
        <v>1408</v>
      </c>
      <c r="C703" s="5" t="s">
        <v>1505</v>
      </c>
      <c r="D703" s="5" t="s">
        <v>264</v>
      </c>
      <c r="E703" s="3" t="s">
        <v>1505</v>
      </c>
      <c r="F703" s="6">
        <v>52.2</v>
      </c>
      <c r="G703" s="6">
        <v>15.3</v>
      </c>
      <c r="H703" s="6">
        <v>0</v>
      </c>
      <c r="I703" s="7" t="s">
        <v>4315</v>
      </c>
      <c r="J703" s="3" t="s">
        <v>4317</v>
      </c>
      <c r="K703" s="8" t="s">
        <v>4431</v>
      </c>
      <c r="L703" s="9" t="s">
        <v>1506</v>
      </c>
      <c r="M703" s="1" t="s">
        <v>1507</v>
      </c>
    </row>
    <row r="704" spans="1:13" x14ac:dyDescent="0.3">
      <c r="A704" s="3">
        <v>10321035</v>
      </c>
      <c r="B704" s="4" t="s">
        <v>1408</v>
      </c>
      <c r="C704" s="5" t="s">
        <v>1505</v>
      </c>
      <c r="D704" s="5" t="s">
        <v>267</v>
      </c>
      <c r="E704" s="3" t="s">
        <v>1505</v>
      </c>
      <c r="F704" s="6">
        <v>33</v>
      </c>
      <c r="G704" s="6">
        <v>15.3</v>
      </c>
      <c r="H704" s="6">
        <v>0</v>
      </c>
      <c r="I704" s="7" t="s">
        <v>4315</v>
      </c>
      <c r="J704" s="3" t="s">
        <v>4317</v>
      </c>
      <c r="K704" s="8" t="s">
        <v>4430</v>
      </c>
      <c r="L704" s="9" t="s">
        <v>1508</v>
      </c>
      <c r="M704" s="1" t="s">
        <v>1509</v>
      </c>
    </row>
    <row r="705" spans="1:13" x14ac:dyDescent="0.3">
      <c r="A705" s="3">
        <v>10314036</v>
      </c>
      <c r="B705" s="4" t="s">
        <v>1408</v>
      </c>
      <c r="C705" s="5" t="s">
        <v>1510</v>
      </c>
      <c r="D705" s="5" t="s">
        <v>392</v>
      </c>
      <c r="E705" s="3" t="s">
        <v>1510</v>
      </c>
      <c r="F705" s="6">
        <v>55.8</v>
      </c>
      <c r="G705" s="6">
        <v>35.9</v>
      </c>
      <c r="H705" s="6">
        <v>7.6</v>
      </c>
      <c r="I705" s="7" t="s">
        <v>4315</v>
      </c>
      <c r="J705" s="3" t="s">
        <v>4317</v>
      </c>
      <c r="K705" s="8" t="s">
        <v>4474</v>
      </c>
      <c r="L705" s="9" t="s">
        <v>1511</v>
      </c>
      <c r="M705" s="1" t="s">
        <v>1512</v>
      </c>
    </row>
    <row r="706" spans="1:13" x14ac:dyDescent="0.3">
      <c r="A706" s="3">
        <v>10311037</v>
      </c>
      <c r="B706" s="4" t="s">
        <v>1408</v>
      </c>
      <c r="C706" s="5" t="s">
        <v>1513</v>
      </c>
      <c r="D706" s="5" t="s">
        <v>154</v>
      </c>
      <c r="E706" s="3" t="s">
        <v>1513</v>
      </c>
      <c r="F706" s="6">
        <v>18.7</v>
      </c>
      <c r="G706" s="6">
        <v>17.7</v>
      </c>
      <c r="H706" s="6">
        <v>29</v>
      </c>
      <c r="I706" s="7" t="s">
        <v>4316</v>
      </c>
      <c r="J706" s="3" t="s">
        <v>4318</v>
      </c>
      <c r="K706" s="8" t="s">
        <v>4465</v>
      </c>
      <c r="L706" s="9" t="s">
        <v>1514</v>
      </c>
      <c r="M706" s="1" t="s">
        <v>1515</v>
      </c>
    </row>
    <row r="707" spans="1:13" x14ac:dyDescent="0.3">
      <c r="A707" s="3">
        <v>10312038</v>
      </c>
      <c r="B707" s="4" t="s">
        <v>1408</v>
      </c>
      <c r="C707" s="5" t="s">
        <v>1516</v>
      </c>
      <c r="D707" s="5" t="s">
        <v>161</v>
      </c>
      <c r="E707" s="3" t="s">
        <v>1516</v>
      </c>
      <c r="F707" s="6">
        <v>18</v>
      </c>
      <c r="G707" s="6">
        <v>18</v>
      </c>
      <c r="H707" s="6">
        <v>21</v>
      </c>
      <c r="I707" s="7" t="s">
        <v>4316</v>
      </c>
      <c r="J707" s="3" t="s">
        <v>4318</v>
      </c>
      <c r="K707" s="8" t="s">
        <v>4474</v>
      </c>
      <c r="L707" s="9" t="s">
        <v>1517</v>
      </c>
      <c r="M707" s="1" t="s">
        <v>1518</v>
      </c>
    </row>
    <row r="708" spans="1:13" x14ac:dyDescent="0.3">
      <c r="A708" s="3">
        <v>10316039</v>
      </c>
      <c r="B708" s="4" t="s">
        <v>1408</v>
      </c>
      <c r="C708" s="5" t="s">
        <v>1519</v>
      </c>
      <c r="D708" s="5" t="s">
        <v>105</v>
      </c>
      <c r="E708" s="3" t="s">
        <v>1519</v>
      </c>
      <c r="F708" s="6">
        <v>114.5</v>
      </c>
      <c r="G708" s="6">
        <v>101</v>
      </c>
      <c r="H708" s="6">
        <v>115</v>
      </c>
      <c r="I708" s="7" t="s">
        <v>4316</v>
      </c>
      <c r="J708" s="3" t="s">
        <v>4318</v>
      </c>
      <c r="K708" s="8" t="s">
        <v>4619</v>
      </c>
      <c r="L708" s="9" t="s">
        <v>1520</v>
      </c>
      <c r="M708" s="1" t="s">
        <v>1521</v>
      </c>
    </row>
    <row r="709" spans="1:13" x14ac:dyDescent="0.3">
      <c r="A709" s="3">
        <v>10311040</v>
      </c>
      <c r="B709" s="4" t="s">
        <v>1408</v>
      </c>
      <c r="C709" s="5" t="s">
        <v>1460</v>
      </c>
      <c r="D709" s="5" t="s">
        <v>154</v>
      </c>
      <c r="E709" s="3" t="s">
        <v>1460</v>
      </c>
      <c r="F709" s="6">
        <v>121</v>
      </c>
      <c r="G709" s="6">
        <v>36.5</v>
      </c>
      <c r="H709" s="6">
        <v>36.5</v>
      </c>
      <c r="I709" s="7" t="s">
        <v>4316</v>
      </c>
      <c r="J709" s="3" t="s">
        <v>4318</v>
      </c>
      <c r="K709" s="8" t="s">
        <v>4620</v>
      </c>
      <c r="L709" s="9" t="s">
        <v>1522</v>
      </c>
      <c r="M709" s="1" t="s">
        <v>1523</v>
      </c>
    </row>
    <row r="710" spans="1:13" x14ac:dyDescent="0.3">
      <c r="A710" s="3">
        <v>10319041</v>
      </c>
      <c r="B710" s="4" t="s">
        <v>1408</v>
      </c>
      <c r="C710" s="5" t="s">
        <v>1524</v>
      </c>
      <c r="D710" s="5" t="s">
        <v>74</v>
      </c>
      <c r="E710" s="3" t="s">
        <v>1524</v>
      </c>
      <c r="F710" s="6">
        <v>111.5</v>
      </c>
      <c r="G710" s="6">
        <v>104.5</v>
      </c>
      <c r="H710" s="6">
        <v>46.5</v>
      </c>
      <c r="I710" s="7" t="s">
        <v>4316</v>
      </c>
      <c r="J710" s="3" t="s">
        <v>4318</v>
      </c>
      <c r="K710" s="8" t="s">
        <v>4621</v>
      </c>
      <c r="L710" s="9" t="s">
        <v>1525</v>
      </c>
      <c r="M710" s="1" t="s">
        <v>1526</v>
      </c>
    </row>
    <row r="711" spans="1:13" x14ac:dyDescent="0.3">
      <c r="A711" s="3">
        <v>10319042</v>
      </c>
      <c r="B711" s="4" t="s">
        <v>1408</v>
      </c>
      <c r="C711" s="5" t="s">
        <v>1524</v>
      </c>
      <c r="D711" s="5" t="s">
        <v>74</v>
      </c>
      <c r="E711" s="3" t="s">
        <v>1524</v>
      </c>
      <c r="F711" s="6">
        <v>111.5</v>
      </c>
      <c r="G711" s="6">
        <v>46.5</v>
      </c>
      <c r="H711" s="6">
        <v>4</v>
      </c>
      <c r="I711" s="7" t="s">
        <v>4316</v>
      </c>
      <c r="J711" s="3" t="s">
        <v>4318</v>
      </c>
      <c r="K711" s="8" t="s">
        <v>4579</v>
      </c>
      <c r="L711" s="9" t="s">
        <v>1527</v>
      </c>
      <c r="M711" s="1" t="s">
        <v>1528</v>
      </c>
    </row>
    <row r="712" spans="1:13" x14ac:dyDescent="0.3">
      <c r="A712" s="3">
        <v>10337043</v>
      </c>
      <c r="B712" s="4" t="s">
        <v>1408</v>
      </c>
      <c r="C712" s="5" t="s">
        <v>1524</v>
      </c>
      <c r="D712" s="5" t="s">
        <v>599</v>
      </c>
      <c r="E712" s="3" t="s">
        <v>1524</v>
      </c>
      <c r="F712" s="6">
        <v>111.5</v>
      </c>
      <c r="G712" s="6">
        <v>21.5</v>
      </c>
      <c r="H712" s="6">
        <v>4.7</v>
      </c>
      <c r="I712" s="7" t="s">
        <v>4316</v>
      </c>
      <c r="J712" s="3" t="s">
        <v>4318</v>
      </c>
      <c r="K712" s="8" t="s">
        <v>4622</v>
      </c>
      <c r="L712" s="9" t="s">
        <v>1529</v>
      </c>
      <c r="M712" s="1" t="s">
        <v>1530</v>
      </c>
    </row>
    <row r="713" spans="1:13" x14ac:dyDescent="0.3">
      <c r="A713" s="3">
        <v>10337044</v>
      </c>
      <c r="B713" s="4" t="s">
        <v>1408</v>
      </c>
      <c r="C713" s="5" t="s">
        <v>1524</v>
      </c>
      <c r="D713" s="5" t="s">
        <v>599</v>
      </c>
      <c r="E713" s="3" t="s">
        <v>1524</v>
      </c>
      <c r="F713" s="6">
        <v>111.5</v>
      </c>
      <c r="G713" s="6">
        <v>25</v>
      </c>
      <c r="H713" s="6">
        <v>6.6</v>
      </c>
      <c r="I713" s="7" t="s">
        <v>4316</v>
      </c>
      <c r="J713" s="3" t="s">
        <v>4318</v>
      </c>
      <c r="K713" s="8" t="s">
        <v>4623</v>
      </c>
      <c r="L713" s="9" t="s">
        <v>1531</v>
      </c>
      <c r="M713" s="1" t="s">
        <v>1532</v>
      </c>
    </row>
    <row r="714" spans="1:13" x14ac:dyDescent="0.3">
      <c r="A714" s="3">
        <v>10337045</v>
      </c>
      <c r="B714" s="4" t="s">
        <v>1408</v>
      </c>
      <c r="C714" s="5" t="s">
        <v>1524</v>
      </c>
      <c r="D714" s="5" t="s">
        <v>599</v>
      </c>
      <c r="E714" s="3" t="s">
        <v>1524</v>
      </c>
      <c r="F714" s="6">
        <v>111.5</v>
      </c>
      <c r="G714" s="6">
        <v>21.5</v>
      </c>
      <c r="H714" s="6">
        <v>5</v>
      </c>
      <c r="I714" s="7" t="s">
        <v>4316</v>
      </c>
      <c r="J714" s="3" t="s">
        <v>4318</v>
      </c>
      <c r="K714" s="8" t="s">
        <v>4622</v>
      </c>
      <c r="L714" s="9" t="s">
        <v>1533</v>
      </c>
      <c r="M714" s="1" t="s">
        <v>1534</v>
      </c>
    </row>
    <row r="715" spans="1:13" x14ac:dyDescent="0.3">
      <c r="A715" s="3">
        <v>10337046</v>
      </c>
      <c r="B715" s="4" t="s">
        <v>1408</v>
      </c>
      <c r="C715" s="5" t="s">
        <v>1524</v>
      </c>
      <c r="D715" s="5" t="s">
        <v>599</v>
      </c>
      <c r="E715" s="3" t="s">
        <v>1524</v>
      </c>
      <c r="F715" s="6">
        <v>111.5</v>
      </c>
      <c r="G715" s="6">
        <v>25</v>
      </c>
      <c r="H715" s="6">
        <v>6.6</v>
      </c>
      <c r="I715" s="7" t="s">
        <v>4316</v>
      </c>
      <c r="J715" s="3" t="s">
        <v>4318</v>
      </c>
      <c r="K715" s="8" t="s">
        <v>4623</v>
      </c>
      <c r="L715" s="9" t="s">
        <v>1535</v>
      </c>
      <c r="M715" s="1" t="s">
        <v>1536</v>
      </c>
    </row>
    <row r="716" spans="1:13" x14ac:dyDescent="0.3">
      <c r="A716" s="3">
        <v>10316047</v>
      </c>
      <c r="B716" s="4" t="s">
        <v>1408</v>
      </c>
      <c r="C716" s="5" t="s">
        <v>1537</v>
      </c>
      <c r="D716" s="5" t="s">
        <v>105</v>
      </c>
      <c r="E716" s="3" t="s">
        <v>1537</v>
      </c>
      <c r="F716" s="6">
        <v>170</v>
      </c>
      <c r="G716" s="6">
        <v>129</v>
      </c>
      <c r="H716" s="6">
        <v>74.5</v>
      </c>
      <c r="I716" s="7" t="s">
        <v>4316</v>
      </c>
      <c r="J716" s="3" t="s">
        <v>4318</v>
      </c>
      <c r="K716" s="8" t="s">
        <v>4624</v>
      </c>
      <c r="L716" s="9" t="s">
        <v>1538</v>
      </c>
      <c r="M716" s="1" t="s">
        <v>1539</v>
      </c>
    </row>
    <row r="717" spans="1:13" x14ac:dyDescent="0.3">
      <c r="A717" s="3">
        <v>10314048</v>
      </c>
      <c r="B717" s="4" t="s">
        <v>1408</v>
      </c>
      <c r="C717" s="5" t="s">
        <v>1537</v>
      </c>
      <c r="D717" s="5" t="s">
        <v>392</v>
      </c>
      <c r="E717" s="3" t="s">
        <v>1537</v>
      </c>
      <c r="F717" s="6">
        <v>164</v>
      </c>
      <c r="G717" s="6">
        <v>123.9</v>
      </c>
      <c r="H717" s="6">
        <v>5.5</v>
      </c>
      <c r="I717" s="7" t="s">
        <v>4315</v>
      </c>
      <c r="J717" s="3" t="s">
        <v>4317</v>
      </c>
      <c r="K717" s="8" t="s">
        <v>4549</v>
      </c>
      <c r="L717" s="9" t="s">
        <v>1540</v>
      </c>
      <c r="M717" s="1" t="s">
        <v>1541</v>
      </c>
    </row>
    <row r="718" spans="1:13" x14ac:dyDescent="0.3">
      <c r="A718" s="3">
        <v>10337049</v>
      </c>
      <c r="B718" s="4" t="s">
        <v>1408</v>
      </c>
      <c r="C718" s="5" t="s">
        <v>1542</v>
      </c>
      <c r="D718" s="5" t="s">
        <v>599</v>
      </c>
      <c r="E718" s="3" t="s">
        <v>1542</v>
      </c>
      <c r="F718" s="6">
        <v>19.5</v>
      </c>
      <c r="G718" s="6">
        <v>1.7</v>
      </c>
      <c r="H718" s="6">
        <v>43</v>
      </c>
      <c r="I718" s="7" t="s">
        <v>4618</v>
      </c>
      <c r="J718" s="3" t="s">
        <v>4318</v>
      </c>
      <c r="K718" s="8">
        <v>0.13</v>
      </c>
      <c r="L718" s="9" t="s">
        <v>1543</v>
      </c>
      <c r="M718" s="1" t="s">
        <v>1544</v>
      </c>
    </row>
    <row r="719" spans="1:13" x14ac:dyDescent="0.3">
      <c r="A719" s="3">
        <v>10319050</v>
      </c>
      <c r="B719" s="4" t="s">
        <v>1408</v>
      </c>
      <c r="C719" s="5" t="s">
        <v>1545</v>
      </c>
      <c r="D719" s="5" t="s">
        <v>74</v>
      </c>
      <c r="E719" s="3" t="s">
        <v>1545</v>
      </c>
      <c r="F719" s="6">
        <v>36</v>
      </c>
      <c r="G719" s="6">
        <v>19</v>
      </c>
      <c r="H719" s="6">
        <v>5.2</v>
      </c>
      <c r="I719" s="7" t="s">
        <v>4447</v>
      </c>
      <c r="J719" s="3" t="s">
        <v>4317</v>
      </c>
      <c r="K719" s="8">
        <v>0.2</v>
      </c>
      <c r="L719" s="9" t="s">
        <v>1546</v>
      </c>
      <c r="M719" s="1" t="s">
        <v>1547</v>
      </c>
    </row>
    <row r="720" spans="1:13" x14ac:dyDescent="0.3">
      <c r="A720" s="3">
        <v>10311051</v>
      </c>
      <c r="B720" s="4" t="s">
        <v>1408</v>
      </c>
      <c r="C720" s="5" t="s">
        <v>1419</v>
      </c>
      <c r="D720" s="5" t="s">
        <v>154</v>
      </c>
      <c r="E720" s="3" t="s">
        <v>1419</v>
      </c>
      <c r="F720" s="6">
        <v>55.5</v>
      </c>
      <c r="G720" s="6">
        <v>30.5</v>
      </c>
      <c r="H720" s="6">
        <v>18</v>
      </c>
      <c r="I720" s="7" t="s">
        <v>4316</v>
      </c>
      <c r="J720" s="3" t="s">
        <v>4318</v>
      </c>
      <c r="K720" s="8" t="s">
        <v>4366</v>
      </c>
      <c r="L720" s="9" t="s">
        <v>1548</v>
      </c>
      <c r="M720" s="1" t="s">
        <v>1549</v>
      </c>
    </row>
    <row r="721" spans="1:13" x14ac:dyDescent="0.3">
      <c r="A721" s="3">
        <v>10311052</v>
      </c>
      <c r="B721" s="4" t="s">
        <v>1408</v>
      </c>
      <c r="C721" s="5" t="s">
        <v>1550</v>
      </c>
      <c r="D721" s="5" t="s">
        <v>105</v>
      </c>
      <c r="E721" s="3" t="s">
        <v>1551</v>
      </c>
      <c r="F721" s="6">
        <v>101</v>
      </c>
      <c r="G721" s="6">
        <v>34</v>
      </c>
      <c r="H721" s="6">
        <v>28</v>
      </c>
      <c r="I721" s="7" t="s">
        <v>4316</v>
      </c>
      <c r="J721" s="3" t="s">
        <v>4318</v>
      </c>
      <c r="K721" s="8" t="s">
        <v>4390</v>
      </c>
      <c r="L721" s="9" t="s">
        <v>1552</v>
      </c>
      <c r="M721" s="24" t="s">
        <v>4629</v>
      </c>
    </row>
    <row r="722" spans="1:13" x14ac:dyDescent="0.3">
      <c r="A722" s="3">
        <v>10311053</v>
      </c>
      <c r="B722" s="4" t="s">
        <v>1408</v>
      </c>
      <c r="C722" s="5" t="s">
        <v>1553</v>
      </c>
      <c r="D722" s="5" t="s">
        <v>154</v>
      </c>
      <c r="E722" s="3" t="s">
        <v>1553</v>
      </c>
      <c r="F722" s="6">
        <v>59.5</v>
      </c>
      <c r="G722" s="6">
        <v>35</v>
      </c>
      <c r="H722" s="6">
        <v>28.5</v>
      </c>
      <c r="I722" s="7" t="s">
        <v>4316</v>
      </c>
      <c r="J722" s="3" t="s">
        <v>4318</v>
      </c>
      <c r="K722" s="8" t="s">
        <v>4361</v>
      </c>
      <c r="L722" s="9" t="s">
        <v>1554</v>
      </c>
      <c r="M722" s="1" t="s">
        <v>1555</v>
      </c>
    </row>
    <row r="723" spans="1:13" x14ac:dyDescent="0.3">
      <c r="A723" s="3">
        <v>10310054</v>
      </c>
      <c r="B723" s="4" t="s">
        <v>1408</v>
      </c>
      <c r="C723" s="5" t="s">
        <v>1556</v>
      </c>
      <c r="D723" s="5" t="s">
        <v>96</v>
      </c>
      <c r="E723" s="3" t="s">
        <v>1556</v>
      </c>
      <c r="F723" s="6">
        <v>87</v>
      </c>
      <c r="G723" s="6">
        <v>24.5</v>
      </c>
      <c r="H723" s="6">
        <v>25</v>
      </c>
      <c r="I723" s="7" t="s">
        <v>4316</v>
      </c>
      <c r="J723" s="3" t="s">
        <v>4318</v>
      </c>
      <c r="K723" s="8" t="s">
        <v>4404</v>
      </c>
      <c r="L723" s="9" t="s">
        <v>1557</v>
      </c>
      <c r="M723" s="1" t="s">
        <v>1558</v>
      </c>
    </row>
    <row r="724" spans="1:13" x14ac:dyDescent="0.3">
      <c r="A724" s="3">
        <v>10311055</v>
      </c>
      <c r="B724" s="4" t="s">
        <v>1408</v>
      </c>
      <c r="C724" s="5" t="s">
        <v>1559</v>
      </c>
      <c r="D724" s="5" t="s">
        <v>154</v>
      </c>
      <c r="E724" s="3" t="s">
        <v>1559</v>
      </c>
      <c r="F724" s="6">
        <v>54.5</v>
      </c>
      <c r="G724" s="6">
        <v>34.5</v>
      </c>
      <c r="H724" s="6">
        <v>25</v>
      </c>
      <c r="I724" s="7" t="s">
        <v>4316</v>
      </c>
      <c r="J724" s="3" t="s">
        <v>4318</v>
      </c>
      <c r="K724" s="8" t="s">
        <v>4486</v>
      </c>
      <c r="L724" s="9" t="s">
        <v>1560</v>
      </c>
      <c r="M724" s="1" t="s">
        <v>1561</v>
      </c>
    </row>
    <row r="725" spans="1:13" x14ac:dyDescent="0.3">
      <c r="A725" s="3">
        <v>10311056</v>
      </c>
      <c r="B725" s="4" t="s">
        <v>1408</v>
      </c>
      <c r="C725" s="5" t="s">
        <v>1562</v>
      </c>
      <c r="D725" s="5" t="s">
        <v>154</v>
      </c>
      <c r="E725" s="3" t="s">
        <v>1562</v>
      </c>
      <c r="F725" s="6">
        <v>61</v>
      </c>
      <c r="G725" s="6">
        <v>34</v>
      </c>
      <c r="H725" s="6">
        <v>37</v>
      </c>
      <c r="I725" s="7" t="s">
        <v>4316</v>
      </c>
      <c r="J725" s="3" t="s">
        <v>4318</v>
      </c>
      <c r="K725" s="8" t="s">
        <v>4542</v>
      </c>
      <c r="L725" s="9" t="s">
        <v>1563</v>
      </c>
      <c r="M725" s="1" t="s">
        <v>1564</v>
      </c>
    </row>
    <row r="726" spans="1:13" x14ac:dyDescent="0.3">
      <c r="A726" s="3">
        <v>10311057</v>
      </c>
      <c r="B726" s="4" t="s">
        <v>1408</v>
      </c>
      <c r="C726" s="5" t="s">
        <v>1457</v>
      </c>
      <c r="D726" s="5" t="s">
        <v>154</v>
      </c>
      <c r="E726" s="3" t="s">
        <v>1457</v>
      </c>
      <c r="F726" s="6">
        <v>121</v>
      </c>
      <c r="G726" s="6">
        <v>36.5</v>
      </c>
      <c r="H726" s="6">
        <v>30</v>
      </c>
      <c r="I726" s="7" t="s">
        <v>4316</v>
      </c>
      <c r="J726" s="3" t="s">
        <v>4318</v>
      </c>
      <c r="K726" s="8" t="s">
        <v>4625</v>
      </c>
      <c r="L726" s="9" t="s">
        <v>1565</v>
      </c>
      <c r="M726" s="1" t="s">
        <v>1566</v>
      </c>
    </row>
    <row r="727" spans="1:13" x14ac:dyDescent="0.3">
      <c r="A727" s="3">
        <v>10311058</v>
      </c>
      <c r="B727" s="4" t="s">
        <v>1408</v>
      </c>
      <c r="C727" s="5" t="s">
        <v>1567</v>
      </c>
      <c r="D727" s="5" t="s">
        <v>154</v>
      </c>
      <c r="E727" s="3" t="s">
        <v>1567</v>
      </c>
      <c r="F727" s="6">
        <v>83</v>
      </c>
      <c r="G727" s="6">
        <v>35</v>
      </c>
      <c r="H727" s="6">
        <v>37.299999999999997</v>
      </c>
      <c r="I727" s="7" t="s">
        <v>4316</v>
      </c>
      <c r="J727" s="3" t="s">
        <v>4318</v>
      </c>
      <c r="K727" s="8" t="s">
        <v>4461</v>
      </c>
      <c r="L727" s="9" t="s">
        <v>1568</v>
      </c>
      <c r="M727" s="1" t="s">
        <v>1569</v>
      </c>
    </row>
    <row r="728" spans="1:13" x14ac:dyDescent="0.3">
      <c r="A728" s="3">
        <v>10311059</v>
      </c>
      <c r="B728" s="4" t="s">
        <v>1408</v>
      </c>
      <c r="C728" s="5" t="s">
        <v>1570</v>
      </c>
      <c r="D728" s="5" t="s">
        <v>154</v>
      </c>
      <c r="E728" s="3" t="s">
        <v>1567</v>
      </c>
      <c r="F728" s="6">
        <v>56.5</v>
      </c>
      <c r="G728" s="6">
        <v>53</v>
      </c>
      <c r="H728" s="6">
        <v>33.5</v>
      </c>
      <c r="I728" s="7" t="s">
        <v>4316</v>
      </c>
      <c r="J728" s="3" t="s">
        <v>4318</v>
      </c>
      <c r="K728" s="8" t="s">
        <v>4480</v>
      </c>
      <c r="L728" s="9" t="s">
        <v>1571</v>
      </c>
      <c r="M728" s="1" t="s">
        <v>1572</v>
      </c>
    </row>
    <row r="729" spans="1:13" x14ac:dyDescent="0.3">
      <c r="A729" s="3">
        <v>10316060</v>
      </c>
      <c r="B729" s="4" t="s">
        <v>1408</v>
      </c>
      <c r="C729" s="5" t="s">
        <v>1573</v>
      </c>
      <c r="D729" s="5" t="s">
        <v>105</v>
      </c>
      <c r="E729" s="3" t="s">
        <v>1573</v>
      </c>
      <c r="F729" s="6">
        <v>121.9</v>
      </c>
      <c r="G729" s="6">
        <v>115.6</v>
      </c>
      <c r="H729" s="6">
        <v>117</v>
      </c>
      <c r="I729" s="7" t="s">
        <v>4316</v>
      </c>
      <c r="J729" s="3" t="s">
        <v>4318</v>
      </c>
      <c r="K729" s="8" t="s">
        <v>4626</v>
      </c>
      <c r="L729" s="9" t="s">
        <v>1574</v>
      </c>
      <c r="M729" s="1" t="s">
        <v>1575</v>
      </c>
    </row>
    <row r="730" spans="1:13" x14ac:dyDescent="0.3">
      <c r="A730" s="3">
        <v>10311061</v>
      </c>
      <c r="B730" s="4" t="s">
        <v>1408</v>
      </c>
      <c r="C730" s="5" t="s">
        <v>1576</v>
      </c>
      <c r="D730" s="5" t="s">
        <v>154</v>
      </c>
      <c r="E730" s="3" t="s">
        <v>1576</v>
      </c>
      <c r="F730" s="6">
        <v>53</v>
      </c>
      <c r="G730" s="6">
        <v>46</v>
      </c>
      <c r="H730" s="6">
        <v>38</v>
      </c>
      <c r="I730" s="7" t="s">
        <v>4316</v>
      </c>
      <c r="J730" s="3" t="s">
        <v>4318</v>
      </c>
      <c r="K730" s="8" t="s">
        <v>4519</v>
      </c>
      <c r="L730" s="9" t="s">
        <v>1577</v>
      </c>
      <c r="M730" s="1" t="s">
        <v>1578</v>
      </c>
    </row>
    <row r="731" spans="1:13" x14ac:dyDescent="0.3">
      <c r="A731" s="3">
        <v>10319062</v>
      </c>
      <c r="B731" s="4" t="s">
        <v>1408</v>
      </c>
      <c r="C731" s="5" t="s">
        <v>1579</v>
      </c>
      <c r="D731" s="5" t="s">
        <v>74</v>
      </c>
      <c r="E731" s="3" t="s">
        <v>1579</v>
      </c>
      <c r="F731" s="6">
        <v>18.899999999999999</v>
      </c>
      <c r="G731" s="6">
        <v>5</v>
      </c>
      <c r="H731" s="6">
        <v>0</v>
      </c>
      <c r="I731" s="7" t="s">
        <v>4315</v>
      </c>
      <c r="J731" s="3" t="s">
        <v>4317</v>
      </c>
      <c r="K731" s="8" t="s">
        <v>4627</v>
      </c>
      <c r="L731" s="9" t="s">
        <v>1580</v>
      </c>
      <c r="M731" s="1" t="s">
        <v>1581</v>
      </c>
    </row>
    <row r="732" spans="1:13" x14ac:dyDescent="0.3">
      <c r="A732" s="3">
        <v>10319063</v>
      </c>
      <c r="B732" s="4" t="s">
        <v>1408</v>
      </c>
      <c r="C732" s="5" t="s">
        <v>1582</v>
      </c>
      <c r="D732" s="5" t="s">
        <v>74</v>
      </c>
      <c r="E732" s="3" t="s">
        <v>1582</v>
      </c>
      <c r="F732" s="6">
        <v>54</v>
      </c>
      <c r="G732" s="6">
        <v>52</v>
      </c>
      <c r="H732" s="6">
        <v>26</v>
      </c>
      <c r="I732" s="7" t="s">
        <v>4316</v>
      </c>
      <c r="J732" s="3" t="s">
        <v>4318</v>
      </c>
      <c r="K732" s="8" t="s">
        <v>4628</v>
      </c>
      <c r="L732" s="9" t="s">
        <v>1583</v>
      </c>
      <c r="M732" s="1" t="s">
        <v>1584</v>
      </c>
    </row>
    <row r="733" spans="1:13" x14ac:dyDescent="0.3">
      <c r="A733" s="3">
        <v>10319064</v>
      </c>
      <c r="B733" s="4" t="s">
        <v>1408</v>
      </c>
      <c r="C733" s="5" t="s">
        <v>1582</v>
      </c>
      <c r="D733" s="5" t="s">
        <v>74</v>
      </c>
      <c r="E733" s="3" t="s">
        <v>1582</v>
      </c>
      <c r="F733" s="6">
        <v>23.5</v>
      </c>
      <c r="G733" s="6">
        <v>10.3</v>
      </c>
      <c r="H733" s="6">
        <v>25.5</v>
      </c>
      <c r="I733" s="7" t="s">
        <v>4316</v>
      </c>
      <c r="J733" s="3" t="s">
        <v>4318</v>
      </c>
      <c r="K733" s="8" t="s">
        <v>4410</v>
      </c>
      <c r="L733" s="9" t="s">
        <v>1585</v>
      </c>
      <c r="M733" s="1" t="s">
        <v>1586</v>
      </c>
    </row>
    <row r="734" spans="1:13" x14ac:dyDescent="0.3">
      <c r="A734" s="3">
        <v>10314055</v>
      </c>
      <c r="B734" s="4" t="s">
        <v>1408</v>
      </c>
      <c r="C734" s="5" t="s">
        <v>1587</v>
      </c>
      <c r="D734" s="5" t="s">
        <v>392</v>
      </c>
      <c r="E734" s="3" t="s">
        <v>1587</v>
      </c>
      <c r="F734" s="6">
        <v>113.3</v>
      </c>
      <c r="G734" s="6">
        <v>97.2</v>
      </c>
      <c r="H734" s="6">
        <v>7.6</v>
      </c>
      <c r="I734" s="7" t="s">
        <v>4315</v>
      </c>
      <c r="J734" s="3" t="s">
        <v>4317</v>
      </c>
      <c r="K734" s="8" t="s">
        <v>4612</v>
      </c>
      <c r="L734" s="9" t="s">
        <v>1588</v>
      </c>
      <c r="M734" s="1" t="s">
        <v>1589</v>
      </c>
    </row>
    <row r="735" spans="1:13" x14ac:dyDescent="0.3">
      <c r="A735" s="3">
        <v>10314066</v>
      </c>
      <c r="B735" s="4" t="s">
        <v>1408</v>
      </c>
      <c r="C735" s="5" t="s">
        <v>1590</v>
      </c>
      <c r="D735" s="5" t="s">
        <v>392</v>
      </c>
      <c r="E735" s="3" t="s">
        <v>1590</v>
      </c>
      <c r="F735" s="6">
        <v>116.2</v>
      </c>
      <c r="G735" s="6">
        <v>99.4</v>
      </c>
      <c r="H735" s="6">
        <v>7.6</v>
      </c>
      <c r="I735" s="7" t="s">
        <v>4315</v>
      </c>
      <c r="J735" s="3" t="s">
        <v>4317</v>
      </c>
      <c r="K735" s="8" t="s">
        <v>4348</v>
      </c>
      <c r="L735" s="9" t="s">
        <v>1591</v>
      </c>
      <c r="M735" s="1" t="s">
        <v>1592</v>
      </c>
    </row>
    <row r="736" spans="1:13" x14ac:dyDescent="0.3">
      <c r="A736" s="3">
        <v>10316067</v>
      </c>
      <c r="B736" s="4" t="s">
        <v>1408</v>
      </c>
      <c r="C736" s="5" t="s">
        <v>1593</v>
      </c>
      <c r="D736" s="5" t="s">
        <v>105</v>
      </c>
      <c r="E736" s="3" t="s">
        <v>1593</v>
      </c>
      <c r="F736" s="6">
        <v>114.7</v>
      </c>
      <c r="G736" s="6">
        <v>110.6</v>
      </c>
      <c r="H736" s="6">
        <v>18.7</v>
      </c>
      <c r="I736" s="7" t="s">
        <v>4316</v>
      </c>
      <c r="J736" s="3" t="s">
        <v>4318</v>
      </c>
      <c r="K736" s="8" t="s">
        <v>4598</v>
      </c>
      <c r="L736" s="9" t="s">
        <v>1594</v>
      </c>
      <c r="M736" s="1" t="s">
        <v>1595</v>
      </c>
    </row>
    <row r="737" spans="1:13" x14ac:dyDescent="0.3">
      <c r="A737" s="3">
        <v>10316068</v>
      </c>
      <c r="B737" s="4" t="s">
        <v>1408</v>
      </c>
      <c r="C737" s="5" t="s">
        <v>1596</v>
      </c>
      <c r="D737" s="5" t="s">
        <v>105</v>
      </c>
      <c r="E737" s="3" t="s">
        <v>1596</v>
      </c>
      <c r="F737" s="6">
        <v>114.7</v>
      </c>
      <c r="G737" s="6">
        <v>110.6</v>
      </c>
      <c r="H737" s="6">
        <v>38.799999999999997</v>
      </c>
      <c r="I737" s="7" t="s">
        <v>4316</v>
      </c>
      <c r="J737" s="3" t="s">
        <v>4318</v>
      </c>
      <c r="K737" s="8" t="s">
        <v>4630</v>
      </c>
      <c r="L737" s="9" t="s">
        <v>1597</v>
      </c>
      <c r="M737" s="1" t="s">
        <v>1598</v>
      </c>
    </row>
    <row r="738" spans="1:13" x14ac:dyDescent="0.3">
      <c r="A738" s="3">
        <v>10316069</v>
      </c>
      <c r="B738" s="4" t="s">
        <v>1408</v>
      </c>
      <c r="C738" s="5" t="s">
        <v>1599</v>
      </c>
      <c r="D738" s="5" t="s">
        <v>105</v>
      </c>
      <c r="E738" s="3" t="s">
        <v>1599</v>
      </c>
      <c r="F738" s="6">
        <v>114.7</v>
      </c>
      <c r="G738" s="6">
        <v>110.6</v>
      </c>
      <c r="H738" s="6">
        <v>57.5</v>
      </c>
      <c r="I738" s="7" t="s">
        <v>4316</v>
      </c>
      <c r="J738" s="3" t="s">
        <v>4318</v>
      </c>
      <c r="K738" s="8" t="s">
        <v>4550</v>
      </c>
      <c r="L738" s="9" t="s">
        <v>1600</v>
      </c>
      <c r="M738" s="1" t="s">
        <v>1601</v>
      </c>
    </row>
    <row r="739" spans="1:13" x14ac:dyDescent="0.3">
      <c r="A739" s="3">
        <v>10316070</v>
      </c>
      <c r="B739" s="4" t="s">
        <v>1408</v>
      </c>
      <c r="C739" s="5" t="s">
        <v>1602</v>
      </c>
      <c r="D739" s="5" t="s">
        <v>105</v>
      </c>
      <c r="E739" s="3" t="s">
        <v>1602</v>
      </c>
      <c r="F739" s="6">
        <v>114.7</v>
      </c>
      <c r="G739" s="6">
        <v>110.6</v>
      </c>
      <c r="H739" s="6">
        <v>76.400000000000006</v>
      </c>
      <c r="I739" s="7" t="s">
        <v>4316</v>
      </c>
      <c r="J739" s="3" t="s">
        <v>4318</v>
      </c>
      <c r="K739" s="8" t="s">
        <v>4631</v>
      </c>
      <c r="L739" s="9" t="s">
        <v>1603</v>
      </c>
      <c r="M739" s="1" t="s">
        <v>1604</v>
      </c>
    </row>
    <row r="740" spans="1:13" x14ac:dyDescent="0.3">
      <c r="A740" s="3">
        <v>10316071</v>
      </c>
      <c r="B740" s="4" t="s">
        <v>1408</v>
      </c>
      <c r="C740" s="5" t="s">
        <v>1605</v>
      </c>
      <c r="D740" s="5" t="s">
        <v>105</v>
      </c>
      <c r="E740" s="3" t="s">
        <v>1605</v>
      </c>
      <c r="F740" s="6">
        <v>114.7</v>
      </c>
      <c r="G740" s="6">
        <v>110.6</v>
      </c>
      <c r="H740" s="6">
        <v>28.6</v>
      </c>
      <c r="I740" s="7" t="s">
        <v>4316</v>
      </c>
      <c r="J740" s="3" t="s">
        <v>4318</v>
      </c>
      <c r="K740" s="8" t="s">
        <v>4583</v>
      </c>
      <c r="L740" s="9" t="s">
        <v>1606</v>
      </c>
      <c r="M740" s="1" t="s">
        <v>1607</v>
      </c>
    </row>
    <row r="741" spans="1:13" x14ac:dyDescent="0.3">
      <c r="A741" s="3">
        <v>10316072</v>
      </c>
      <c r="B741" s="4" t="s">
        <v>1408</v>
      </c>
      <c r="C741" s="5" t="s">
        <v>1608</v>
      </c>
      <c r="D741" s="5" t="s">
        <v>105</v>
      </c>
      <c r="E741" s="3" t="s">
        <v>1608</v>
      </c>
      <c r="F741" s="6">
        <v>114.7</v>
      </c>
      <c r="G741" s="6">
        <v>110.6</v>
      </c>
      <c r="H741" s="6">
        <v>57.2</v>
      </c>
      <c r="I741" s="7" t="s">
        <v>4316</v>
      </c>
      <c r="J741" s="3" t="s">
        <v>4318</v>
      </c>
      <c r="K741" s="8" t="s">
        <v>4632</v>
      </c>
      <c r="L741" s="9" t="s">
        <v>1609</v>
      </c>
      <c r="M741" s="1" t="s">
        <v>1610</v>
      </c>
    </row>
    <row r="742" spans="1:13" x14ac:dyDescent="0.3">
      <c r="A742" s="3">
        <v>10316073</v>
      </c>
      <c r="B742" s="4" t="s">
        <v>1408</v>
      </c>
      <c r="C742" s="5" t="s">
        <v>1611</v>
      </c>
      <c r="D742" s="5" t="s">
        <v>105</v>
      </c>
      <c r="E742" s="3" t="s">
        <v>1612</v>
      </c>
      <c r="F742" s="6">
        <v>114.7</v>
      </c>
      <c r="G742" s="6">
        <v>110.6</v>
      </c>
      <c r="H742" s="6">
        <v>85.7</v>
      </c>
      <c r="I742" s="7" t="s">
        <v>4316</v>
      </c>
      <c r="J742" s="3" t="s">
        <v>4318</v>
      </c>
      <c r="K742" s="8" t="s">
        <v>4633</v>
      </c>
      <c r="L742" s="9" t="s">
        <v>1613</v>
      </c>
      <c r="M742" s="1" t="s">
        <v>1614</v>
      </c>
    </row>
    <row r="743" spans="1:13" x14ac:dyDescent="0.3">
      <c r="A743" s="3">
        <v>10316074</v>
      </c>
      <c r="B743" s="4" t="s">
        <v>1408</v>
      </c>
      <c r="C743" s="5" t="s">
        <v>1615</v>
      </c>
      <c r="D743" s="5" t="s">
        <v>105</v>
      </c>
      <c r="E743" s="3" t="s">
        <v>1499</v>
      </c>
      <c r="F743" s="6">
        <v>115.3</v>
      </c>
      <c r="G743" s="6">
        <v>99.1</v>
      </c>
      <c r="H743" s="6">
        <v>76.8</v>
      </c>
      <c r="I743" s="7" t="s">
        <v>4316</v>
      </c>
      <c r="J743" s="3" t="s">
        <v>4318</v>
      </c>
      <c r="K743" s="8" t="s">
        <v>4634</v>
      </c>
      <c r="L743" s="9" t="s">
        <v>1616</v>
      </c>
      <c r="M743" s="1" t="s">
        <v>1617</v>
      </c>
    </row>
    <row r="744" spans="1:13" x14ac:dyDescent="0.3">
      <c r="A744" s="3">
        <v>10316075</v>
      </c>
      <c r="B744" s="4" t="s">
        <v>1408</v>
      </c>
      <c r="C744" s="5" t="s">
        <v>1618</v>
      </c>
      <c r="D744" s="5" t="s">
        <v>105</v>
      </c>
      <c r="E744" s="3" t="s">
        <v>1618</v>
      </c>
      <c r="F744" s="6">
        <v>115.3</v>
      </c>
      <c r="G744" s="6">
        <v>99.1</v>
      </c>
      <c r="H744" s="6">
        <v>106.7</v>
      </c>
      <c r="I744" s="7" t="s">
        <v>4316</v>
      </c>
      <c r="J744" s="3" t="s">
        <v>4318</v>
      </c>
      <c r="K744" s="8" t="s">
        <v>4624</v>
      </c>
      <c r="L744" s="9" t="s">
        <v>1619</v>
      </c>
      <c r="M744" s="1" t="s">
        <v>1620</v>
      </c>
    </row>
    <row r="745" spans="1:13" x14ac:dyDescent="0.3">
      <c r="A745" s="3">
        <v>10316076</v>
      </c>
      <c r="B745" s="4" t="s">
        <v>1408</v>
      </c>
      <c r="C745" s="5" t="s">
        <v>1621</v>
      </c>
      <c r="D745" s="5" t="s">
        <v>105</v>
      </c>
      <c r="E745" s="3" t="s">
        <v>1622</v>
      </c>
      <c r="F745" s="6">
        <v>123.9</v>
      </c>
      <c r="G745" s="6">
        <v>115</v>
      </c>
      <c r="H745" s="6">
        <v>111.8</v>
      </c>
      <c r="I745" s="7" t="s">
        <v>4316</v>
      </c>
      <c r="J745" s="3" t="s">
        <v>4318</v>
      </c>
      <c r="K745" s="8" t="s">
        <v>4635</v>
      </c>
      <c r="L745" s="9" t="s">
        <v>1623</v>
      </c>
      <c r="M745" s="1" t="s">
        <v>1624</v>
      </c>
    </row>
    <row r="746" spans="1:13" x14ac:dyDescent="0.3">
      <c r="A746" s="3">
        <v>10316077</v>
      </c>
      <c r="B746" s="4" t="s">
        <v>1408</v>
      </c>
      <c r="C746" s="5" t="s">
        <v>1625</v>
      </c>
      <c r="D746" s="5" t="s">
        <v>105</v>
      </c>
      <c r="E746" s="3" t="s">
        <v>1625</v>
      </c>
      <c r="F746" s="6">
        <v>123.9</v>
      </c>
      <c r="G746" s="6">
        <v>109.6</v>
      </c>
      <c r="H746" s="6">
        <v>25.4</v>
      </c>
      <c r="I746" s="7" t="s">
        <v>4316</v>
      </c>
      <c r="J746" s="3" t="s">
        <v>4318</v>
      </c>
      <c r="K746" s="8" t="s">
        <v>4579</v>
      </c>
      <c r="L746" s="9" t="s">
        <v>1626</v>
      </c>
      <c r="M746" s="1" t="s">
        <v>1627</v>
      </c>
    </row>
    <row r="747" spans="1:13" x14ac:dyDescent="0.3">
      <c r="A747" s="3">
        <v>10316078</v>
      </c>
      <c r="B747" s="4" t="s">
        <v>1408</v>
      </c>
      <c r="C747" s="5" t="s">
        <v>5045</v>
      </c>
      <c r="D747" s="5" t="s">
        <v>23</v>
      </c>
      <c r="E747" s="3" t="s">
        <v>14</v>
      </c>
      <c r="F747" s="6">
        <v>59.2</v>
      </c>
      <c r="G747" s="6">
        <v>35.200000000000003</v>
      </c>
      <c r="H747" s="6">
        <v>23.5</v>
      </c>
      <c r="I747" s="7">
        <v>42</v>
      </c>
      <c r="J747" s="3" t="s">
        <v>4318</v>
      </c>
      <c r="K747" s="8">
        <v>0.8</v>
      </c>
      <c r="L747" s="9" t="s">
        <v>5050</v>
      </c>
      <c r="M747" s="1" t="s">
        <v>6706</v>
      </c>
    </row>
    <row r="748" spans="1:13" x14ac:dyDescent="0.3">
      <c r="A748" s="3">
        <v>10316079</v>
      </c>
      <c r="B748" s="4" t="s">
        <v>1408</v>
      </c>
      <c r="C748" s="5" t="s">
        <v>5049</v>
      </c>
      <c r="D748" s="5" t="s">
        <v>23</v>
      </c>
      <c r="E748" s="3" t="s">
        <v>14</v>
      </c>
      <c r="F748" s="6">
        <v>112</v>
      </c>
      <c r="G748" s="6">
        <v>38</v>
      </c>
      <c r="H748" s="6">
        <v>49</v>
      </c>
      <c r="I748" s="7">
        <v>42</v>
      </c>
      <c r="J748" s="3" t="s">
        <v>4318</v>
      </c>
      <c r="K748" s="8">
        <v>2.12</v>
      </c>
      <c r="L748" s="9" t="s">
        <v>5051</v>
      </c>
      <c r="M748" s="1" t="s">
        <v>6708</v>
      </c>
    </row>
    <row r="749" spans="1:13" x14ac:dyDescent="0.3">
      <c r="A749" s="3">
        <v>10316080</v>
      </c>
      <c r="B749" s="4" t="s">
        <v>1408</v>
      </c>
      <c r="C749" s="5" t="s">
        <v>5237</v>
      </c>
      <c r="D749" s="5" t="s">
        <v>5238</v>
      </c>
      <c r="E749" s="3" t="s">
        <v>14</v>
      </c>
      <c r="F749" s="6">
        <v>18.5</v>
      </c>
      <c r="G749" s="6">
        <v>18.5</v>
      </c>
      <c r="H749" s="6">
        <v>17.5</v>
      </c>
      <c r="I749" s="7">
        <v>32</v>
      </c>
      <c r="J749" s="3" t="s">
        <v>4317</v>
      </c>
      <c r="K749" s="8">
        <v>0.28999999999999998</v>
      </c>
      <c r="L749" s="9" t="s">
        <v>5239</v>
      </c>
      <c r="M749" s="1" t="s">
        <v>4974</v>
      </c>
    </row>
    <row r="750" spans="1:13" x14ac:dyDescent="0.3">
      <c r="A750" s="3">
        <v>10316081</v>
      </c>
      <c r="B750" s="4" t="s">
        <v>1408</v>
      </c>
      <c r="C750" s="5" t="s">
        <v>6131</v>
      </c>
      <c r="D750" s="5" t="s">
        <v>23</v>
      </c>
      <c r="E750" s="3" t="s">
        <v>14</v>
      </c>
      <c r="F750" s="6">
        <v>112</v>
      </c>
      <c r="G750" s="6">
        <v>39</v>
      </c>
      <c r="H750" s="6">
        <v>19.5</v>
      </c>
      <c r="I750" s="7">
        <v>42</v>
      </c>
      <c r="J750" s="3" t="s">
        <v>4318</v>
      </c>
      <c r="K750" s="8">
        <v>61</v>
      </c>
      <c r="L750" s="9" t="s">
        <v>6012</v>
      </c>
      <c r="M750" s="1" t="s">
        <v>6132</v>
      </c>
    </row>
    <row r="751" spans="1:13" x14ac:dyDescent="0.3">
      <c r="A751" s="3">
        <v>10316082</v>
      </c>
      <c r="B751" s="4" t="s">
        <v>1408</v>
      </c>
      <c r="C751" s="5" t="s">
        <v>6157</v>
      </c>
      <c r="D751" s="5" t="s">
        <v>13</v>
      </c>
      <c r="E751" s="3" t="s">
        <v>14</v>
      </c>
      <c r="F751" s="6"/>
      <c r="G751" s="6"/>
      <c r="H751" s="6"/>
      <c r="I751" s="7"/>
      <c r="J751" s="3"/>
      <c r="K751" s="8"/>
      <c r="L751" s="9" t="s">
        <v>6014</v>
      </c>
      <c r="M751" s="1"/>
    </row>
    <row r="752" spans="1:13" x14ac:dyDescent="0.3">
      <c r="A752" s="3">
        <v>10316083</v>
      </c>
      <c r="B752" s="4" t="s">
        <v>1408</v>
      </c>
      <c r="C752" s="5" t="s">
        <v>4976</v>
      </c>
      <c r="D752" s="5" t="s">
        <v>96</v>
      </c>
      <c r="E752" s="3" t="s">
        <v>14</v>
      </c>
      <c r="F752" s="6">
        <v>81.5</v>
      </c>
      <c r="G752" s="6">
        <v>51.8</v>
      </c>
      <c r="H752" s="6">
        <v>24</v>
      </c>
      <c r="I752" s="7">
        <v>42</v>
      </c>
      <c r="J752" s="3" t="s">
        <v>4318</v>
      </c>
      <c r="K752" s="8">
        <v>2.08</v>
      </c>
      <c r="L752" s="9" t="s">
        <v>6015</v>
      </c>
      <c r="M752" s="1" t="s">
        <v>6174</v>
      </c>
    </row>
    <row r="753" spans="1:13" x14ac:dyDescent="0.3">
      <c r="A753" s="3">
        <v>10316084</v>
      </c>
      <c r="B753" s="4" t="s">
        <v>1408</v>
      </c>
      <c r="C753" s="5" t="s">
        <v>4977</v>
      </c>
      <c r="D753" s="5" t="s">
        <v>96</v>
      </c>
      <c r="E753" s="3" t="s">
        <v>14</v>
      </c>
      <c r="F753" s="6">
        <v>90</v>
      </c>
      <c r="G753" s="6">
        <v>51.8</v>
      </c>
      <c r="H753" s="6">
        <v>27.7</v>
      </c>
      <c r="I753" s="7">
        <v>42</v>
      </c>
      <c r="J753" s="3" t="s">
        <v>4318</v>
      </c>
      <c r="K753" s="8">
        <v>2.3199999999999998</v>
      </c>
      <c r="L753" s="9" t="s">
        <v>6016</v>
      </c>
      <c r="M753" s="1" t="s">
        <v>6175</v>
      </c>
    </row>
    <row r="754" spans="1:13" x14ac:dyDescent="0.3">
      <c r="A754" s="3">
        <v>10316085</v>
      </c>
      <c r="B754" s="4" t="s">
        <v>1408</v>
      </c>
      <c r="C754" s="5" t="s">
        <v>6177</v>
      </c>
      <c r="D754" s="5" t="s">
        <v>96</v>
      </c>
      <c r="E754" s="3" t="s">
        <v>14</v>
      </c>
      <c r="F754" s="6">
        <v>121.4</v>
      </c>
      <c r="G754" s="6">
        <v>50.3</v>
      </c>
      <c r="H754" s="6">
        <v>30.5</v>
      </c>
      <c r="I754" s="7">
        <v>42</v>
      </c>
      <c r="J754" s="3" t="s">
        <v>4318</v>
      </c>
      <c r="K754" s="8">
        <v>2.84</v>
      </c>
      <c r="L754" s="9" t="s">
        <v>6017</v>
      </c>
      <c r="M754" s="1" t="s">
        <v>6176</v>
      </c>
    </row>
    <row r="755" spans="1:13" x14ac:dyDescent="0.3">
      <c r="A755" s="3">
        <v>10316086</v>
      </c>
      <c r="B755" s="4" t="s">
        <v>1408</v>
      </c>
      <c r="C755" s="5" t="s">
        <v>1457</v>
      </c>
      <c r="D755" s="5" t="s">
        <v>23</v>
      </c>
      <c r="E755" s="3" t="s">
        <v>1457</v>
      </c>
      <c r="F755" s="6">
        <v>120.4</v>
      </c>
      <c r="G755" s="6">
        <v>36.6</v>
      </c>
      <c r="H755" s="6">
        <v>28.9</v>
      </c>
      <c r="I755" s="7">
        <v>42</v>
      </c>
      <c r="J755" s="3" t="s">
        <v>4318</v>
      </c>
      <c r="K755" s="8">
        <v>1.52</v>
      </c>
      <c r="L755" s="9" t="s">
        <v>7651</v>
      </c>
      <c r="M755" s="1"/>
    </row>
    <row r="756" spans="1:13" x14ac:dyDescent="0.3">
      <c r="A756" s="3">
        <v>10316087</v>
      </c>
      <c r="B756" s="4" t="s">
        <v>1408</v>
      </c>
      <c r="C756" s="5">
        <v>7342</v>
      </c>
      <c r="D756" s="5" t="s">
        <v>7092</v>
      </c>
      <c r="E756" s="3">
        <v>7342</v>
      </c>
      <c r="F756" s="6" t="s">
        <v>14</v>
      </c>
      <c r="G756" s="6" t="s">
        <v>14</v>
      </c>
      <c r="H756" s="6" t="s">
        <v>14</v>
      </c>
      <c r="I756" s="7" t="s">
        <v>14</v>
      </c>
      <c r="J756" s="3" t="s">
        <v>14</v>
      </c>
      <c r="K756" s="8" t="s">
        <v>14</v>
      </c>
      <c r="L756" s="9" t="s">
        <v>6018</v>
      </c>
      <c r="M756" s="1" t="s">
        <v>7652</v>
      </c>
    </row>
    <row r="757" spans="1:13" x14ac:dyDescent="0.3">
      <c r="A757" s="3">
        <v>10316088</v>
      </c>
      <c r="B757" s="4" t="s">
        <v>1408</v>
      </c>
      <c r="C757" s="5" t="s">
        <v>7983</v>
      </c>
      <c r="D757" s="5" t="s">
        <v>23</v>
      </c>
      <c r="E757" s="3" t="s">
        <v>7983</v>
      </c>
      <c r="F757" s="6">
        <v>117</v>
      </c>
      <c r="G757" s="6">
        <v>54.5</v>
      </c>
      <c r="H757" s="6">
        <v>19.5</v>
      </c>
      <c r="I757" s="7">
        <v>42</v>
      </c>
      <c r="J757" s="3" t="s">
        <v>4318</v>
      </c>
      <c r="K757" s="8">
        <v>1.64</v>
      </c>
      <c r="L757" s="9" t="s">
        <v>6019</v>
      </c>
      <c r="M757" s="1" t="s">
        <v>7985</v>
      </c>
    </row>
    <row r="758" spans="1:13" x14ac:dyDescent="0.3">
      <c r="A758" s="3">
        <v>10316089</v>
      </c>
      <c r="B758" s="4" t="s">
        <v>1408</v>
      </c>
      <c r="C758" s="5" t="s">
        <v>7983</v>
      </c>
      <c r="D758" s="5" t="s">
        <v>261</v>
      </c>
      <c r="E758" s="3" t="s">
        <v>7983</v>
      </c>
      <c r="F758" s="6">
        <v>53.6</v>
      </c>
      <c r="G758" s="6">
        <v>52.1</v>
      </c>
      <c r="H758" s="6" t="s">
        <v>14</v>
      </c>
      <c r="I758" s="7">
        <v>32</v>
      </c>
      <c r="J758" s="3" t="s">
        <v>4317</v>
      </c>
      <c r="K758" s="8">
        <v>0.28000000000000003</v>
      </c>
      <c r="L758" s="9" t="s">
        <v>6020</v>
      </c>
      <c r="M758" s="1" t="s">
        <v>7986</v>
      </c>
    </row>
    <row r="759" spans="1:13" x14ac:dyDescent="0.3">
      <c r="A759" s="3">
        <v>11316090</v>
      </c>
      <c r="B759" s="4" t="s">
        <v>1408</v>
      </c>
      <c r="C759" s="5" t="s">
        <v>7983</v>
      </c>
      <c r="D759" s="5" t="s">
        <v>5030</v>
      </c>
      <c r="E759" s="3" t="s">
        <v>7983</v>
      </c>
      <c r="F759" s="6">
        <v>120.1</v>
      </c>
      <c r="G759" s="6">
        <v>55.6</v>
      </c>
      <c r="H759" s="6">
        <v>7.6</v>
      </c>
      <c r="I759" s="7">
        <v>32</v>
      </c>
      <c r="J759" s="3" t="s">
        <v>4317</v>
      </c>
      <c r="K759" s="8">
        <v>0.94</v>
      </c>
      <c r="L759" s="9" t="s">
        <v>7984</v>
      </c>
      <c r="M759" s="1" t="s">
        <v>7987</v>
      </c>
    </row>
    <row r="760" spans="1:13" x14ac:dyDescent="0.3">
      <c r="A760" s="3">
        <v>10316090</v>
      </c>
      <c r="B760" s="4" t="s">
        <v>1408</v>
      </c>
      <c r="C760" s="5" t="s">
        <v>6011</v>
      </c>
      <c r="D760" s="5" t="s">
        <v>23</v>
      </c>
      <c r="E760" s="3" t="s">
        <v>6011</v>
      </c>
      <c r="F760" s="6">
        <v>59</v>
      </c>
      <c r="G760" s="6">
        <v>54</v>
      </c>
      <c r="H760" s="6">
        <v>24</v>
      </c>
      <c r="I760" s="7">
        <v>42</v>
      </c>
      <c r="J760" s="3" t="s">
        <v>4318</v>
      </c>
      <c r="K760" s="8">
        <v>1.2</v>
      </c>
      <c r="L760" s="9" t="s">
        <v>6021</v>
      </c>
      <c r="M760" s="1" t="s">
        <v>6023</v>
      </c>
    </row>
    <row r="761" spans="1:13" x14ac:dyDescent="0.3">
      <c r="A761" s="3">
        <v>10316091</v>
      </c>
      <c r="B761" s="4" t="s">
        <v>1408</v>
      </c>
      <c r="C761" s="5" t="s">
        <v>6013</v>
      </c>
      <c r="D761" s="5" t="s">
        <v>13</v>
      </c>
      <c r="E761" s="3" t="s">
        <v>6011</v>
      </c>
      <c r="F761" s="6">
        <v>60</v>
      </c>
      <c r="G761" s="6">
        <v>55</v>
      </c>
      <c r="H761" s="6">
        <v>8</v>
      </c>
      <c r="I761" s="7">
        <v>32</v>
      </c>
      <c r="J761" s="3" t="s">
        <v>4317</v>
      </c>
      <c r="K761" s="8">
        <v>0.54</v>
      </c>
      <c r="L761" s="9" t="s">
        <v>6022</v>
      </c>
      <c r="M761" s="1" t="s">
        <v>6024</v>
      </c>
    </row>
    <row r="762" spans="1:13" x14ac:dyDescent="0.3">
      <c r="A762" s="3">
        <v>10316092</v>
      </c>
      <c r="B762" s="4" t="s">
        <v>1408</v>
      </c>
      <c r="C762" s="5" t="s">
        <v>6500</v>
      </c>
      <c r="D762" s="5" t="s">
        <v>5072</v>
      </c>
      <c r="E762" s="3" t="s">
        <v>14</v>
      </c>
      <c r="F762" s="6">
        <v>64.5</v>
      </c>
      <c r="G762" s="6">
        <v>47.5</v>
      </c>
      <c r="H762" s="6">
        <v>20</v>
      </c>
      <c r="I762" s="7">
        <v>32</v>
      </c>
      <c r="J762" s="3" t="s">
        <v>4317</v>
      </c>
      <c r="K762" s="8">
        <v>0.46</v>
      </c>
      <c r="L762" s="9" t="s">
        <v>7680</v>
      </c>
      <c r="M762" s="1" t="s">
        <v>6525</v>
      </c>
    </row>
    <row r="763" spans="1:13" x14ac:dyDescent="0.3">
      <c r="A763" s="3">
        <v>10316093</v>
      </c>
      <c r="B763" s="4" t="s">
        <v>1408</v>
      </c>
      <c r="C763" s="5" t="s">
        <v>7684</v>
      </c>
      <c r="D763" s="5" t="s">
        <v>7092</v>
      </c>
      <c r="E763" s="3" t="s">
        <v>14</v>
      </c>
      <c r="F763" s="6" t="s">
        <v>14</v>
      </c>
      <c r="G763" s="6" t="s">
        <v>14</v>
      </c>
      <c r="H763" s="6" t="s">
        <v>14</v>
      </c>
      <c r="I763" s="7">
        <v>42</v>
      </c>
      <c r="J763" s="3" t="s">
        <v>4318</v>
      </c>
      <c r="K763" s="8" t="s">
        <v>14</v>
      </c>
      <c r="L763" s="9" t="s">
        <v>7681</v>
      </c>
      <c r="M763" s="1" t="s">
        <v>7683</v>
      </c>
    </row>
    <row r="764" spans="1:13" x14ac:dyDescent="0.3">
      <c r="A764" s="3">
        <v>10316094</v>
      </c>
      <c r="B764" s="4" t="s">
        <v>1408</v>
      </c>
      <c r="C764" s="5" t="s">
        <v>7685</v>
      </c>
      <c r="D764" s="5" t="s">
        <v>7092</v>
      </c>
      <c r="E764" s="3" t="s">
        <v>14</v>
      </c>
      <c r="F764" s="6" t="s">
        <v>14</v>
      </c>
      <c r="G764" s="6" t="s">
        <v>14</v>
      </c>
      <c r="H764" s="6" t="s">
        <v>14</v>
      </c>
      <c r="I764" s="7">
        <v>42</v>
      </c>
      <c r="J764" s="3" t="s">
        <v>4318</v>
      </c>
      <c r="K764" s="8" t="s">
        <v>14</v>
      </c>
      <c r="L764" s="9" t="s">
        <v>7682</v>
      </c>
      <c r="M764" s="1" t="s">
        <v>7686</v>
      </c>
    </row>
    <row r="765" spans="1:13" x14ac:dyDescent="0.3">
      <c r="A765" s="3">
        <v>10316095</v>
      </c>
      <c r="B765" s="4" t="s">
        <v>1408</v>
      </c>
      <c r="C765" s="5" t="s">
        <v>7701</v>
      </c>
      <c r="D765" s="5" t="s">
        <v>7092</v>
      </c>
      <c r="E765" s="3" t="s">
        <v>14</v>
      </c>
      <c r="F765" s="6" t="s">
        <v>14</v>
      </c>
      <c r="G765" s="6" t="s">
        <v>14</v>
      </c>
      <c r="H765" s="6" t="s">
        <v>14</v>
      </c>
      <c r="I765" s="7">
        <v>42</v>
      </c>
      <c r="J765" s="3" t="s">
        <v>4318</v>
      </c>
      <c r="K765" s="8" t="s">
        <v>14</v>
      </c>
      <c r="L765" s="9" t="s">
        <v>7702</v>
      </c>
      <c r="M765" s="1" t="s">
        <v>7703</v>
      </c>
    </row>
    <row r="766" spans="1:13" x14ac:dyDescent="0.3">
      <c r="A766" s="3">
        <v>10316096</v>
      </c>
      <c r="B766" s="4" t="s">
        <v>1408</v>
      </c>
      <c r="C766" s="5" t="s">
        <v>7707</v>
      </c>
      <c r="D766" s="5" t="s">
        <v>7092</v>
      </c>
      <c r="E766" s="3" t="str">
        <f>"0341"</f>
        <v>0341</v>
      </c>
      <c r="F766" s="6" t="s">
        <v>14</v>
      </c>
      <c r="G766" s="6" t="s">
        <v>14</v>
      </c>
      <c r="H766" s="6" t="s">
        <v>14</v>
      </c>
      <c r="I766" s="7">
        <v>42</v>
      </c>
      <c r="J766" s="3" t="s">
        <v>4318</v>
      </c>
      <c r="K766" s="8" t="s">
        <v>14</v>
      </c>
      <c r="L766" s="9" t="s">
        <v>7708</v>
      </c>
      <c r="M766" s="1"/>
    </row>
    <row r="767" spans="1:13" x14ac:dyDescent="0.3">
      <c r="A767" s="3">
        <v>70100001</v>
      </c>
      <c r="B767" s="4" t="s">
        <v>1628</v>
      </c>
      <c r="C767" s="5" t="s">
        <v>1629</v>
      </c>
      <c r="D767" s="5" t="s">
        <v>96</v>
      </c>
      <c r="E767" s="3" t="s">
        <v>1630</v>
      </c>
      <c r="F767" s="6">
        <v>34.5</v>
      </c>
      <c r="G767" s="6">
        <v>16.5</v>
      </c>
      <c r="H767" s="6">
        <v>41</v>
      </c>
      <c r="I767" s="7" t="s">
        <v>4315</v>
      </c>
      <c r="J767" s="3" t="s">
        <v>4317</v>
      </c>
      <c r="K767" s="8" t="s">
        <v>4485</v>
      </c>
      <c r="L767" s="9" t="s">
        <v>1631</v>
      </c>
      <c r="M767" s="24" t="s">
        <v>1632</v>
      </c>
    </row>
    <row r="768" spans="1:13" x14ac:dyDescent="0.3">
      <c r="A768" s="3">
        <v>10810001</v>
      </c>
      <c r="B768" s="4" t="s">
        <v>1633</v>
      </c>
      <c r="C768" s="5" t="s">
        <v>1634</v>
      </c>
      <c r="D768" s="5" t="s">
        <v>96</v>
      </c>
      <c r="E768" s="3" t="s">
        <v>1635</v>
      </c>
      <c r="F768" s="6">
        <v>53.5</v>
      </c>
      <c r="G768" s="6">
        <v>40.5</v>
      </c>
      <c r="H768" s="6">
        <v>137</v>
      </c>
      <c r="I768" s="7" t="s">
        <v>4316</v>
      </c>
      <c r="J768" s="3" t="s">
        <v>4318</v>
      </c>
      <c r="K768" s="8" t="s">
        <v>4636</v>
      </c>
      <c r="L768" s="9" t="s">
        <v>1636</v>
      </c>
      <c r="M768" s="1" t="s">
        <v>1637</v>
      </c>
    </row>
    <row r="769" spans="1:13" x14ac:dyDescent="0.3">
      <c r="A769" s="3">
        <v>10810002</v>
      </c>
      <c r="B769" s="4" t="s">
        <v>1633</v>
      </c>
      <c r="C769" s="5" t="s">
        <v>1638</v>
      </c>
      <c r="D769" s="5" t="s">
        <v>96</v>
      </c>
      <c r="E769" s="3" t="s">
        <v>1635</v>
      </c>
      <c r="F769" s="6">
        <v>58.5</v>
      </c>
      <c r="G769" s="6">
        <v>48.5</v>
      </c>
      <c r="H769" s="6">
        <v>137</v>
      </c>
      <c r="I769" s="7" t="s">
        <v>4316</v>
      </c>
      <c r="J769" s="3" t="s">
        <v>4318</v>
      </c>
      <c r="K769" s="8" t="s">
        <v>4637</v>
      </c>
      <c r="L769" s="9" t="s">
        <v>1639</v>
      </c>
      <c r="M769" s="1" t="s">
        <v>1640</v>
      </c>
    </row>
    <row r="770" spans="1:13" x14ac:dyDescent="0.3">
      <c r="A770" s="3">
        <v>10811003</v>
      </c>
      <c r="B770" s="4" t="s">
        <v>1633</v>
      </c>
      <c r="C770" s="5" t="s">
        <v>1641</v>
      </c>
      <c r="D770" s="5" t="s">
        <v>154</v>
      </c>
      <c r="E770" s="3" t="s">
        <v>1635</v>
      </c>
      <c r="F770" s="6">
        <v>58.8</v>
      </c>
      <c r="G770" s="6">
        <v>52.5</v>
      </c>
      <c r="H770" s="6">
        <v>82.5</v>
      </c>
      <c r="I770" s="7" t="s">
        <v>4316</v>
      </c>
      <c r="J770" s="3" t="s">
        <v>4318</v>
      </c>
      <c r="K770" s="8" t="s">
        <v>4638</v>
      </c>
      <c r="L770" s="9" t="s">
        <v>1642</v>
      </c>
      <c r="M770" s="1" t="s">
        <v>1643</v>
      </c>
    </row>
    <row r="771" spans="1:13" x14ac:dyDescent="0.3">
      <c r="A771" s="3">
        <v>1320001</v>
      </c>
      <c r="B771" s="4" t="s">
        <v>5489</v>
      </c>
      <c r="C771" s="5" t="s">
        <v>6611</v>
      </c>
      <c r="D771" s="5" t="s">
        <v>96</v>
      </c>
      <c r="E771" s="3" t="s">
        <v>6681</v>
      </c>
      <c r="F771" s="6">
        <v>50.4</v>
      </c>
      <c r="G771" s="6">
        <v>34.5</v>
      </c>
      <c r="H771" s="6">
        <v>28</v>
      </c>
      <c r="I771" s="7">
        <v>32</v>
      </c>
      <c r="J771" s="3" t="s">
        <v>4317</v>
      </c>
      <c r="K771" s="8">
        <v>1.1000000000000001</v>
      </c>
      <c r="L771" s="9" t="s">
        <v>5490</v>
      </c>
      <c r="M771" s="1" t="s">
        <v>6614</v>
      </c>
    </row>
    <row r="772" spans="1:13" x14ac:dyDescent="0.3">
      <c r="A772" s="3">
        <v>1330002</v>
      </c>
      <c r="B772" s="4" t="s">
        <v>5489</v>
      </c>
      <c r="C772" s="5" t="s">
        <v>6612</v>
      </c>
      <c r="D772" s="5" t="s">
        <v>90</v>
      </c>
      <c r="E772" s="3" t="s">
        <v>6681</v>
      </c>
      <c r="F772" s="6">
        <v>49.4</v>
      </c>
      <c r="G772" s="6">
        <v>33</v>
      </c>
      <c r="H772" s="6">
        <v>8.5</v>
      </c>
      <c r="I772" s="7">
        <v>32</v>
      </c>
      <c r="J772" s="3" t="s">
        <v>4317</v>
      </c>
      <c r="K772" s="8">
        <f>0.04+0.03</f>
        <v>7.0000000000000007E-2</v>
      </c>
      <c r="L772" s="9" t="s">
        <v>5491</v>
      </c>
      <c r="M772" s="1" t="s">
        <v>6615</v>
      </c>
    </row>
    <row r="773" spans="1:13" x14ac:dyDescent="0.3">
      <c r="A773" s="3">
        <v>1331003</v>
      </c>
      <c r="B773" s="4" t="s">
        <v>5489</v>
      </c>
      <c r="C773" s="5" t="s">
        <v>6613</v>
      </c>
      <c r="D773" s="5" t="s">
        <v>74</v>
      </c>
      <c r="E773" s="3" t="s">
        <v>6681</v>
      </c>
      <c r="F773" s="6">
        <v>49.4</v>
      </c>
      <c r="G773" s="6">
        <v>33</v>
      </c>
      <c r="H773" s="6" t="s">
        <v>14</v>
      </c>
      <c r="I773" s="7">
        <v>32</v>
      </c>
      <c r="J773" s="3" t="s">
        <v>4317</v>
      </c>
      <c r="K773" s="8">
        <v>0.16</v>
      </c>
      <c r="L773" s="9" t="s">
        <v>5492</v>
      </c>
      <c r="M773" s="1" t="s">
        <v>6616</v>
      </c>
    </row>
    <row r="774" spans="1:13" x14ac:dyDescent="0.3">
      <c r="A774" s="3">
        <v>1330004</v>
      </c>
      <c r="B774" s="4" t="s">
        <v>5489</v>
      </c>
      <c r="C774" s="5" t="s">
        <v>6003</v>
      </c>
      <c r="D774" s="5" t="s">
        <v>96</v>
      </c>
      <c r="E774" s="3" t="s">
        <v>6682</v>
      </c>
      <c r="F774" s="6">
        <v>60.5</v>
      </c>
      <c r="G774" s="6">
        <v>41</v>
      </c>
      <c r="H774" s="6">
        <v>29.5</v>
      </c>
      <c r="I774" s="7">
        <v>32</v>
      </c>
      <c r="J774" s="3" t="s">
        <v>4317</v>
      </c>
      <c r="K774" s="8">
        <v>1.48</v>
      </c>
      <c r="L774" s="9" t="s">
        <v>5493</v>
      </c>
      <c r="M774" s="1" t="s">
        <v>6006</v>
      </c>
    </row>
    <row r="775" spans="1:13" x14ac:dyDescent="0.3">
      <c r="A775" s="3">
        <v>1330005</v>
      </c>
      <c r="B775" s="4" t="s">
        <v>5489</v>
      </c>
      <c r="C775" s="5" t="s">
        <v>6004</v>
      </c>
      <c r="D775" s="5" t="s">
        <v>90</v>
      </c>
      <c r="E775" s="3" t="s">
        <v>6682</v>
      </c>
      <c r="F775" s="6">
        <v>60</v>
      </c>
      <c r="G775" s="6">
        <v>40</v>
      </c>
      <c r="H775" s="6">
        <v>6.5</v>
      </c>
      <c r="I775" s="7">
        <v>32</v>
      </c>
      <c r="J775" s="3" t="s">
        <v>4317</v>
      </c>
      <c r="K775" s="8">
        <v>0.04</v>
      </c>
      <c r="L775" s="9" t="s">
        <v>5494</v>
      </c>
      <c r="M775" s="1" t="s">
        <v>6007</v>
      </c>
    </row>
    <row r="776" spans="1:13" x14ac:dyDescent="0.3">
      <c r="A776" s="3">
        <v>1330006</v>
      </c>
      <c r="B776" s="4" t="s">
        <v>5489</v>
      </c>
      <c r="C776" s="5" t="s">
        <v>6005</v>
      </c>
      <c r="D776" s="5" t="s">
        <v>74</v>
      </c>
      <c r="E776" s="3" t="s">
        <v>6682</v>
      </c>
      <c r="F776" s="6">
        <v>60</v>
      </c>
      <c r="G776" s="6">
        <v>40</v>
      </c>
      <c r="H776" s="6" t="s">
        <v>14</v>
      </c>
      <c r="I776" s="7">
        <v>32</v>
      </c>
      <c r="J776" s="3" t="s">
        <v>4317</v>
      </c>
      <c r="K776" s="8">
        <v>0.24</v>
      </c>
      <c r="L776" s="9" t="s">
        <v>5495</v>
      </c>
      <c r="M776" s="1" t="s">
        <v>6008</v>
      </c>
    </row>
    <row r="777" spans="1:13" x14ac:dyDescent="0.3">
      <c r="A777" s="3">
        <v>1330007</v>
      </c>
      <c r="B777" s="4" t="s">
        <v>5489</v>
      </c>
      <c r="C777" s="5" t="s">
        <v>6357</v>
      </c>
      <c r="D777" s="5" t="s">
        <v>96</v>
      </c>
      <c r="E777" s="3" t="s">
        <v>6358</v>
      </c>
      <c r="F777" s="6">
        <v>34.6</v>
      </c>
      <c r="G777" s="6">
        <v>23</v>
      </c>
      <c r="H777" s="6">
        <v>16</v>
      </c>
      <c r="I777" s="7">
        <v>32</v>
      </c>
      <c r="J777" s="3" t="s">
        <v>4317</v>
      </c>
      <c r="K777" s="8">
        <v>0.47</v>
      </c>
      <c r="L777" s="9" t="s">
        <v>6359</v>
      </c>
      <c r="M777" s="1" t="s">
        <v>6371</v>
      </c>
    </row>
    <row r="778" spans="1:13" x14ac:dyDescent="0.3">
      <c r="A778" s="3">
        <v>1330008</v>
      </c>
      <c r="B778" s="4" t="s">
        <v>5489</v>
      </c>
      <c r="C778" s="5" t="s">
        <v>6372</v>
      </c>
      <c r="D778" s="5" t="s">
        <v>90</v>
      </c>
      <c r="E778" s="3" t="s">
        <v>6358</v>
      </c>
      <c r="F778" s="6">
        <v>33.6</v>
      </c>
      <c r="G778" s="6">
        <v>21.5</v>
      </c>
      <c r="H778" s="6">
        <v>4.5</v>
      </c>
      <c r="I778" s="7">
        <v>32</v>
      </c>
      <c r="J778" s="3" t="s">
        <v>4317</v>
      </c>
      <c r="K778" s="8">
        <v>0.03</v>
      </c>
      <c r="L778" s="9" t="s">
        <v>6360</v>
      </c>
      <c r="M778" s="1" t="s">
        <v>6373</v>
      </c>
    </row>
    <row r="779" spans="1:13" x14ac:dyDescent="0.3">
      <c r="A779" s="3">
        <v>1330009</v>
      </c>
      <c r="B779" s="4" t="s">
        <v>5489</v>
      </c>
      <c r="C779" s="5" t="s">
        <v>6374</v>
      </c>
      <c r="D779" s="5" t="s">
        <v>74</v>
      </c>
      <c r="E779" s="3" t="s">
        <v>6358</v>
      </c>
      <c r="F779" s="6">
        <v>33.6</v>
      </c>
      <c r="G779" s="6">
        <v>21.5</v>
      </c>
      <c r="H779" s="6" t="s">
        <v>14</v>
      </c>
      <c r="I779" s="7">
        <v>32</v>
      </c>
      <c r="J779" s="3" t="s">
        <v>4317</v>
      </c>
      <c r="K779" s="8">
        <v>7.0000000000000007E-2</v>
      </c>
      <c r="L779" s="9" t="s">
        <v>6361</v>
      </c>
      <c r="M779" s="1" t="s">
        <v>6375</v>
      </c>
    </row>
    <row r="780" spans="1:13" x14ac:dyDescent="0.3">
      <c r="A780" s="3">
        <v>1330010</v>
      </c>
      <c r="B780" s="4" t="s">
        <v>5489</v>
      </c>
      <c r="C780" s="5" t="s">
        <v>6376</v>
      </c>
      <c r="D780" s="5" t="s">
        <v>96</v>
      </c>
      <c r="E780" s="3" t="s">
        <v>6683</v>
      </c>
      <c r="F780" s="6">
        <v>57</v>
      </c>
      <c r="G780" s="6">
        <v>49.5</v>
      </c>
      <c r="H780" s="6">
        <v>35.5</v>
      </c>
      <c r="I780" s="7">
        <v>32</v>
      </c>
      <c r="J780" s="3" t="s">
        <v>4317</v>
      </c>
      <c r="K780" s="8">
        <v>1.86</v>
      </c>
      <c r="L780" s="9" t="s">
        <v>6362</v>
      </c>
      <c r="M780" s="1" t="s">
        <v>6377</v>
      </c>
    </row>
    <row r="781" spans="1:13" x14ac:dyDescent="0.3">
      <c r="A781" s="3">
        <v>1330011</v>
      </c>
      <c r="B781" s="4" t="s">
        <v>5489</v>
      </c>
      <c r="C781" s="5" t="s">
        <v>6378</v>
      </c>
      <c r="D781" s="5" t="s">
        <v>90</v>
      </c>
      <c r="E781" s="3" t="s">
        <v>6683</v>
      </c>
      <c r="F781" s="6">
        <v>56</v>
      </c>
      <c r="G781" s="6">
        <v>48.5</v>
      </c>
      <c r="H781" s="6">
        <v>16.5</v>
      </c>
      <c r="I781" s="7">
        <v>32</v>
      </c>
      <c r="J781" s="3" t="s">
        <v>4317</v>
      </c>
      <c r="K781" s="8">
        <v>0.17</v>
      </c>
      <c r="L781" s="9" t="s">
        <v>6363</v>
      </c>
      <c r="M781" s="1" t="s">
        <v>6379</v>
      </c>
    </row>
    <row r="782" spans="1:13" x14ac:dyDescent="0.3">
      <c r="A782" s="3">
        <v>1320012</v>
      </c>
      <c r="B782" s="4" t="s">
        <v>5489</v>
      </c>
      <c r="C782" s="5" t="s">
        <v>6380</v>
      </c>
      <c r="D782" s="5" t="s">
        <v>74</v>
      </c>
      <c r="E782" s="3" t="s">
        <v>6683</v>
      </c>
      <c r="F782" s="6">
        <v>56</v>
      </c>
      <c r="G782" s="6">
        <v>48</v>
      </c>
      <c r="H782" s="6" t="s">
        <v>14</v>
      </c>
      <c r="I782" s="7">
        <v>32</v>
      </c>
      <c r="J782" s="3" t="s">
        <v>4317</v>
      </c>
      <c r="K782" s="8">
        <v>0.27</v>
      </c>
      <c r="L782" s="9" t="s">
        <v>6364</v>
      </c>
      <c r="M782" s="1" t="s">
        <v>6381</v>
      </c>
    </row>
    <row r="783" spans="1:13" x14ac:dyDescent="0.3">
      <c r="A783" s="3">
        <v>1330013</v>
      </c>
      <c r="B783" s="4" t="s">
        <v>5489</v>
      </c>
      <c r="C783" s="5" t="s">
        <v>6382</v>
      </c>
      <c r="D783" s="5" t="s">
        <v>96</v>
      </c>
      <c r="E783" s="3" t="s">
        <v>6383</v>
      </c>
      <c r="F783" s="6">
        <v>51.8</v>
      </c>
      <c r="G783" s="6">
        <v>41.5</v>
      </c>
      <c r="H783" s="6">
        <v>31.3</v>
      </c>
      <c r="I783" s="7">
        <v>32</v>
      </c>
      <c r="J783" s="3" t="s">
        <v>4317</v>
      </c>
      <c r="K783" s="8">
        <v>1.4</v>
      </c>
      <c r="L783" s="9" t="s">
        <v>6365</v>
      </c>
      <c r="M783" s="1" t="s">
        <v>6384</v>
      </c>
    </row>
    <row r="784" spans="1:13" x14ac:dyDescent="0.3">
      <c r="A784" s="3">
        <v>1330014</v>
      </c>
      <c r="B784" s="4" t="s">
        <v>5489</v>
      </c>
      <c r="C784" s="5" t="s">
        <v>6385</v>
      </c>
      <c r="D784" s="5" t="s">
        <v>90</v>
      </c>
      <c r="E784" s="3" t="s">
        <v>6383</v>
      </c>
      <c r="F784" s="6">
        <v>50.8</v>
      </c>
      <c r="G784" s="6">
        <v>40</v>
      </c>
      <c r="H784" s="6">
        <v>9.6</v>
      </c>
      <c r="I784" s="7">
        <v>32</v>
      </c>
      <c r="J784" s="3" t="s">
        <v>4317</v>
      </c>
      <c r="K784" s="8">
        <v>0.09</v>
      </c>
      <c r="L784" s="9" t="s">
        <v>6366</v>
      </c>
      <c r="M784" s="1" t="s">
        <v>6386</v>
      </c>
    </row>
    <row r="785" spans="1:13" x14ac:dyDescent="0.3">
      <c r="A785" s="3">
        <v>1330015</v>
      </c>
      <c r="B785" s="4" t="s">
        <v>5489</v>
      </c>
      <c r="C785" s="5" t="s">
        <v>6387</v>
      </c>
      <c r="D785" s="5" t="s">
        <v>74</v>
      </c>
      <c r="E785" s="3" t="s">
        <v>6383</v>
      </c>
      <c r="F785" s="6">
        <v>50.8</v>
      </c>
      <c r="G785" s="6">
        <v>40</v>
      </c>
      <c r="H785" s="6" t="s">
        <v>14</v>
      </c>
      <c r="I785" s="7">
        <v>32</v>
      </c>
      <c r="J785" s="3" t="s">
        <v>4317</v>
      </c>
      <c r="K785" s="8">
        <v>0.2</v>
      </c>
      <c r="L785" s="9" t="s">
        <v>6367</v>
      </c>
      <c r="M785" s="1" t="s">
        <v>6388</v>
      </c>
    </row>
    <row r="786" spans="1:13" x14ac:dyDescent="0.3">
      <c r="A786" s="3">
        <v>1330016</v>
      </c>
      <c r="B786" s="4" t="s">
        <v>5489</v>
      </c>
      <c r="C786" s="5" t="s">
        <v>6389</v>
      </c>
      <c r="D786" s="5" t="s">
        <v>96</v>
      </c>
      <c r="E786" s="3" t="s">
        <v>6390</v>
      </c>
      <c r="F786" s="6">
        <v>60.6</v>
      </c>
      <c r="G786" s="6">
        <v>35.1</v>
      </c>
      <c r="H786" s="6">
        <v>23.5</v>
      </c>
      <c r="I786" s="7">
        <v>32</v>
      </c>
      <c r="J786" s="3" t="s">
        <v>4317</v>
      </c>
      <c r="K786" s="8">
        <v>1.1599999999999999</v>
      </c>
      <c r="L786" s="9" t="s">
        <v>6368</v>
      </c>
      <c r="M786" s="1" t="s">
        <v>6391</v>
      </c>
    </row>
    <row r="787" spans="1:13" x14ac:dyDescent="0.3">
      <c r="A787" s="3">
        <v>1330017</v>
      </c>
      <c r="B787" s="4" t="s">
        <v>5489</v>
      </c>
      <c r="C787" s="5" t="s">
        <v>6392</v>
      </c>
      <c r="D787" s="5" t="s">
        <v>90</v>
      </c>
      <c r="E787" s="3" t="s">
        <v>6390</v>
      </c>
      <c r="F787" s="6">
        <v>59.6</v>
      </c>
      <c r="G787" s="6">
        <v>33.6</v>
      </c>
      <c r="H787" s="6">
        <v>7</v>
      </c>
      <c r="I787" s="7">
        <v>32</v>
      </c>
      <c r="J787" s="3" t="s">
        <v>4317</v>
      </c>
      <c r="K787" s="8">
        <v>0.06</v>
      </c>
      <c r="L787" s="9" t="s">
        <v>6369</v>
      </c>
      <c r="M787" s="1" t="s">
        <v>6393</v>
      </c>
    </row>
    <row r="788" spans="1:13" x14ac:dyDescent="0.3">
      <c r="A788" s="3">
        <v>1330018</v>
      </c>
      <c r="B788" s="4" t="s">
        <v>5489</v>
      </c>
      <c r="C788" s="5" t="s">
        <v>6394</v>
      </c>
      <c r="D788" s="5" t="s">
        <v>74</v>
      </c>
      <c r="E788" s="3" t="s">
        <v>6390</v>
      </c>
      <c r="F788" s="6">
        <v>59.6</v>
      </c>
      <c r="G788" s="6">
        <v>34.6</v>
      </c>
      <c r="H788" s="6" t="s">
        <v>14</v>
      </c>
      <c r="I788" s="7">
        <v>32</v>
      </c>
      <c r="J788" s="3" t="s">
        <v>4317</v>
      </c>
      <c r="K788" s="8">
        <v>0.21</v>
      </c>
      <c r="L788" s="9" t="s">
        <v>6370</v>
      </c>
      <c r="M788" s="1" t="s">
        <v>6395</v>
      </c>
    </row>
    <row r="789" spans="1:13" x14ac:dyDescent="0.3">
      <c r="A789" s="3">
        <v>1330019</v>
      </c>
      <c r="B789" s="4" t="s">
        <v>5489</v>
      </c>
      <c r="C789" s="5" t="s">
        <v>6640</v>
      </c>
      <c r="D789" s="5" t="s">
        <v>90</v>
      </c>
      <c r="E789" s="3" t="s">
        <v>6642</v>
      </c>
      <c r="F789" s="6">
        <v>59.5</v>
      </c>
      <c r="G789" s="6">
        <v>34.4</v>
      </c>
      <c r="H789" s="6">
        <v>7</v>
      </c>
      <c r="I789" s="7">
        <v>32</v>
      </c>
      <c r="J789" s="3" t="s">
        <v>4317</v>
      </c>
      <c r="K789" s="8">
        <f>0.04+0.02</f>
        <v>0.06</v>
      </c>
      <c r="L789" s="9" t="s">
        <v>6488</v>
      </c>
      <c r="M789" s="1" t="s">
        <v>6489</v>
      </c>
    </row>
    <row r="790" spans="1:13" x14ac:dyDescent="0.3">
      <c r="A790" s="3">
        <v>1330020</v>
      </c>
      <c r="B790" s="4" t="s">
        <v>5489</v>
      </c>
      <c r="C790" s="5" t="s">
        <v>7140</v>
      </c>
      <c r="D790" s="5" t="s">
        <v>96</v>
      </c>
      <c r="E790" s="3" t="s">
        <v>7141</v>
      </c>
      <c r="F790" s="6">
        <v>60.5</v>
      </c>
      <c r="G790" s="6">
        <v>57</v>
      </c>
      <c r="H790" s="6">
        <v>20</v>
      </c>
      <c r="I790" s="7">
        <v>32</v>
      </c>
      <c r="J790" s="3" t="s">
        <v>4317</v>
      </c>
      <c r="K790" s="8">
        <v>1.86</v>
      </c>
      <c r="L790" s="9" t="s">
        <v>7142</v>
      </c>
      <c r="M790" s="1"/>
    </row>
    <row r="791" spans="1:13" x14ac:dyDescent="0.3">
      <c r="A791" s="3">
        <v>1330021</v>
      </c>
      <c r="B791" s="4" t="s">
        <v>5489</v>
      </c>
      <c r="C791" s="5" t="s">
        <v>7151</v>
      </c>
      <c r="D791" s="5" t="s">
        <v>90</v>
      </c>
      <c r="E791" s="3" t="s">
        <v>7141</v>
      </c>
      <c r="F791" s="6">
        <v>59.5</v>
      </c>
      <c r="G791" s="6">
        <v>56.5</v>
      </c>
      <c r="H791" s="6">
        <v>19</v>
      </c>
      <c r="I791" s="7">
        <v>32</v>
      </c>
      <c r="J791" s="3" t="s">
        <v>4317</v>
      </c>
      <c r="K791" s="8">
        <f>0.11+0.11</f>
        <v>0.22</v>
      </c>
      <c r="L791" s="9" t="s">
        <v>7143</v>
      </c>
      <c r="M791" s="1"/>
    </row>
    <row r="792" spans="1:13" x14ac:dyDescent="0.3">
      <c r="A792" s="3">
        <v>1330022</v>
      </c>
      <c r="B792" s="4" t="s">
        <v>5489</v>
      </c>
      <c r="C792" s="5" t="s">
        <v>7152</v>
      </c>
      <c r="D792" s="5" t="s">
        <v>74</v>
      </c>
      <c r="E792" s="3" t="s">
        <v>7141</v>
      </c>
      <c r="F792" s="6">
        <v>59.5</v>
      </c>
      <c r="G792" s="6">
        <v>56</v>
      </c>
      <c r="H792" s="6" t="s">
        <v>14</v>
      </c>
      <c r="I792" s="7">
        <v>32</v>
      </c>
      <c r="J792" s="3" t="s">
        <v>4317</v>
      </c>
      <c r="K792" s="8">
        <v>0.33</v>
      </c>
      <c r="L792" s="9" t="s">
        <v>7144</v>
      </c>
      <c r="M792" s="1"/>
    </row>
    <row r="793" spans="1:13" x14ac:dyDescent="0.3">
      <c r="A793" s="3">
        <v>1330023</v>
      </c>
      <c r="B793" s="4" t="s">
        <v>5489</v>
      </c>
      <c r="C793" s="5" t="s">
        <v>7153</v>
      </c>
      <c r="D793" s="5" t="s">
        <v>96</v>
      </c>
      <c r="E793" s="3" t="s">
        <v>7156</v>
      </c>
      <c r="F793" s="6">
        <v>60.5</v>
      </c>
      <c r="G793" s="6">
        <v>37.5</v>
      </c>
      <c r="H793" s="6">
        <v>30.5</v>
      </c>
      <c r="I793" s="7">
        <v>32</v>
      </c>
      <c r="J793" s="3" t="s">
        <v>4317</v>
      </c>
      <c r="K793" s="8">
        <v>1.38</v>
      </c>
      <c r="L793" s="9" t="s">
        <v>7145</v>
      </c>
      <c r="M793" s="1"/>
    </row>
    <row r="794" spans="1:13" x14ac:dyDescent="0.3">
      <c r="A794" s="3">
        <v>1330024</v>
      </c>
      <c r="B794" s="4" t="s">
        <v>5489</v>
      </c>
      <c r="C794" s="5" t="s">
        <v>7154</v>
      </c>
      <c r="D794" s="5" t="s">
        <v>90</v>
      </c>
      <c r="E794" s="3" t="s">
        <v>7156</v>
      </c>
      <c r="F794" s="6">
        <v>59.5</v>
      </c>
      <c r="G794" s="6">
        <v>36.5</v>
      </c>
      <c r="H794" s="6">
        <v>14</v>
      </c>
      <c r="I794" s="7">
        <v>32</v>
      </c>
      <c r="J794" s="3" t="s">
        <v>4317</v>
      </c>
      <c r="K794" s="8">
        <f>0.08+0.05</f>
        <v>0.13</v>
      </c>
      <c r="L794" s="9" t="s">
        <v>7146</v>
      </c>
      <c r="M794" s="1"/>
    </row>
    <row r="795" spans="1:13" x14ac:dyDescent="0.3">
      <c r="A795" s="3">
        <v>1330025</v>
      </c>
      <c r="B795" s="4" t="s">
        <v>5489</v>
      </c>
      <c r="C795" s="5" t="s">
        <v>7155</v>
      </c>
      <c r="D795" s="5" t="s">
        <v>74</v>
      </c>
      <c r="E795" s="3" t="s">
        <v>7156</v>
      </c>
      <c r="F795" s="6">
        <v>59.5</v>
      </c>
      <c r="G795" s="6">
        <v>36.5</v>
      </c>
      <c r="H795" s="6" t="s">
        <v>14</v>
      </c>
      <c r="I795" s="7">
        <v>32</v>
      </c>
      <c r="J795" s="3" t="s">
        <v>4317</v>
      </c>
      <c r="K795" s="8">
        <v>0.22</v>
      </c>
      <c r="L795" s="9" t="s">
        <v>7147</v>
      </c>
      <c r="M795" s="1"/>
    </row>
    <row r="796" spans="1:13" x14ac:dyDescent="0.3">
      <c r="A796" s="3">
        <v>1330026</v>
      </c>
      <c r="B796" s="4" t="s">
        <v>5489</v>
      </c>
      <c r="C796" s="5" t="s">
        <v>7157</v>
      </c>
      <c r="D796" s="5" t="s">
        <v>96</v>
      </c>
      <c r="E796" s="3" t="s">
        <v>7160</v>
      </c>
      <c r="F796" s="6">
        <v>60.5</v>
      </c>
      <c r="G796" s="6">
        <v>57</v>
      </c>
      <c r="H796" s="6">
        <v>60.5</v>
      </c>
      <c r="I796" s="7">
        <v>32</v>
      </c>
      <c r="J796" s="3" t="s">
        <v>4317</v>
      </c>
      <c r="K796" s="8">
        <v>2.21</v>
      </c>
      <c r="L796" s="9" t="s">
        <v>7148</v>
      </c>
      <c r="M796" s="1"/>
    </row>
    <row r="797" spans="1:13" x14ac:dyDescent="0.3">
      <c r="A797" s="3">
        <v>1330027</v>
      </c>
      <c r="B797" s="4" t="s">
        <v>5489</v>
      </c>
      <c r="C797" s="5" t="s">
        <v>7158</v>
      </c>
      <c r="D797" s="5" t="s">
        <v>90</v>
      </c>
      <c r="E797" s="3" t="s">
        <v>7160</v>
      </c>
      <c r="F797" s="6">
        <v>59.5</v>
      </c>
      <c r="G797" s="6">
        <v>56.4</v>
      </c>
      <c r="H797" s="6">
        <v>33.5</v>
      </c>
      <c r="I797" s="7">
        <v>32</v>
      </c>
      <c r="J797" s="3" t="s">
        <v>4317</v>
      </c>
      <c r="K797" s="8">
        <f>0.2+0.19</f>
        <v>0.39</v>
      </c>
      <c r="L797" s="9" t="s">
        <v>7149</v>
      </c>
      <c r="M797" s="1"/>
    </row>
    <row r="798" spans="1:13" x14ac:dyDescent="0.3">
      <c r="A798" s="3">
        <v>1330028</v>
      </c>
      <c r="B798" s="4" t="s">
        <v>5489</v>
      </c>
      <c r="C798" s="5" t="s">
        <v>7159</v>
      </c>
      <c r="D798" s="5" t="s">
        <v>74</v>
      </c>
      <c r="E798" s="3" t="s">
        <v>7160</v>
      </c>
      <c r="F798" s="6">
        <v>59.5</v>
      </c>
      <c r="G798" s="6">
        <v>55.5</v>
      </c>
      <c r="H798" s="6" t="s">
        <v>14</v>
      </c>
      <c r="I798" s="7">
        <v>32</v>
      </c>
      <c r="J798" s="3" t="s">
        <v>4317</v>
      </c>
      <c r="K798" s="8">
        <v>0.33</v>
      </c>
      <c r="L798" s="9" t="s">
        <v>7150</v>
      </c>
      <c r="M798" s="1"/>
    </row>
    <row r="799" spans="1:13" x14ac:dyDescent="0.3">
      <c r="A799" s="3">
        <v>1001</v>
      </c>
      <c r="B799" s="4" t="s">
        <v>5489</v>
      </c>
      <c r="C799" s="5">
        <v>1330016</v>
      </c>
      <c r="D799" s="5" t="s">
        <v>6705</v>
      </c>
      <c r="E799" s="3" t="s">
        <v>6390</v>
      </c>
      <c r="F799" s="6">
        <v>60</v>
      </c>
      <c r="G799" s="6">
        <v>34</v>
      </c>
      <c r="H799" s="6">
        <v>23</v>
      </c>
      <c r="I799" s="7">
        <v>32</v>
      </c>
      <c r="J799" s="3" t="s">
        <v>4317</v>
      </c>
      <c r="K799" s="8" t="s">
        <v>14</v>
      </c>
      <c r="L799" s="9" t="s">
        <v>6490</v>
      </c>
      <c r="M799" s="1" t="s">
        <v>6491</v>
      </c>
    </row>
    <row r="800" spans="1:13" x14ac:dyDescent="0.3">
      <c r="A800" s="3">
        <v>3120001</v>
      </c>
      <c r="B800" s="4" t="s">
        <v>6617</v>
      </c>
      <c r="C800" s="5" t="s">
        <v>5991</v>
      </c>
      <c r="D800" s="5" t="s">
        <v>682</v>
      </c>
      <c r="E800" s="3" t="s">
        <v>14</v>
      </c>
      <c r="F800" s="6">
        <v>113</v>
      </c>
      <c r="G800" s="6">
        <v>97</v>
      </c>
      <c r="H800" s="6">
        <v>68</v>
      </c>
      <c r="I800" s="7">
        <v>74</v>
      </c>
      <c r="J800" s="3" t="s">
        <v>5073</v>
      </c>
      <c r="K800" s="8">
        <v>3.48</v>
      </c>
      <c r="L800" s="9" t="s">
        <v>5994</v>
      </c>
      <c r="M800" s="1" t="s">
        <v>5998</v>
      </c>
    </row>
    <row r="801" spans="1:13" x14ac:dyDescent="0.3">
      <c r="A801" s="3">
        <v>3120002</v>
      </c>
      <c r="B801" s="4" t="s">
        <v>6617</v>
      </c>
      <c r="C801" s="5" t="s">
        <v>5992</v>
      </c>
      <c r="D801" s="5" t="s">
        <v>13</v>
      </c>
      <c r="E801" s="3" t="s">
        <v>14</v>
      </c>
      <c r="F801" s="6">
        <v>114.5</v>
      </c>
      <c r="G801" s="6">
        <v>98.5</v>
      </c>
      <c r="H801" s="6">
        <v>10</v>
      </c>
      <c r="I801" s="7">
        <v>42</v>
      </c>
      <c r="J801" s="3" t="s">
        <v>4318</v>
      </c>
      <c r="K801" s="8">
        <v>1.59</v>
      </c>
      <c r="L801" s="9" t="s">
        <v>5995</v>
      </c>
      <c r="M801" s="1" t="s">
        <v>5999</v>
      </c>
    </row>
    <row r="802" spans="1:13" x14ac:dyDescent="0.3">
      <c r="A802" s="3">
        <v>3120003</v>
      </c>
      <c r="B802" s="4" t="s">
        <v>6617</v>
      </c>
      <c r="C802" s="5" t="s">
        <v>5993</v>
      </c>
      <c r="D802" s="5" t="s">
        <v>74</v>
      </c>
      <c r="E802" s="3" t="s">
        <v>14</v>
      </c>
      <c r="F802" s="6">
        <v>112</v>
      </c>
      <c r="G802" s="6">
        <v>96</v>
      </c>
      <c r="H802" s="6" t="s">
        <v>14</v>
      </c>
      <c r="I802" s="7">
        <v>26</v>
      </c>
      <c r="J802" s="3" t="s">
        <v>4317</v>
      </c>
      <c r="K802" s="8">
        <v>1.08</v>
      </c>
      <c r="L802" s="9" t="s">
        <v>5996</v>
      </c>
      <c r="M802" s="1" t="s">
        <v>6000</v>
      </c>
    </row>
    <row r="803" spans="1:13" x14ac:dyDescent="0.3">
      <c r="A803" s="3">
        <v>3120004</v>
      </c>
      <c r="B803" s="4" t="s">
        <v>6617</v>
      </c>
      <c r="C803" s="5" t="s">
        <v>6001</v>
      </c>
      <c r="D803" s="5" t="s">
        <v>96</v>
      </c>
      <c r="E803" s="3" t="s">
        <v>14</v>
      </c>
      <c r="F803" s="6">
        <v>61</v>
      </c>
      <c r="G803" s="6">
        <v>28</v>
      </c>
      <c r="H803" s="6">
        <v>21.7</v>
      </c>
      <c r="I803" s="7">
        <v>42</v>
      </c>
      <c r="J803" s="3" t="s">
        <v>4318</v>
      </c>
      <c r="K803" s="8">
        <v>0.92</v>
      </c>
      <c r="L803" s="9" t="s">
        <v>5997</v>
      </c>
      <c r="M803" s="1" t="s">
        <v>6002</v>
      </c>
    </row>
    <row r="804" spans="1:13" x14ac:dyDescent="0.3">
      <c r="A804" s="3">
        <v>11610001</v>
      </c>
      <c r="B804" s="4" t="s">
        <v>1644</v>
      </c>
      <c r="C804" s="5" t="s">
        <v>1645</v>
      </c>
      <c r="D804" s="5" t="s">
        <v>96</v>
      </c>
      <c r="E804" s="3" t="s">
        <v>14</v>
      </c>
      <c r="F804" s="6">
        <v>42</v>
      </c>
      <c r="G804" s="6">
        <v>31.5</v>
      </c>
      <c r="H804" s="6">
        <v>24.3</v>
      </c>
      <c r="I804" s="7" t="s">
        <v>4315</v>
      </c>
      <c r="J804" s="3" t="s">
        <v>4317</v>
      </c>
      <c r="K804" s="8" t="s">
        <v>4598</v>
      </c>
      <c r="L804" s="9" t="s">
        <v>1646</v>
      </c>
      <c r="M804" s="1" t="s">
        <v>1647</v>
      </c>
    </row>
    <row r="805" spans="1:13" x14ac:dyDescent="0.3">
      <c r="A805" s="3">
        <v>11610002</v>
      </c>
      <c r="B805" s="4" t="s">
        <v>1644</v>
      </c>
      <c r="C805" s="5" t="s">
        <v>1648</v>
      </c>
      <c r="D805" s="5" t="s">
        <v>96</v>
      </c>
      <c r="E805" s="3" t="s">
        <v>14</v>
      </c>
      <c r="F805" s="6">
        <v>33.4</v>
      </c>
      <c r="G805" s="6">
        <v>26.4</v>
      </c>
      <c r="H805" s="6">
        <v>26.8</v>
      </c>
      <c r="I805" s="7" t="s">
        <v>4315</v>
      </c>
      <c r="J805" s="3" t="s">
        <v>4317</v>
      </c>
      <c r="K805" s="8" t="s">
        <v>4410</v>
      </c>
      <c r="L805" s="9" t="s">
        <v>1649</v>
      </c>
      <c r="M805" s="1" t="s">
        <v>1650</v>
      </c>
    </row>
    <row r="806" spans="1:13" x14ac:dyDescent="0.3">
      <c r="A806" s="3">
        <v>11619003</v>
      </c>
      <c r="B806" s="4" t="s">
        <v>1644</v>
      </c>
      <c r="C806" s="5" t="s">
        <v>1651</v>
      </c>
      <c r="D806" s="5" t="s">
        <v>74</v>
      </c>
      <c r="E806" s="3" t="s">
        <v>14</v>
      </c>
      <c r="F806" s="6">
        <v>33</v>
      </c>
      <c r="G806" s="6">
        <v>25.9</v>
      </c>
      <c r="H806" s="6">
        <v>0</v>
      </c>
      <c r="I806" s="7" t="s">
        <v>4315</v>
      </c>
      <c r="J806" s="3" t="s">
        <v>4317</v>
      </c>
      <c r="K806" s="8" t="s">
        <v>4426</v>
      </c>
      <c r="L806" s="9" t="s">
        <v>1652</v>
      </c>
      <c r="M806" s="1" t="s">
        <v>1653</v>
      </c>
    </row>
    <row r="807" spans="1:13" x14ac:dyDescent="0.3">
      <c r="A807" s="3">
        <v>11610004</v>
      </c>
      <c r="B807" s="4" t="s">
        <v>1644</v>
      </c>
      <c r="C807" s="5" t="s">
        <v>1654</v>
      </c>
      <c r="D807" s="5" t="s">
        <v>96</v>
      </c>
      <c r="E807" s="3" t="s">
        <v>14</v>
      </c>
      <c r="F807" s="6">
        <v>20.399999999999999</v>
      </c>
      <c r="G807" s="6">
        <v>20.399999999999999</v>
      </c>
      <c r="H807" s="6">
        <v>16</v>
      </c>
      <c r="I807" s="7" t="s">
        <v>4315</v>
      </c>
      <c r="J807" s="3" t="s">
        <v>4317</v>
      </c>
      <c r="K807" s="8" t="s">
        <v>4431</v>
      </c>
      <c r="L807" s="9" t="s">
        <v>1655</v>
      </c>
      <c r="M807" s="1" t="s">
        <v>1656</v>
      </c>
    </row>
    <row r="808" spans="1:13" x14ac:dyDescent="0.3">
      <c r="A808" s="3">
        <v>11610005</v>
      </c>
      <c r="B808" s="4" t="s">
        <v>1644</v>
      </c>
      <c r="C808" s="5" t="s">
        <v>1657</v>
      </c>
      <c r="D808" s="5" t="s">
        <v>96</v>
      </c>
      <c r="E808" s="3" t="s">
        <v>14</v>
      </c>
      <c r="F808" s="6">
        <v>25.2</v>
      </c>
      <c r="G808" s="6">
        <v>22.8</v>
      </c>
      <c r="H808" s="6">
        <v>22.4</v>
      </c>
      <c r="I808" s="7" t="s">
        <v>4315</v>
      </c>
      <c r="J808" s="3" t="s">
        <v>4317</v>
      </c>
      <c r="K808" s="8" t="s">
        <v>4606</v>
      </c>
      <c r="L808" s="9" t="s">
        <v>1658</v>
      </c>
      <c r="M808" s="1" t="s">
        <v>1659</v>
      </c>
    </row>
    <row r="809" spans="1:13" x14ac:dyDescent="0.3">
      <c r="A809" s="3">
        <v>11610006</v>
      </c>
      <c r="B809" s="4" t="s">
        <v>1644</v>
      </c>
      <c r="C809" s="5" t="s">
        <v>1660</v>
      </c>
      <c r="D809" s="5" t="s">
        <v>96</v>
      </c>
      <c r="E809" s="3" t="s">
        <v>14</v>
      </c>
      <c r="F809" s="6">
        <v>33.4</v>
      </c>
      <c r="G809" s="6">
        <v>26.4</v>
      </c>
      <c r="H809" s="6">
        <v>26.8</v>
      </c>
      <c r="I809" s="7" t="s">
        <v>4473</v>
      </c>
      <c r="J809" s="3" t="s">
        <v>4317</v>
      </c>
      <c r="K809" s="8" t="s">
        <v>4410</v>
      </c>
      <c r="L809" s="9" t="s">
        <v>1661</v>
      </c>
      <c r="M809" s="1" t="s">
        <v>1662</v>
      </c>
    </row>
    <row r="810" spans="1:13" x14ac:dyDescent="0.3">
      <c r="A810" s="3">
        <v>11610007</v>
      </c>
      <c r="B810" s="4" t="s">
        <v>1644</v>
      </c>
      <c r="C810" s="5" t="s">
        <v>1663</v>
      </c>
      <c r="D810" s="5" t="s">
        <v>96</v>
      </c>
      <c r="E810" s="3" t="s">
        <v>14</v>
      </c>
      <c r="F810" s="6">
        <v>29</v>
      </c>
      <c r="G810" s="6">
        <v>13.1</v>
      </c>
      <c r="H810" s="6">
        <v>14.8</v>
      </c>
      <c r="I810" s="7" t="s">
        <v>4315</v>
      </c>
      <c r="J810" s="3" t="s">
        <v>4317</v>
      </c>
      <c r="K810" s="8" t="s">
        <v>4563</v>
      </c>
      <c r="L810" s="9" t="s">
        <v>1664</v>
      </c>
      <c r="M810" s="1" t="s">
        <v>1665</v>
      </c>
    </row>
    <row r="811" spans="1:13" x14ac:dyDescent="0.3">
      <c r="A811" s="3">
        <v>11610008</v>
      </c>
      <c r="B811" s="4" t="s">
        <v>1644</v>
      </c>
      <c r="C811" s="5" t="s">
        <v>1666</v>
      </c>
      <c r="D811" s="5" t="s">
        <v>96</v>
      </c>
      <c r="E811" s="3" t="s">
        <v>14</v>
      </c>
      <c r="F811" s="6">
        <v>29</v>
      </c>
      <c r="G811" s="6">
        <v>13.1</v>
      </c>
      <c r="H811" s="6">
        <v>14.8</v>
      </c>
      <c r="I811" s="7" t="s">
        <v>4473</v>
      </c>
      <c r="J811" s="3" t="s">
        <v>4317</v>
      </c>
      <c r="K811" s="8" t="s">
        <v>4563</v>
      </c>
      <c r="L811" s="9" t="s">
        <v>1667</v>
      </c>
      <c r="M811" s="1" t="s">
        <v>1668</v>
      </c>
    </row>
    <row r="812" spans="1:13" x14ac:dyDescent="0.3">
      <c r="A812" s="3">
        <v>11610009</v>
      </c>
      <c r="B812" s="4" t="s">
        <v>1644</v>
      </c>
      <c r="C812" s="5" t="s">
        <v>1669</v>
      </c>
      <c r="D812" s="5" t="s">
        <v>96</v>
      </c>
      <c r="E812" s="3" t="s">
        <v>1670</v>
      </c>
      <c r="F812" s="6">
        <v>51.5</v>
      </c>
      <c r="G812" s="6">
        <v>48</v>
      </c>
      <c r="H812" s="6">
        <v>36.700000000000003</v>
      </c>
      <c r="I812" s="7">
        <v>48</v>
      </c>
      <c r="J812" s="3" t="s">
        <v>4318</v>
      </c>
      <c r="K812" s="8">
        <v>1.74</v>
      </c>
      <c r="L812" s="9" t="s">
        <v>1671</v>
      </c>
      <c r="M812" s="24" t="s">
        <v>4796</v>
      </c>
    </row>
    <row r="813" spans="1:13" x14ac:dyDescent="0.3">
      <c r="A813" s="3">
        <v>11610010</v>
      </c>
      <c r="B813" s="4" t="s">
        <v>1644</v>
      </c>
      <c r="C813" s="5" t="s">
        <v>1672</v>
      </c>
      <c r="D813" s="5" t="s">
        <v>90</v>
      </c>
      <c r="E813" s="3" t="s">
        <v>1670</v>
      </c>
      <c r="F813" s="6">
        <v>50</v>
      </c>
      <c r="G813" s="6">
        <v>47</v>
      </c>
      <c r="H813" s="6">
        <v>15.5</v>
      </c>
      <c r="I813" s="7">
        <v>48</v>
      </c>
      <c r="J813" s="3" t="s">
        <v>4318</v>
      </c>
      <c r="K813" s="8">
        <v>7.0000000000000007E-2</v>
      </c>
      <c r="L813" s="9" t="s">
        <v>1673</v>
      </c>
      <c r="M813" s="24" t="s">
        <v>4797</v>
      </c>
    </row>
    <row r="814" spans="1:13" x14ac:dyDescent="0.3">
      <c r="A814" s="3">
        <v>11610011</v>
      </c>
      <c r="B814" s="4" t="s">
        <v>1644</v>
      </c>
      <c r="C814" s="5" t="s">
        <v>1674</v>
      </c>
      <c r="D814" s="5" t="s">
        <v>74</v>
      </c>
      <c r="E814" s="3" t="s">
        <v>1670</v>
      </c>
      <c r="F814" s="6">
        <v>50.5</v>
      </c>
      <c r="G814" s="6">
        <v>47</v>
      </c>
      <c r="H814" s="6">
        <v>0</v>
      </c>
      <c r="I814" s="7">
        <v>48</v>
      </c>
      <c r="J814" s="3" t="s">
        <v>4318</v>
      </c>
      <c r="K814" s="8">
        <v>0.24</v>
      </c>
      <c r="L814" s="9" t="s">
        <v>1675</v>
      </c>
      <c r="M814" s="24" t="s">
        <v>4798</v>
      </c>
    </row>
    <row r="815" spans="1:13" x14ac:dyDescent="0.3">
      <c r="A815" s="3">
        <v>11610012</v>
      </c>
      <c r="B815" s="4" t="s">
        <v>1644</v>
      </c>
      <c r="C815" s="5" t="s">
        <v>1676</v>
      </c>
      <c r="D815" s="5" t="s">
        <v>96</v>
      </c>
      <c r="E815" s="3" t="s">
        <v>1677</v>
      </c>
      <c r="F815" s="6">
        <v>51.5</v>
      </c>
      <c r="G815" s="6">
        <v>34</v>
      </c>
      <c r="H815" s="6">
        <v>29.7</v>
      </c>
      <c r="I815" s="7">
        <v>48</v>
      </c>
      <c r="J815" s="3" t="s">
        <v>4318</v>
      </c>
      <c r="K815" s="8">
        <v>1.1399999999999999</v>
      </c>
      <c r="L815" s="9" t="s">
        <v>1678</v>
      </c>
      <c r="M815" s="24" t="s">
        <v>4799</v>
      </c>
    </row>
    <row r="816" spans="1:13" x14ac:dyDescent="0.3">
      <c r="A816" s="3">
        <v>11610013</v>
      </c>
      <c r="B816" s="4" t="s">
        <v>1644</v>
      </c>
      <c r="C816" s="5" t="s">
        <v>1679</v>
      </c>
      <c r="D816" s="5" t="s">
        <v>90</v>
      </c>
      <c r="E816" s="3" t="s">
        <v>1677</v>
      </c>
      <c r="F816" s="6">
        <v>33</v>
      </c>
      <c r="G816" s="6">
        <v>50.5</v>
      </c>
      <c r="H816" s="6">
        <v>12.5</v>
      </c>
      <c r="I816" s="7">
        <v>48</v>
      </c>
      <c r="J816" s="3" t="s">
        <v>4318</v>
      </c>
      <c r="K816" s="8">
        <v>0.04</v>
      </c>
      <c r="L816" s="9" t="s">
        <v>1680</v>
      </c>
      <c r="M816" s="24" t="s">
        <v>4800</v>
      </c>
    </row>
    <row r="817" spans="1:13" x14ac:dyDescent="0.3">
      <c r="A817" s="3">
        <v>11610014</v>
      </c>
      <c r="B817" s="4" t="s">
        <v>1644</v>
      </c>
      <c r="C817" s="5" t="s">
        <v>1681</v>
      </c>
      <c r="D817" s="5" t="s">
        <v>74</v>
      </c>
      <c r="E817" s="3" t="s">
        <v>1677</v>
      </c>
      <c r="F817" s="6">
        <v>33</v>
      </c>
      <c r="G817" s="6">
        <v>50.5</v>
      </c>
      <c r="H817" s="6"/>
      <c r="I817" s="7">
        <v>48</v>
      </c>
      <c r="J817" s="3" t="s">
        <v>4318</v>
      </c>
      <c r="K817" s="8">
        <v>0.17</v>
      </c>
      <c r="L817" s="9" t="s">
        <v>1682</v>
      </c>
      <c r="M817" s="24" t="s">
        <v>4801</v>
      </c>
    </row>
    <row r="818" spans="1:13" x14ac:dyDescent="0.3">
      <c r="A818" s="3">
        <v>11610015</v>
      </c>
      <c r="B818" s="4" t="s">
        <v>1644</v>
      </c>
      <c r="C818" s="5" t="s">
        <v>1683</v>
      </c>
      <c r="D818" s="5" t="s">
        <v>96</v>
      </c>
      <c r="E818" s="3" t="s">
        <v>1684</v>
      </c>
      <c r="F818" s="6">
        <v>34</v>
      </c>
      <c r="G818" s="6">
        <v>34</v>
      </c>
      <c r="H818" s="6">
        <v>22.7</v>
      </c>
      <c r="I818" s="7">
        <v>48</v>
      </c>
      <c r="J818" s="3" t="s">
        <v>4318</v>
      </c>
      <c r="K818" s="8">
        <v>0.81</v>
      </c>
      <c r="L818" s="9" t="s">
        <v>1685</v>
      </c>
      <c r="M818" s="24" t="s">
        <v>4802</v>
      </c>
    </row>
    <row r="819" spans="1:13" x14ac:dyDescent="0.3">
      <c r="A819" s="3">
        <v>11610016</v>
      </c>
      <c r="B819" s="4" t="s">
        <v>1644</v>
      </c>
      <c r="C819" s="5" t="s">
        <v>1686</v>
      </c>
      <c r="D819" s="5" t="s">
        <v>90</v>
      </c>
      <c r="E819" s="3" t="s">
        <v>1684</v>
      </c>
      <c r="F819" s="6">
        <v>33</v>
      </c>
      <c r="G819" s="6">
        <v>33</v>
      </c>
      <c r="H819" s="6">
        <v>9</v>
      </c>
      <c r="I819" s="7">
        <v>48</v>
      </c>
      <c r="J819" s="3" t="s">
        <v>4318</v>
      </c>
      <c r="K819" s="8">
        <v>0.03</v>
      </c>
      <c r="L819" s="9" t="s">
        <v>1687</v>
      </c>
      <c r="M819" s="24" t="s">
        <v>4803</v>
      </c>
    </row>
    <row r="820" spans="1:13" x14ac:dyDescent="0.3">
      <c r="A820" s="3">
        <v>11610017</v>
      </c>
      <c r="B820" s="4" t="s">
        <v>1644</v>
      </c>
      <c r="C820" s="5" t="s">
        <v>1688</v>
      </c>
      <c r="D820" s="5" t="s">
        <v>74</v>
      </c>
      <c r="E820" s="3" t="s">
        <v>1684</v>
      </c>
      <c r="F820" s="6">
        <v>33</v>
      </c>
      <c r="G820" s="6">
        <v>33</v>
      </c>
      <c r="H820" s="6">
        <v>0</v>
      </c>
      <c r="I820" s="7">
        <v>48</v>
      </c>
      <c r="J820" s="3" t="s">
        <v>4318</v>
      </c>
      <c r="K820" s="8">
        <v>0.11</v>
      </c>
      <c r="L820" s="9" t="s">
        <v>1689</v>
      </c>
      <c r="M820" s="24" t="s">
        <v>4804</v>
      </c>
    </row>
    <row r="821" spans="1:13" x14ac:dyDescent="0.3">
      <c r="A821" s="3">
        <v>11610018</v>
      </c>
      <c r="B821" s="4" t="s">
        <v>1644</v>
      </c>
      <c r="C821" s="5" t="s">
        <v>5290</v>
      </c>
      <c r="D821" s="5" t="s">
        <v>96</v>
      </c>
      <c r="E821" s="3" t="s">
        <v>14</v>
      </c>
      <c r="F821" s="6">
        <v>15.7</v>
      </c>
      <c r="G821" s="6">
        <v>13.2</v>
      </c>
      <c r="H821" s="6">
        <v>13.5</v>
      </c>
      <c r="I821" s="7">
        <v>32</v>
      </c>
      <c r="J821" s="3" t="s">
        <v>4317</v>
      </c>
      <c r="K821" s="8">
        <v>0.17</v>
      </c>
      <c r="L821" s="9" t="s">
        <v>5291</v>
      </c>
      <c r="M821" s="1" t="s">
        <v>5296</v>
      </c>
    </row>
    <row r="822" spans="1:13" x14ac:dyDescent="0.3">
      <c r="A822" s="3">
        <v>11610019</v>
      </c>
      <c r="B822" s="4" t="s">
        <v>1644</v>
      </c>
      <c r="C822" s="5" t="s">
        <v>5294</v>
      </c>
      <c r="D822" s="5" t="s">
        <v>96</v>
      </c>
      <c r="E822" s="3" t="s">
        <v>14</v>
      </c>
      <c r="F822" s="6">
        <v>20.8</v>
      </c>
      <c r="G822" s="6">
        <v>15.7</v>
      </c>
      <c r="H822" s="6">
        <v>21.1</v>
      </c>
      <c r="I822" s="7">
        <v>44</v>
      </c>
      <c r="J822" s="3" t="s">
        <v>4318</v>
      </c>
      <c r="K822" s="8">
        <v>0.28999999999999998</v>
      </c>
      <c r="L822" s="9" t="s">
        <v>5292</v>
      </c>
      <c r="M822" s="1" t="s">
        <v>5297</v>
      </c>
    </row>
    <row r="823" spans="1:13" x14ac:dyDescent="0.3">
      <c r="A823" s="3">
        <v>11610020</v>
      </c>
      <c r="B823" s="4" t="s">
        <v>1644</v>
      </c>
      <c r="C823" s="5" t="s">
        <v>5295</v>
      </c>
      <c r="D823" s="5" t="s">
        <v>96</v>
      </c>
      <c r="E823" s="3" t="s">
        <v>14</v>
      </c>
      <c r="F823" s="6">
        <v>48.4</v>
      </c>
      <c r="G823" s="6">
        <v>19.5</v>
      </c>
      <c r="H823" s="6">
        <v>29.7</v>
      </c>
      <c r="I823" s="7">
        <v>32</v>
      </c>
      <c r="J823" s="3" t="s">
        <v>4317</v>
      </c>
      <c r="K823" s="8">
        <v>0.5</v>
      </c>
      <c r="L823" s="9" t="s">
        <v>5293</v>
      </c>
      <c r="M823" s="1" t="s">
        <v>5298</v>
      </c>
    </row>
    <row r="824" spans="1:13" x14ac:dyDescent="0.3">
      <c r="A824" s="3">
        <v>50240004</v>
      </c>
      <c r="B824" s="4" t="s">
        <v>1644</v>
      </c>
      <c r="C824" s="5" t="s">
        <v>5217</v>
      </c>
      <c r="D824" s="5" t="s">
        <v>613</v>
      </c>
      <c r="E824" s="3" t="s">
        <v>5205</v>
      </c>
      <c r="F824" s="6" t="s">
        <v>5218</v>
      </c>
      <c r="G824" s="6" t="s">
        <v>5207</v>
      </c>
      <c r="H824" s="6" t="s">
        <v>14</v>
      </c>
      <c r="I824" s="3" t="s">
        <v>5208</v>
      </c>
      <c r="J824" s="3" t="s">
        <v>14</v>
      </c>
      <c r="K824" s="8" t="s">
        <v>14</v>
      </c>
      <c r="L824" s="9" t="s">
        <v>5213</v>
      </c>
      <c r="M824" s="1" t="s">
        <v>5222</v>
      </c>
    </row>
    <row r="825" spans="1:13" x14ac:dyDescent="0.3">
      <c r="A825" s="3">
        <v>7610001</v>
      </c>
      <c r="B825" s="4" t="s">
        <v>1690</v>
      </c>
      <c r="C825" s="5" t="s">
        <v>1691</v>
      </c>
      <c r="D825" s="5" t="s">
        <v>96</v>
      </c>
      <c r="E825" s="3" t="s">
        <v>1691</v>
      </c>
      <c r="F825" s="6">
        <v>36.5</v>
      </c>
      <c r="G825" s="6">
        <v>27.5</v>
      </c>
      <c r="H825" s="6">
        <v>26</v>
      </c>
      <c r="I825" s="7" t="s">
        <v>4315</v>
      </c>
      <c r="J825" s="3" t="s">
        <v>4317</v>
      </c>
      <c r="K825" s="8" t="s">
        <v>4320</v>
      </c>
      <c r="L825" s="9" t="s">
        <v>1692</v>
      </c>
      <c r="M825" s="1" t="s">
        <v>1693</v>
      </c>
    </row>
    <row r="826" spans="1:13" x14ac:dyDescent="0.3">
      <c r="A826" s="3">
        <v>7610002</v>
      </c>
      <c r="B826" s="4" t="s">
        <v>1690</v>
      </c>
      <c r="C826" s="5" t="s">
        <v>1694</v>
      </c>
      <c r="D826" s="5" t="s">
        <v>96</v>
      </c>
      <c r="E826" s="3" t="s">
        <v>1694</v>
      </c>
      <c r="F826" s="6">
        <v>32</v>
      </c>
      <c r="G826" s="6">
        <v>32</v>
      </c>
      <c r="H826" s="6">
        <v>32</v>
      </c>
      <c r="I826" s="7" t="s">
        <v>4447</v>
      </c>
      <c r="J826" s="3" t="s">
        <v>4317</v>
      </c>
      <c r="K826" s="8" t="s">
        <v>4598</v>
      </c>
      <c r="L826" s="9" t="s">
        <v>1695</v>
      </c>
      <c r="M826" s="1" t="s">
        <v>1696</v>
      </c>
    </row>
    <row r="827" spans="1:13" x14ac:dyDescent="0.3">
      <c r="A827" s="3">
        <v>9910001</v>
      </c>
      <c r="B827" s="4" t="s">
        <v>1697</v>
      </c>
      <c r="C827" s="5" t="s">
        <v>1697</v>
      </c>
      <c r="D827" s="5" t="s">
        <v>96</v>
      </c>
      <c r="E827" s="3" t="s">
        <v>1697</v>
      </c>
      <c r="F827" s="6">
        <v>30</v>
      </c>
      <c r="G827" s="6">
        <v>30</v>
      </c>
      <c r="H827" s="6">
        <v>27</v>
      </c>
      <c r="I827" s="7" t="s">
        <v>4315</v>
      </c>
      <c r="J827" s="3" t="s">
        <v>4317</v>
      </c>
      <c r="K827" s="8" t="s">
        <v>4320</v>
      </c>
      <c r="L827" s="9" t="s">
        <v>1698</v>
      </c>
      <c r="M827" s="1" t="s">
        <v>1699</v>
      </c>
    </row>
    <row r="828" spans="1:13" x14ac:dyDescent="0.3">
      <c r="A828" s="3">
        <v>4026001</v>
      </c>
      <c r="B828" s="4" t="s">
        <v>7712</v>
      </c>
      <c r="C828" s="5" t="s">
        <v>7711</v>
      </c>
      <c r="D828" s="5" t="s">
        <v>96</v>
      </c>
      <c r="E828" s="3" t="s">
        <v>14</v>
      </c>
      <c r="F828" s="6">
        <v>36.200000000000003</v>
      </c>
      <c r="G828" s="6">
        <v>35</v>
      </c>
      <c r="H828" s="6">
        <v>40</v>
      </c>
      <c r="I828" s="7">
        <v>32</v>
      </c>
      <c r="J828" s="3" t="s">
        <v>4317</v>
      </c>
      <c r="K828" s="8">
        <v>1.1200000000000001</v>
      </c>
      <c r="L828" s="9" t="s">
        <v>7713</v>
      </c>
      <c r="M828" s="1" t="s">
        <v>7714</v>
      </c>
    </row>
    <row r="829" spans="1:13" x14ac:dyDescent="0.3">
      <c r="A829" s="3">
        <v>4026002</v>
      </c>
      <c r="B829" s="4" t="s">
        <v>7712</v>
      </c>
      <c r="C829" s="5">
        <v>360</v>
      </c>
      <c r="D829" s="5" t="s">
        <v>682</v>
      </c>
      <c r="E829" s="3" t="s">
        <v>14</v>
      </c>
      <c r="F829" s="6">
        <v>75.5</v>
      </c>
      <c r="G829" s="6">
        <v>25.5</v>
      </c>
      <c r="H829" s="6">
        <v>100</v>
      </c>
      <c r="I829" s="7">
        <v>71</v>
      </c>
      <c r="J829" s="3" t="s">
        <v>4318</v>
      </c>
      <c r="K829" s="8">
        <v>2.06</v>
      </c>
      <c r="L829" s="9" t="s">
        <v>7757</v>
      </c>
      <c r="M829" s="1"/>
    </row>
    <row r="830" spans="1:13" x14ac:dyDescent="0.3">
      <c r="A830" s="3">
        <v>4026003</v>
      </c>
      <c r="B830" s="4" t="s">
        <v>7712</v>
      </c>
      <c r="C830" s="5">
        <v>360</v>
      </c>
      <c r="D830" s="5" t="s">
        <v>7759</v>
      </c>
      <c r="E830" s="3" t="s">
        <v>14</v>
      </c>
      <c r="F830" s="6">
        <v>25.5</v>
      </c>
      <c r="G830" s="6">
        <v>75.5</v>
      </c>
      <c r="H830" s="6">
        <v>99.5</v>
      </c>
      <c r="I830" s="7">
        <v>74</v>
      </c>
      <c r="J830" s="3" t="s">
        <v>4318</v>
      </c>
      <c r="K830" s="8">
        <v>2.14</v>
      </c>
      <c r="L830" s="9" t="s">
        <v>7758</v>
      </c>
      <c r="M830" s="1"/>
    </row>
    <row r="831" spans="1:13" x14ac:dyDescent="0.3">
      <c r="A831" s="3">
        <v>1910011</v>
      </c>
      <c r="B831" s="4" t="s">
        <v>1700</v>
      </c>
      <c r="C831" s="5">
        <v>6490</v>
      </c>
      <c r="D831" s="5" t="s">
        <v>23</v>
      </c>
      <c r="E831" s="3" t="s">
        <v>5246</v>
      </c>
      <c r="F831" s="6">
        <v>55</v>
      </c>
      <c r="G831" s="6">
        <v>52.5</v>
      </c>
      <c r="H831" s="6">
        <v>26.5</v>
      </c>
      <c r="I831" s="7">
        <v>44</v>
      </c>
      <c r="J831" s="3" t="s">
        <v>4318</v>
      </c>
      <c r="K831" s="8">
        <v>1.1599999999999999</v>
      </c>
      <c r="L831" s="9" t="s">
        <v>1712</v>
      </c>
      <c r="M831" s="24" t="s">
        <v>5247</v>
      </c>
    </row>
    <row r="832" spans="1:13" x14ac:dyDescent="0.3">
      <c r="A832" s="3">
        <v>1910012</v>
      </c>
      <c r="B832" s="4" t="s">
        <v>1700</v>
      </c>
      <c r="C832" s="5" t="s">
        <v>5245</v>
      </c>
      <c r="D832" s="5" t="s">
        <v>90</v>
      </c>
      <c r="E832" s="3" t="s">
        <v>5246</v>
      </c>
      <c r="F832" s="6">
        <v>54</v>
      </c>
      <c r="G832" s="6">
        <v>52</v>
      </c>
      <c r="H832" s="6">
        <v>12.4</v>
      </c>
      <c r="I832" s="7">
        <v>32</v>
      </c>
      <c r="J832" s="3" t="s">
        <v>4317</v>
      </c>
      <c r="K832" s="8">
        <v>7.0000000000000007E-2</v>
      </c>
      <c r="L832" s="9" t="s">
        <v>1713</v>
      </c>
      <c r="M832" s="24" t="s">
        <v>5248</v>
      </c>
    </row>
    <row r="833" spans="1:13" x14ac:dyDescent="0.3">
      <c r="A833" s="3">
        <v>1910013</v>
      </c>
      <c r="B833" s="4" t="s">
        <v>1700</v>
      </c>
      <c r="C833" s="5">
        <v>6425</v>
      </c>
      <c r="D833" s="5" t="s">
        <v>74</v>
      </c>
      <c r="E833" s="3" t="s">
        <v>5246</v>
      </c>
      <c r="F833" s="6">
        <v>54</v>
      </c>
      <c r="G833" s="6">
        <v>52</v>
      </c>
      <c r="H833" s="6" t="s">
        <v>14</v>
      </c>
      <c r="I833" s="7">
        <v>32</v>
      </c>
      <c r="J833" s="3" t="s">
        <v>4317</v>
      </c>
      <c r="K833" s="8">
        <v>0.28000000000000003</v>
      </c>
      <c r="L833" s="9" t="s">
        <v>1714</v>
      </c>
      <c r="M833" s="24" t="s">
        <v>5249</v>
      </c>
    </row>
    <row r="834" spans="1:13" x14ac:dyDescent="0.3">
      <c r="A834" s="3">
        <v>1910014</v>
      </c>
      <c r="B834" s="4" t="s">
        <v>1700</v>
      </c>
      <c r="C834" s="5">
        <v>6425</v>
      </c>
      <c r="D834" s="5" t="s">
        <v>13</v>
      </c>
      <c r="E834" s="3" t="s">
        <v>5246</v>
      </c>
      <c r="F834" s="6">
        <v>55.8</v>
      </c>
      <c r="G834" s="6">
        <v>53.5</v>
      </c>
      <c r="H834" s="6">
        <v>7</v>
      </c>
      <c r="I834" s="7">
        <v>32</v>
      </c>
      <c r="J834" s="3" t="s">
        <v>4317</v>
      </c>
      <c r="K834" s="8">
        <v>0.47</v>
      </c>
      <c r="L834" s="9" t="s">
        <v>1715</v>
      </c>
      <c r="M834" s="24" t="s">
        <v>5250</v>
      </c>
    </row>
    <row r="835" spans="1:13" x14ac:dyDescent="0.3">
      <c r="A835" s="3">
        <v>1910015</v>
      </c>
      <c r="B835" s="4" t="s">
        <v>1700</v>
      </c>
      <c r="C835" s="5" t="s">
        <v>8010</v>
      </c>
      <c r="D835" s="5" t="s">
        <v>23</v>
      </c>
      <c r="E835" s="3" t="s">
        <v>7337</v>
      </c>
      <c r="F835" s="6">
        <v>55</v>
      </c>
      <c r="G835" s="6">
        <v>37</v>
      </c>
      <c r="H835" s="6">
        <v>18.8</v>
      </c>
      <c r="I835" s="7">
        <v>32</v>
      </c>
      <c r="J835" s="3" t="s">
        <v>4317</v>
      </c>
      <c r="K835" s="8">
        <v>0.71</v>
      </c>
      <c r="L835" s="9" t="s">
        <v>7338</v>
      </c>
      <c r="M835" s="1" t="s">
        <v>7590</v>
      </c>
    </row>
    <row r="836" spans="1:13" x14ac:dyDescent="0.3">
      <c r="A836" s="3">
        <v>1910016</v>
      </c>
      <c r="B836" s="4" t="s">
        <v>1700</v>
      </c>
      <c r="C836" s="5" t="s">
        <v>8011</v>
      </c>
      <c r="D836" s="5" t="s">
        <v>4792</v>
      </c>
      <c r="E836" s="3" t="s">
        <v>7337</v>
      </c>
      <c r="F836" s="6">
        <v>54</v>
      </c>
      <c r="G836" s="6">
        <v>36</v>
      </c>
      <c r="H836" s="6">
        <v>18</v>
      </c>
      <c r="I836" s="7" t="s">
        <v>6324</v>
      </c>
      <c r="J836" s="3" t="s">
        <v>4422</v>
      </c>
      <c r="K836" s="8">
        <f>0.1+0.06</f>
        <v>0.16</v>
      </c>
      <c r="L836" s="9" t="s">
        <v>7339</v>
      </c>
      <c r="M836" s="1" t="s">
        <v>7591</v>
      </c>
    </row>
    <row r="837" spans="1:13" x14ac:dyDescent="0.3">
      <c r="A837" s="3">
        <v>1910017</v>
      </c>
      <c r="B837" s="4" t="s">
        <v>1700</v>
      </c>
      <c r="C837" s="5" t="s">
        <v>8012</v>
      </c>
      <c r="D837" s="5" t="s">
        <v>13</v>
      </c>
      <c r="E837" s="3" t="s">
        <v>7337</v>
      </c>
      <c r="F837" s="6">
        <v>56.5</v>
      </c>
      <c r="G837" s="6">
        <v>38.5</v>
      </c>
      <c r="H837" s="6">
        <v>5</v>
      </c>
      <c r="I837" s="7">
        <v>32</v>
      </c>
      <c r="J837" s="3" t="s">
        <v>4317</v>
      </c>
      <c r="K837" s="8">
        <v>0.32</v>
      </c>
      <c r="L837" s="9" t="s">
        <v>7340</v>
      </c>
      <c r="M837" s="1" t="s">
        <v>7592</v>
      </c>
    </row>
    <row r="838" spans="1:13" x14ac:dyDescent="0.3">
      <c r="A838" s="3">
        <v>1910018</v>
      </c>
      <c r="B838" s="4" t="s">
        <v>1700</v>
      </c>
      <c r="C838" s="5" t="s">
        <v>8013</v>
      </c>
      <c r="D838" s="5" t="s">
        <v>74</v>
      </c>
      <c r="E838" s="3" t="s">
        <v>7337</v>
      </c>
      <c r="F838" s="6">
        <v>54</v>
      </c>
      <c r="G838" s="6">
        <v>36</v>
      </c>
      <c r="H838" s="6" t="s">
        <v>14</v>
      </c>
      <c r="I838" s="7">
        <v>32</v>
      </c>
      <c r="J838" s="3" t="s">
        <v>4317</v>
      </c>
      <c r="K838" s="8">
        <v>0.19</v>
      </c>
      <c r="L838" s="9" t="s">
        <v>7341</v>
      </c>
      <c r="M838" s="1" t="s">
        <v>7593</v>
      </c>
    </row>
    <row r="839" spans="1:13" x14ac:dyDescent="0.3">
      <c r="A839" s="3">
        <v>1910019</v>
      </c>
      <c r="B839" s="4" t="s">
        <v>1700</v>
      </c>
      <c r="C839" s="5" t="s">
        <v>8014</v>
      </c>
      <c r="D839" s="5" t="s">
        <v>23</v>
      </c>
      <c r="E839" s="3" t="s">
        <v>7346</v>
      </c>
      <c r="F839" s="6">
        <v>57</v>
      </c>
      <c r="G839" s="6">
        <v>36</v>
      </c>
      <c r="H839" s="6">
        <v>13.8</v>
      </c>
      <c r="I839" s="7">
        <v>32</v>
      </c>
      <c r="J839" s="3" t="s">
        <v>4317</v>
      </c>
      <c r="K839" s="8">
        <v>0.61</v>
      </c>
      <c r="L839" s="9" t="s">
        <v>7342</v>
      </c>
      <c r="M839" s="1" t="s">
        <v>7594</v>
      </c>
    </row>
    <row r="840" spans="1:13" x14ac:dyDescent="0.3">
      <c r="A840" s="3">
        <v>1910020</v>
      </c>
      <c r="B840" s="4" t="s">
        <v>1700</v>
      </c>
      <c r="C840" s="5" t="s">
        <v>8015</v>
      </c>
      <c r="D840" s="5" t="s">
        <v>4792</v>
      </c>
      <c r="E840" s="3" t="s">
        <v>7346</v>
      </c>
      <c r="F840" s="6">
        <v>56</v>
      </c>
      <c r="G840" s="6">
        <v>35</v>
      </c>
      <c r="H840" s="6">
        <v>13</v>
      </c>
      <c r="I840" s="7" t="s">
        <v>6648</v>
      </c>
      <c r="J840" s="3" t="s">
        <v>4422</v>
      </c>
      <c r="K840" s="8">
        <f>0.07+0.05</f>
        <v>0.12000000000000001</v>
      </c>
      <c r="L840" s="9" t="s">
        <v>7343</v>
      </c>
      <c r="M840" s="1" t="s">
        <v>7595</v>
      </c>
    </row>
    <row r="841" spans="1:13" x14ac:dyDescent="0.3">
      <c r="A841" s="3">
        <v>1910021</v>
      </c>
      <c r="B841" s="4" t="s">
        <v>1700</v>
      </c>
      <c r="C841" s="5" t="s">
        <v>8016</v>
      </c>
      <c r="D841" s="5" t="s">
        <v>74</v>
      </c>
      <c r="E841" s="3" t="s">
        <v>7346</v>
      </c>
      <c r="F841" s="6">
        <v>56</v>
      </c>
      <c r="G841" s="6">
        <v>35</v>
      </c>
      <c r="H841" s="6" t="s">
        <v>14</v>
      </c>
      <c r="I841" s="7" t="s">
        <v>6324</v>
      </c>
      <c r="J841" s="3" t="s">
        <v>4317</v>
      </c>
      <c r="K841" s="8">
        <v>0.2</v>
      </c>
      <c r="L841" s="9" t="s">
        <v>7344</v>
      </c>
      <c r="M841" s="1" t="s">
        <v>7596</v>
      </c>
    </row>
    <row r="842" spans="1:13" x14ac:dyDescent="0.3">
      <c r="A842" s="3">
        <v>1910022</v>
      </c>
      <c r="B842" s="4" t="s">
        <v>1700</v>
      </c>
      <c r="C842" s="5" t="s">
        <v>8017</v>
      </c>
      <c r="D842" s="5" t="s">
        <v>13</v>
      </c>
      <c r="E842" s="3" t="s">
        <v>7346</v>
      </c>
      <c r="F842" s="6">
        <v>37.5</v>
      </c>
      <c r="G842" s="6">
        <v>58.5</v>
      </c>
      <c r="H842" s="6">
        <v>5</v>
      </c>
      <c r="I842" s="7">
        <v>32</v>
      </c>
      <c r="J842" s="3" t="s">
        <v>4317</v>
      </c>
      <c r="K842" s="8">
        <v>0.33</v>
      </c>
      <c r="L842" s="9" t="s">
        <v>7345</v>
      </c>
      <c r="M842" s="1" t="s">
        <v>7597</v>
      </c>
    </row>
    <row r="843" spans="1:13" x14ac:dyDescent="0.3">
      <c r="A843" s="3">
        <v>1910024</v>
      </c>
      <c r="B843" s="4" t="s">
        <v>1700</v>
      </c>
      <c r="C843" s="5" t="s">
        <v>7333</v>
      </c>
      <c r="D843" s="5" t="s">
        <v>264</v>
      </c>
      <c r="E843" s="3" t="s">
        <v>1716</v>
      </c>
      <c r="F843" s="6">
        <v>95.1</v>
      </c>
      <c r="G843" s="6">
        <v>47.5</v>
      </c>
      <c r="H843" s="6">
        <v>0</v>
      </c>
      <c r="I843" s="7" t="s">
        <v>4315</v>
      </c>
      <c r="J843" s="3" t="s">
        <v>4317</v>
      </c>
      <c r="K843" s="8" t="s">
        <v>4454</v>
      </c>
      <c r="L843" s="9" t="s">
        <v>1717</v>
      </c>
      <c r="M843" s="1" t="s">
        <v>1718</v>
      </c>
    </row>
    <row r="844" spans="1:13" x14ac:dyDescent="0.3">
      <c r="A844" s="3">
        <v>1910025</v>
      </c>
      <c r="B844" s="4" t="s">
        <v>1700</v>
      </c>
      <c r="C844" s="5" t="s">
        <v>7333</v>
      </c>
      <c r="D844" s="5" t="s">
        <v>267</v>
      </c>
      <c r="E844" s="3" t="s">
        <v>1716</v>
      </c>
      <c r="F844" s="6">
        <v>109.9</v>
      </c>
      <c r="G844" s="6">
        <v>47.5</v>
      </c>
      <c r="H844" s="6">
        <v>0</v>
      </c>
      <c r="I844" s="7" t="s">
        <v>4315</v>
      </c>
      <c r="J844" s="3" t="s">
        <v>4317</v>
      </c>
      <c r="K844" s="8" t="s">
        <v>4639</v>
      </c>
      <c r="L844" s="9" t="s">
        <v>1719</v>
      </c>
      <c r="M844" s="24" t="s">
        <v>1720</v>
      </c>
    </row>
    <row r="845" spans="1:13" x14ac:dyDescent="0.3">
      <c r="A845" s="3">
        <v>1910026</v>
      </c>
      <c r="B845" s="4" t="s">
        <v>1700</v>
      </c>
      <c r="C845" s="5" t="s">
        <v>7334</v>
      </c>
      <c r="D845" s="5" t="s">
        <v>86</v>
      </c>
      <c r="E845" s="3" t="s">
        <v>1716</v>
      </c>
      <c r="F845" s="6">
        <v>111</v>
      </c>
      <c r="G845" s="6">
        <v>97</v>
      </c>
      <c r="H845" s="6">
        <v>96</v>
      </c>
      <c r="I845" s="7" t="s">
        <v>4316</v>
      </c>
      <c r="J845" s="3" t="s">
        <v>4318</v>
      </c>
      <c r="K845" s="8" t="s">
        <v>4640</v>
      </c>
      <c r="L845" s="9" t="s">
        <v>1721</v>
      </c>
      <c r="M845" s="1" t="s">
        <v>1722</v>
      </c>
    </row>
    <row r="846" spans="1:13" x14ac:dyDescent="0.3">
      <c r="A846" s="3">
        <v>1910027</v>
      </c>
      <c r="B846" s="4" t="s">
        <v>1700</v>
      </c>
      <c r="C846" s="5" t="s">
        <v>14</v>
      </c>
      <c r="D846" s="5" t="s">
        <v>392</v>
      </c>
      <c r="E846" s="3" t="s">
        <v>1716</v>
      </c>
      <c r="F846" s="6">
        <v>113.5</v>
      </c>
      <c r="G846" s="6">
        <v>99.5</v>
      </c>
      <c r="H846" s="6">
        <v>10</v>
      </c>
      <c r="I846" s="7" t="s">
        <v>4316</v>
      </c>
      <c r="J846" s="3" t="s">
        <v>4318</v>
      </c>
      <c r="K846" s="8" t="s">
        <v>4577</v>
      </c>
      <c r="L846" s="9" t="s">
        <v>1723</v>
      </c>
      <c r="M846" s="1" t="s">
        <v>1724</v>
      </c>
    </row>
    <row r="847" spans="1:13" x14ac:dyDescent="0.3">
      <c r="A847" s="3">
        <v>1910028</v>
      </c>
      <c r="B847" s="4" t="s">
        <v>1700</v>
      </c>
      <c r="C847" s="5" t="s">
        <v>14</v>
      </c>
      <c r="D847" s="5" t="s">
        <v>74</v>
      </c>
      <c r="E847" s="3" t="s">
        <v>1716</v>
      </c>
      <c r="F847" s="6">
        <v>108</v>
      </c>
      <c r="G847" s="6">
        <v>96</v>
      </c>
      <c r="H847" s="6">
        <v>0</v>
      </c>
      <c r="I847" s="7" t="s">
        <v>4316</v>
      </c>
      <c r="J847" s="3" t="s">
        <v>4318</v>
      </c>
      <c r="K847" s="8" t="s">
        <v>4557</v>
      </c>
      <c r="L847" s="9" t="s">
        <v>1725</v>
      </c>
      <c r="M847" s="24" t="s">
        <v>1726</v>
      </c>
    </row>
    <row r="848" spans="1:13" x14ac:dyDescent="0.3">
      <c r="A848" s="3">
        <v>1920035</v>
      </c>
      <c r="B848" s="4" t="s">
        <v>1700</v>
      </c>
      <c r="C848" s="5" t="s">
        <v>279</v>
      </c>
      <c r="D848" s="5" t="s">
        <v>264</v>
      </c>
      <c r="E848" s="3" t="s">
        <v>1737</v>
      </c>
      <c r="F848" s="6">
        <v>59.6</v>
      </c>
      <c r="G848" s="6">
        <v>9</v>
      </c>
      <c r="H848" s="6">
        <v>0</v>
      </c>
      <c r="I848" s="7" t="s">
        <v>4315</v>
      </c>
      <c r="J848" s="3" t="s">
        <v>4317</v>
      </c>
      <c r="K848" s="8" t="s">
        <v>4580</v>
      </c>
      <c r="L848" s="9" t="s">
        <v>1738</v>
      </c>
      <c r="M848" s="1" t="s">
        <v>1739</v>
      </c>
    </row>
    <row r="849" spans="1:13" x14ac:dyDescent="0.3">
      <c r="A849" s="3">
        <v>1921036</v>
      </c>
      <c r="B849" s="4" t="s">
        <v>1700</v>
      </c>
      <c r="C849" s="5" t="s">
        <v>279</v>
      </c>
      <c r="D849" s="5" t="s">
        <v>267</v>
      </c>
      <c r="E849" s="3" t="s">
        <v>1737</v>
      </c>
      <c r="F849" s="6">
        <v>52.6</v>
      </c>
      <c r="G849" s="6">
        <v>9</v>
      </c>
      <c r="H849" s="6">
        <v>0</v>
      </c>
      <c r="I849" s="7" t="s">
        <v>4315</v>
      </c>
      <c r="J849" s="3" t="s">
        <v>4317</v>
      </c>
      <c r="K849" s="8" t="s">
        <v>4490</v>
      </c>
      <c r="L849" s="9" t="s">
        <v>1740</v>
      </c>
      <c r="M849" s="1" t="s">
        <v>1741</v>
      </c>
    </row>
    <row r="850" spans="1:13" x14ac:dyDescent="0.3">
      <c r="A850" s="3">
        <v>1910001</v>
      </c>
      <c r="B850" s="4" t="s">
        <v>1700</v>
      </c>
      <c r="C850" s="5" t="s">
        <v>1701</v>
      </c>
      <c r="D850" s="5" t="s">
        <v>96</v>
      </c>
      <c r="E850" s="3" t="s">
        <v>1702</v>
      </c>
      <c r="F850" s="6">
        <v>40</v>
      </c>
      <c r="G850" s="6">
        <v>15.5</v>
      </c>
      <c r="H850" s="6">
        <v>43.5</v>
      </c>
      <c r="I850" s="7" t="s">
        <v>4315</v>
      </c>
      <c r="J850" s="3" t="s">
        <v>4317</v>
      </c>
      <c r="K850" s="8" t="s">
        <v>4590</v>
      </c>
      <c r="L850" s="9" t="s">
        <v>1703</v>
      </c>
      <c r="M850" s="1" t="s">
        <v>1704</v>
      </c>
    </row>
    <row r="851" spans="1:13" x14ac:dyDescent="0.3">
      <c r="A851" s="3">
        <v>1910008</v>
      </c>
      <c r="B851" s="4" t="s">
        <v>1700</v>
      </c>
      <c r="C851" s="5">
        <v>6028</v>
      </c>
      <c r="D851" s="5" t="s">
        <v>96</v>
      </c>
      <c r="E851" s="3" t="s">
        <v>398</v>
      </c>
      <c r="F851" s="6">
        <v>65</v>
      </c>
      <c r="G851" s="6">
        <v>34</v>
      </c>
      <c r="H851" s="6">
        <v>45.3</v>
      </c>
      <c r="I851" s="7">
        <v>32</v>
      </c>
      <c r="J851" s="3" t="s">
        <v>4317</v>
      </c>
      <c r="K851" s="8">
        <v>1.62</v>
      </c>
      <c r="L851" s="9" t="s">
        <v>1709</v>
      </c>
      <c r="M851" s="24"/>
    </row>
    <row r="852" spans="1:13" x14ac:dyDescent="0.3">
      <c r="A852" s="3">
        <v>1910009</v>
      </c>
      <c r="B852" s="4" t="s">
        <v>1700</v>
      </c>
      <c r="C852" s="5">
        <v>6245</v>
      </c>
      <c r="D852" s="5" t="s">
        <v>23</v>
      </c>
      <c r="E852" s="3" t="s">
        <v>398</v>
      </c>
      <c r="F852" s="6">
        <v>84.3</v>
      </c>
      <c r="G852" s="6">
        <v>61.7</v>
      </c>
      <c r="H852" s="6">
        <v>45.5</v>
      </c>
      <c r="I852" s="7">
        <v>32</v>
      </c>
      <c r="J852" s="3" t="s">
        <v>4317</v>
      </c>
      <c r="K852" s="8">
        <v>1.1599999999999999</v>
      </c>
      <c r="L852" s="9" t="s">
        <v>1710</v>
      </c>
      <c r="M852" s="24" t="s">
        <v>7704</v>
      </c>
    </row>
    <row r="853" spans="1:13" x14ac:dyDescent="0.3">
      <c r="A853" s="3">
        <v>1910010</v>
      </c>
      <c r="B853" s="4" t="s">
        <v>1700</v>
      </c>
      <c r="C853" s="5">
        <v>6246</v>
      </c>
      <c r="D853" s="5" t="s">
        <v>13</v>
      </c>
      <c r="E853" s="3" t="s">
        <v>398</v>
      </c>
      <c r="F853" s="6">
        <v>85.8</v>
      </c>
      <c r="G853" s="6">
        <v>63.3</v>
      </c>
      <c r="H853" s="6">
        <v>19.5</v>
      </c>
      <c r="I853" s="7">
        <v>32</v>
      </c>
      <c r="J853" s="3" t="s">
        <v>4317</v>
      </c>
      <c r="K853" s="8">
        <v>1.28</v>
      </c>
      <c r="L853" s="9" t="s">
        <v>1711</v>
      </c>
      <c r="M853" s="24" t="s">
        <v>7705</v>
      </c>
    </row>
    <row r="854" spans="1:13" x14ac:dyDescent="0.3">
      <c r="A854" s="3">
        <v>1910007</v>
      </c>
      <c r="B854" s="4" t="s">
        <v>1700</v>
      </c>
      <c r="C854" s="5" t="s">
        <v>1705</v>
      </c>
      <c r="D854" s="5" t="s">
        <v>96</v>
      </c>
      <c r="E854" s="3" t="s">
        <v>1706</v>
      </c>
      <c r="F854" s="6">
        <v>34.5</v>
      </c>
      <c r="G854" s="6">
        <v>16</v>
      </c>
      <c r="H854" s="6">
        <v>37.5</v>
      </c>
      <c r="I854" s="7" t="s">
        <v>4315</v>
      </c>
      <c r="J854" s="3" t="s">
        <v>4317</v>
      </c>
      <c r="K854" s="8" t="s">
        <v>4340</v>
      </c>
      <c r="L854" s="9" t="s">
        <v>1707</v>
      </c>
      <c r="M854" s="1" t="s">
        <v>1708</v>
      </c>
    </row>
    <row r="855" spans="1:13" x14ac:dyDescent="0.3">
      <c r="A855" s="3">
        <v>1920043</v>
      </c>
      <c r="B855" s="4" t="s">
        <v>1700</v>
      </c>
      <c r="C855" s="5" t="s">
        <v>1742</v>
      </c>
      <c r="D855" s="5" t="s">
        <v>264</v>
      </c>
      <c r="E855" s="3" t="s">
        <v>1742</v>
      </c>
      <c r="F855" s="6">
        <v>96</v>
      </c>
      <c r="G855" s="6">
        <v>47</v>
      </c>
      <c r="H855" s="6">
        <v>0</v>
      </c>
      <c r="I855" s="7" t="s">
        <v>4315</v>
      </c>
      <c r="J855" s="3" t="s">
        <v>4317</v>
      </c>
      <c r="K855" s="8" t="s">
        <v>4646</v>
      </c>
      <c r="L855" s="9" t="s">
        <v>1743</v>
      </c>
      <c r="M855" s="1" t="s">
        <v>1744</v>
      </c>
    </row>
    <row r="856" spans="1:13" x14ac:dyDescent="0.3">
      <c r="A856" s="3">
        <v>1921044</v>
      </c>
      <c r="B856" s="4" t="s">
        <v>1700</v>
      </c>
      <c r="C856" s="5" t="s">
        <v>1742</v>
      </c>
      <c r="D856" s="5" t="s">
        <v>267</v>
      </c>
      <c r="E856" s="3" t="s">
        <v>1742</v>
      </c>
      <c r="F856" s="6">
        <v>110</v>
      </c>
      <c r="G856" s="6">
        <v>47</v>
      </c>
      <c r="H856" s="6">
        <v>0</v>
      </c>
      <c r="I856" s="7" t="s">
        <v>4315</v>
      </c>
      <c r="J856" s="3" t="s">
        <v>4317</v>
      </c>
      <c r="K856" s="8" t="s">
        <v>4647</v>
      </c>
      <c r="L856" s="9" t="s">
        <v>1745</v>
      </c>
      <c r="M856" s="1" t="s">
        <v>1746</v>
      </c>
    </row>
    <row r="857" spans="1:13" x14ac:dyDescent="0.3">
      <c r="A857" s="3">
        <v>1920086</v>
      </c>
      <c r="B857" s="4" t="s">
        <v>1700</v>
      </c>
      <c r="C857" s="5" t="s">
        <v>7824</v>
      </c>
      <c r="D857" s="5" t="s">
        <v>7825</v>
      </c>
      <c r="E857" s="3" t="s">
        <v>1842</v>
      </c>
      <c r="F857" s="6">
        <v>120.7</v>
      </c>
      <c r="G857" s="6">
        <v>113.1</v>
      </c>
      <c r="H857" s="6">
        <v>43.5</v>
      </c>
      <c r="I857" s="7">
        <v>44</v>
      </c>
      <c r="J857" s="3" t="s">
        <v>4318</v>
      </c>
      <c r="K857" s="8">
        <v>2.57</v>
      </c>
      <c r="L857" s="9" t="s">
        <v>1840</v>
      </c>
      <c r="M857" s="1" t="s">
        <v>7826</v>
      </c>
    </row>
    <row r="858" spans="1:13" x14ac:dyDescent="0.3">
      <c r="A858" s="3">
        <v>1920087</v>
      </c>
      <c r="B858" s="4" t="s">
        <v>1700</v>
      </c>
      <c r="C858" s="5" t="s">
        <v>1841</v>
      </c>
      <c r="D858" s="5" t="s">
        <v>1834</v>
      </c>
      <c r="E858" s="3" t="s">
        <v>1842</v>
      </c>
      <c r="F858" s="6">
        <v>42.5</v>
      </c>
      <c r="G858" s="6">
        <v>120</v>
      </c>
      <c r="H858" s="6"/>
      <c r="I858" s="7" t="s">
        <v>4315</v>
      </c>
      <c r="J858" s="3" t="s">
        <v>4317</v>
      </c>
      <c r="K858" s="8">
        <v>0.51</v>
      </c>
      <c r="L858" s="9" t="s">
        <v>1843</v>
      </c>
      <c r="M858" s="1" t="s">
        <v>1844</v>
      </c>
    </row>
    <row r="859" spans="1:13" x14ac:dyDescent="0.3">
      <c r="A859" s="3">
        <v>1920088</v>
      </c>
      <c r="B859" s="4" t="s">
        <v>1700</v>
      </c>
      <c r="C859" s="5" t="s">
        <v>1841</v>
      </c>
      <c r="D859" s="5" t="s">
        <v>1845</v>
      </c>
      <c r="E859" s="3" t="s">
        <v>1842</v>
      </c>
      <c r="F859" s="6">
        <v>42.5</v>
      </c>
      <c r="G859" s="6">
        <v>112.4</v>
      </c>
      <c r="H859" s="6"/>
      <c r="I859" s="7" t="s">
        <v>4315</v>
      </c>
      <c r="J859" s="3" t="s">
        <v>4317</v>
      </c>
      <c r="K859" s="8">
        <v>0.48</v>
      </c>
      <c r="L859" s="9" t="s">
        <v>1846</v>
      </c>
      <c r="M859" s="1" t="s">
        <v>1847</v>
      </c>
    </row>
    <row r="860" spans="1:13" x14ac:dyDescent="0.3">
      <c r="A860" s="3">
        <v>1920089</v>
      </c>
      <c r="B860" s="4" t="s">
        <v>1700</v>
      </c>
      <c r="C860" s="5" t="s">
        <v>1848</v>
      </c>
      <c r="D860" s="5" t="s">
        <v>1849</v>
      </c>
      <c r="E860" s="3" t="s">
        <v>1842</v>
      </c>
      <c r="F860" s="6">
        <v>10.199999999999999</v>
      </c>
      <c r="G860" s="6">
        <v>120</v>
      </c>
      <c r="H860" s="6"/>
      <c r="I860" s="7" t="s">
        <v>4315</v>
      </c>
      <c r="J860" s="3" t="s">
        <v>4317</v>
      </c>
      <c r="K860" s="8">
        <v>0.12</v>
      </c>
      <c r="L860" s="9" t="s">
        <v>1850</v>
      </c>
      <c r="M860" s="1" t="s">
        <v>1851</v>
      </c>
    </row>
    <row r="861" spans="1:13" x14ac:dyDescent="0.3">
      <c r="A861" s="3">
        <v>1920091</v>
      </c>
      <c r="B861" s="4" t="s">
        <v>1700</v>
      </c>
      <c r="C861" s="5" t="s">
        <v>1853</v>
      </c>
      <c r="D861" s="5" t="s">
        <v>261</v>
      </c>
      <c r="E861" s="3" t="s">
        <v>1842</v>
      </c>
      <c r="F861" s="6">
        <v>75.7</v>
      </c>
      <c r="G861" s="6">
        <v>13.6</v>
      </c>
      <c r="H861" s="6"/>
      <c r="I861" s="7" t="s">
        <v>4315</v>
      </c>
      <c r="J861" s="3" t="s">
        <v>4317</v>
      </c>
      <c r="K861" s="8">
        <v>0.1</v>
      </c>
      <c r="L861" s="9" t="s">
        <v>1854</v>
      </c>
      <c r="M861" s="1" t="s">
        <v>1855</v>
      </c>
    </row>
    <row r="862" spans="1:13" x14ac:dyDescent="0.3">
      <c r="A862" s="3">
        <v>1920090</v>
      </c>
      <c r="B862" s="4" t="s">
        <v>1700</v>
      </c>
      <c r="C862" s="5" t="s">
        <v>5198</v>
      </c>
      <c r="D862" s="5" t="s">
        <v>682</v>
      </c>
      <c r="E862" s="3" t="s">
        <v>5199</v>
      </c>
      <c r="F862" s="6">
        <v>112.5</v>
      </c>
      <c r="G862" s="6">
        <v>115</v>
      </c>
      <c r="H862" s="6">
        <v>45</v>
      </c>
      <c r="I862" s="7">
        <v>42</v>
      </c>
      <c r="J862" s="3" t="s">
        <v>4317</v>
      </c>
      <c r="K862" s="8">
        <v>2.65</v>
      </c>
      <c r="L862" s="9" t="s">
        <v>1852</v>
      </c>
      <c r="M862" s="24" t="s">
        <v>6541</v>
      </c>
    </row>
    <row r="863" spans="1:13" x14ac:dyDescent="0.3">
      <c r="A863" s="3">
        <v>1920092</v>
      </c>
      <c r="B863" s="4" t="s">
        <v>1700</v>
      </c>
      <c r="C863" s="5" t="s">
        <v>5198</v>
      </c>
      <c r="D863" s="5" t="s">
        <v>90</v>
      </c>
      <c r="E863" s="3" t="s">
        <v>5199</v>
      </c>
      <c r="F863" s="6">
        <v>121</v>
      </c>
      <c r="G863" s="6">
        <v>114</v>
      </c>
      <c r="H863" s="6">
        <v>43.6</v>
      </c>
      <c r="I863" s="7" t="s">
        <v>5200</v>
      </c>
      <c r="J863" s="3" t="s">
        <v>5201</v>
      </c>
      <c r="K863" s="8">
        <v>0.53</v>
      </c>
      <c r="L863" s="9" t="s">
        <v>5202</v>
      </c>
      <c r="M863" s="1" t="s">
        <v>5203</v>
      </c>
    </row>
    <row r="864" spans="1:13" x14ac:dyDescent="0.3">
      <c r="A864" s="3">
        <v>1920094</v>
      </c>
      <c r="B864" s="4" t="s">
        <v>1700</v>
      </c>
      <c r="C864" s="5" t="s">
        <v>5198</v>
      </c>
      <c r="D864" s="5" t="s">
        <v>5427</v>
      </c>
      <c r="E864" s="3" t="s">
        <v>5199</v>
      </c>
      <c r="F864" s="6">
        <v>123.5</v>
      </c>
      <c r="G864" s="6">
        <v>116</v>
      </c>
      <c r="H864" s="6">
        <v>10</v>
      </c>
      <c r="I864" s="7">
        <v>32</v>
      </c>
      <c r="J864" s="3" t="s">
        <v>4317</v>
      </c>
      <c r="K864" s="8">
        <v>1.95</v>
      </c>
      <c r="L864" s="9" t="s">
        <v>6056</v>
      </c>
      <c r="M864" s="1" t="s">
        <v>7706</v>
      </c>
    </row>
    <row r="865" spans="1:13" x14ac:dyDescent="0.3">
      <c r="A865" s="3">
        <v>1904072</v>
      </c>
      <c r="B865" s="4" t="s">
        <v>1700</v>
      </c>
      <c r="C865" s="5" t="s">
        <v>6059</v>
      </c>
      <c r="D865" s="5" t="s">
        <v>90</v>
      </c>
      <c r="E865" s="3" t="s">
        <v>6062</v>
      </c>
      <c r="F865" s="6">
        <v>54</v>
      </c>
      <c r="G865" s="6">
        <v>32.5</v>
      </c>
      <c r="H865" s="6">
        <v>15.5</v>
      </c>
      <c r="I865" s="7">
        <v>32</v>
      </c>
      <c r="J865" s="3" t="s">
        <v>4317</v>
      </c>
      <c r="K865" s="8">
        <v>0.08</v>
      </c>
      <c r="L865" s="9" t="s">
        <v>1818</v>
      </c>
      <c r="M865" s="9"/>
    </row>
    <row r="866" spans="1:13" x14ac:dyDescent="0.3">
      <c r="A866" s="3">
        <v>1899073</v>
      </c>
      <c r="B866" s="4" t="s">
        <v>1700</v>
      </c>
      <c r="C866" s="5" t="s">
        <v>6061</v>
      </c>
      <c r="D866" s="5" t="s">
        <v>613</v>
      </c>
      <c r="E866" s="3" t="s">
        <v>6062</v>
      </c>
      <c r="F866" s="6"/>
      <c r="G866" s="6"/>
      <c r="H866" s="6"/>
      <c r="I866" s="7"/>
      <c r="J866" s="3"/>
      <c r="K866" s="8"/>
      <c r="L866" s="9" t="s">
        <v>1819</v>
      </c>
      <c r="M866" s="9"/>
    </row>
    <row r="867" spans="1:13" x14ac:dyDescent="0.3">
      <c r="A867" s="3">
        <v>1894074</v>
      </c>
      <c r="B867" s="4" t="s">
        <v>1700</v>
      </c>
      <c r="C867" s="5" t="s">
        <v>6060</v>
      </c>
      <c r="D867" s="5" t="s">
        <v>13</v>
      </c>
      <c r="E867" s="3" t="s">
        <v>6062</v>
      </c>
      <c r="F867" s="6">
        <v>56</v>
      </c>
      <c r="G867" s="6">
        <v>34.5</v>
      </c>
      <c r="H867" s="6">
        <v>7</v>
      </c>
      <c r="I867" s="7">
        <v>32</v>
      </c>
      <c r="J867" s="3" t="s">
        <v>4317</v>
      </c>
      <c r="K867" s="8">
        <v>0.34</v>
      </c>
      <c r="L867" s="9" t="s">
        <v>1820</v>
      </c>
      <c r="M867" s="9"/>
    </row>
    <row r="868" spans="1:13" x14ac:dyDescent="0.3">
      <c r="A868" s="3">
        <v>1920098</v>
      </c>
      <c r="B868" s="4" t="s">
        <v>1700</v>
      </c>
      <c r="C868" s="5" t="s">
        <v>6250</v>
      </c>
      <c r="D868" s="5" t="s">
        <v>90</v>
      </c>
      <c r="E868" s="3" t="s">
        <v>6249</v>
      </c>
      <c r="F868" s="6">
        <v>54</v>
      </c>
      <c r="G868" s="6">
        <v>32.5</v>
      </c>
      <c r="H868" s="6">
        <v>16</v>
      </c>
      <c r="I868" s="26">
        <v>32</v>
      </c>
      <c r="J868" s="3" t="s">
        <v>4422</v>
      </c>
      <c r="K868" s="8">
        <v>0.09</v>
      </c>
      <c r="L868" s="9" t="s">
        <v>6252</v>
      </c>
      <c r="M868" s="1" t="s">
        <v>6259</v>
      </c>
    </row>
    <row r="869" spans="1:13" x14ac:dyDescent="0.3">
      <c r="A869" s="3">
        <v>1920099</v>
      </c>
      <c r="B869" s="4" t="s">
        <v>1700</v>
      </c>
      <c r="C869" s="5" t="s">
        <v>6060</v>
      </c>
      <c r="D869" s="5" t="s">
        <v>13</v>
      </c>
      <c r="E869" s="3" t="s">
        <v>6249</v>
      </c>
      <c r="F869" s="6">
        <v>55.5</v>
      </c>
      <c r="G869" s="6">
        <v>34</v>
      </c>
      <c r="H869" s="6">
        <v>7</v>
      </c>
      <c r="I869" s="7">
        <v>32</v>
      </c>
      <c r="J869" s="3" t="s">
        <v>4317</v>
      </c>
      <c r="K869" s="8">
        <v>0.33</v>
      </c>
      <c r="L869" s="9" t="s">
        <v>6253</v>
      </c>
      <c r="M869" s="1" t="s">
        <v>6260</v>
      </c>
    </row>
    <row r="870" spans="1:13" x14ac:dyDescent="0.3">
      <c r="A870" s="3">
        <v>1920097</v>
      </c>
      <c r="B870" s="4" t="s">
        <v>1700</v>
      </c>
      <c r="C870" s="5" t="s">
        <v>7905</v>
      </c>
      <c r="D870" s="5" t="s">
        <v>23</v>
      </c>
      <c r="E870" s="3" t="s">
        <v>6263</v>
      </c>
      <c r="F870" s="6">
        <v>55</v>
      </c>
      <c r="G870" s="6">
        <v>33.5</v>
      </c>
      <c r="H870" s="6">
        <v>16.7</v>
      </c>
      <c r="I870" s="7">
        <v>32</v>
      </c>
      <c r="J870" s="3" t="s">
        <v>4317</v>
      </c>
      <c r="K870" s="8">
        <v>0.61</v>
      </c>
      <c r="L870" s="9" t="s">
        <v>6251</v>
      </c>
      <c r="M870" s="1" t="s">
        <v>6258</v>
      </c>
    </row>
    <row r="871" spans="1:13" x14ac:dyDescent="0.3">
      <c r="A871" s="3">
        <v>19090733</v>
      </c>
      <c r="B871" s="4" t="s">
        <v>1700</v>
      </c>
      <c r="C871" s="5" t="s">
        <v>7860</v>
      </c>
      <c r="D871" s="5" t="s">
        <v>13</v>
      </c>
      <c r="E871" s="3" t="s">
        <v>7478</v>
      </c>
      <c r="F871" s="6">
        <v>56.4</v>
      </c>
      <c r="G871" s="6">
        <v>35.5</v>
      </c>
      <c r="H871" s="6">
        <v>6.7</v>
      </c>
      <c r="I871" s="7">
        <v>32</v>
      </c>
      <c r="J871" s="3" t="s">
        <v>4317</v>
      </c>
      <c r="K871" s="8">
        <v>0.34</v>
      </c>
      <c r="L871" s="9" t="s">
        <v>1819</v>
      </c>
      <c r="M871" s="1" t="s">
        <v>7861</v>
      </c>
    </row>
    <row r="872" spans="1:13" x14ac:dyDescent="0.3">
      <c r="A872" s="3">
        <v>1910078</v>
      </c>
      <c r="B872" s="4" t="s">
        <v>1700</v>
      </c>
      <c r="C872" s="5">
        <v>41931</v>
      </c>
      <c r="D872" s="5" t="s">
        <v>96</v>
      </c>
      <c r="E872" s="3" t="s">
        <v>1821</v>
      </c>
      <c r="F872" s="6">
        <v>25.8</v>
      </c>
      <c r="G872" s="6">
        <v>13.2</v>
      </c>
      <c r="H872" s="6">
        <v>18.399999999999999</v>
      </c>
      <c r="I872" s="7" t="s">
        <v>4315</v>
      </c>
      <c r="J872" s="3" t="s">
        <v>4317</v>
      </c>
      <c r="K872" s="8" t="s">
        <v>4464</v>
      </c>
      <c r="L872" s="9" t="s">
        <v>1822</v>
      </c>
      <c r="M872" s="1" t="s">
        <v>1823</v>
      </c>
    </row>
    <row r="873" spans="1:13" x14ac:dyDescent="0.3">
      <c r="A873" s="3">
        <v>1910063</v>
      </c>
      <c r="B873" s="4" t="s">
        <v>1700</v>
      </c>
      <c r="C873" s="5" t="s">
        <v>1797</v>
      </c>
      <c r="D873" s="5" t="s">
        <v>96</v>
      </c>
      <c r="E873" s="3" t="s">
        <v>1798</v>
      </c>
      <c r="F873" s="6">
        <v>54.9</v>
      </c>
      <c r="G873" s="6">
        <v>53</v>
      </c>
      <c r="H873" s="6">
        <v>21.6</v>
      </c>
      <c r="I873" s="7" t="s">
        <v>4473</v>
      </c>
      <c r="J873" s="3" t="s">
        <v>4317</v>
      </c>
      <c r="K873" s="8" t="s">
        <v>4649</v>
      </c>
      <c r="L873" s="9" t="s">
        <v>1799</v>
      </c>
      <c r="M873" s="1" t="s">
        <v>1800</v>
      </c>
    </row>
    <row r="874" spans="1:13" x14ac:dyDescent="0.3">
      <c r="A874" s="3">
        <v>1920059</v>
      </c>
      <c r="B874" s="4" t="s">
        <v>1700</v>
      </c>
      <c r="C874" s="5" t="s">
        <v>1784</v>
      </c>
      <c r="D874" s="5" t="s">
        <v>264</v>
      </c>
      <c r="E874" s="3" t="s">
        <v>1787</v>
      </c>
      <c r="F874" s="6">
        <v>54</v>
      </c>
      <c r="G874" s="6">
        <v>7.9</v>
      </c>
      <c r="H874" s="6">
        <v>0</v>
      </c>
      <c r="I874" s="7" t="s">
        <v>4644</v>
      </c>
      <c r="J874" s="3" t="s">
        <v>4423</v>
      </c>
      <c r="K874" s="8" t="s">
        <v>4578</v>
      </c>
      <c r="L874" s="9" t="s">
        <v>1788</v>
      </c>
      <c r="M874" s="1" t="s">
        <v>1789</v>
      </c>
    </row>
    <row r="875" spans="1:13" x14ac:dyDescent="0.3">
      <c r="A875" s="3">
        <v>1921060</v>
      </c>
      <c r="B875" s="4" t="s">
        <v>1700</v>
      </c>
      <c r="C875" s="5" t="s">
        <v>1784</v>
      </c>
      <c r="D875" s="5" t="s">
        <v>267</v>
      </c>
      <c r="E875" s="3" t="s">
        <v>1787</v>
      </c>
      <c r="F875" s="6">
        <v>32.4</v>
      </c>
      <c r="G875" s="6">
        <v>7.9</v>
      </c>
      <c r="H875" s="6">
        <v>0</v>
      </c>
      <c r="I875" s="7" t="s">
        <v>4644</v>
      </c>
      <c r="J875" s="3" t="s">
        <v>4423</v>
      </c>
      <c r="K875" s="8" t="s">
        <v>4599</v>
      </c>
      <c r="L875" s="9" t="s">
        <v>1790</v>
      </c>
      <c r="M875" s="1" t="s">
        <v>1791</v>
      </c>
    </row>
    <row r="876" spans="1:13" x14ac:dyDescent="0.3">
      <c r="A876" s="3">
        <v>1920047</v>
      </c>
      <c r="B876" s="4" t="s">
        <v>1700</v>
      </c>
      <c r="C876" s="5" t="s">
        <v>1754</v>
      </c>
      <c r="D876" s="5" t="s">
        <v>264</v>
      </c>
      <c r="E876" s="3" t="s">
        <v>1755</v>
      </c>
      <c r="F876" s="6">
        <v>54</v>
      </c>
      <c r="G876" s="6">
        <v>15.2</v>
      </c>
      <c r="H876" s="6">
        <v>0</v>
      </c>
      <c r="I876" s="7" t="s">
        <v>4420</v>
      </c>
      <c r="J876" s="3" t="s">
        <v>4422</v>
      </c>
      <c r="K876" s="8" t="s">
        <v>4600</v>
      </c>
      <c r="L876" s="9" t="s">
        <v>1756</v>
      </c>
      <c r="M876" s="1" t="s">
        <v>1757</v>
      </c>
    </row>
    <row r="877" spans="1:13" x14ac:dyDescent="0.3">
      <c r="A877" s="3">
        <v>1921048</v>
      </c>
      <c r="B877" s="4" t="s">
        <v>1700</v>
      </c>
      <c r="C877" s="5" t="s">
        <v>1754</v>
      </c>
      <c r="D877" s="5" t="s">
        <v>267</v>
      </c>
      <c r="E877" s="3" t="s">
        <v>1755</v>
      </c>
      <c r="F877" s="6">
        <v>51.8</v>
      </c>
      <c r="G877" s="6">
        <v>15.2</v>
      </c>
      <c r="H877" s="6">
        <v>0</v>
      </c>
      <c r="I877" s="7" t="s">
        <v>4420</v>
      </c>
      <c r="J877" s="3" t="s">
        <v>4422</v>
      </c>
      <c r="K877" s="8" t="s">
        <v>4648</v>
      </c>
      <c r="L877" s="9" t="s">
        <v>1758</v>
      </c>
      <c r="M877" s="1" t="s">
        <v>1759</v>
      </c>
    </row>
    <row r="878" spans="1:13" x14ac:dyDescent="0.3">
      <c r="A878" s="3">
        <v>1919069</v>
      </c>
      <c r="B878" s="4" t="s">
        <v>1700</v>
      </c>
      <c r="C878" s="5" t="s">
        <v>1797</v>
      </c>
      <c r="D878" s="5" t="s">
        <v>74</v>
      </c>
      <c r="E878" s="3" t="s">
        <v>1813</v>
      </c>
      <c r="F878" s="6">
        <v>68.599999999999994</v>
      </c>
      <c r="G878" s="6">
        <v>51.4</v>
      </c>
      <c r="H878" s="6">
        <v>0</v>
      </c>
      <c r="I878" s="7" t="s">
        <v>4473</v>
      </c>
      <c r="J878" s="3" t="s">
        <v>4317</v>
      </c>
      <c r="K878" s="8" t="s">
        <v>4360</v>
      </c>
      <c r="L878" s="9" t="s">
        <v>1814</v>
      </c>
      <c r="M878" s="1" t="s">
        <v>1815</v>
      </c>
    </row>
    <row r="879" spans="1:13" x14ac:dyDescent="0.3">
      <c r="A879" s="3">
        <v>1920065</v>
      </c>
      <c r="B879" s="4" t="s">
        <v>1700</v>
      </c>
      <c r="C879" s="5" t="s">
        <v>1797</v>
      </c>
      <c r="D879" s="5" t="s">
        <v>264</v>
      </c>
      <c r="E879" s="3" t="s">
        <v>1802</v>
      </c>
      <c r="F879" s="6">
        <v>54</v>
      </c>
      <c r="G879" s="6">
        <v>10.199999999999999</v>
      </c>
      <c r="H879" s="6">
        <v>0</v>
      </c>
      <c r="I879" s="7" t="s">
        <v>4644</v>
      </c>
      <c r="J879" s="3" t="s">
        <v>4423</v>
      </c>
      <c r="K879" s="8" t="s">
        <v>4623</v>
      </c>
      <c r="L879" s="9" t="s">
        <v>1803</v>
      </c>
      <c r="M879" s="1" t="s">
        <v>1804</v>
      </c>
    </row>
    <row r="880" spans="1:13" x14ac:dyDescent="0.3">
      <c r="A880" s="3">
        <v>1921066</v>
      </c>
      <c r="B880" s="4" t="s">
        <v>1700</v>
      </c>
      <c r="C880" s="5" t="s">
        <v>1797</v>
      </c>
      <c r="D880" s="5" t="s">
        <v>267</v>
      </c>
      <c r="E880" s="3" t="s">
        <v>1802</v>
      </c>
      <c r="F880" s="6">
        <v>52.1</v>
      </c>
      <c r="G880" s="6">
        <v>10.199999999999999</v>
      </c>
      <c r="H880" s="6">
        <v>0</v>
      </c>
      <c r="I880" s="7" t="s">
        <v>4644</v>
      </c>
      <c r="J880" s="3" t="s">
        <v>4423</v>
      </c>
      <c r="K880" s="8" t="s">
        <v>4402</v>
      </c>
      <c r="L880" s="9" t="s">
        <v>1805</v>
      </c>
      <c r="M880" s="1" t="s">
        <v>1806</v>
      </c>
    </row>
    <row r="881" spans="1:13" x14ac:dyDescent="0.3">
      <c r="A881" s="3">
        <v>1911053</v>
      </c>
      <c r="B881" s="4" t="s">
        <v>1700</v>
      </c>
      <c r="C881" s="5" t="s">
        <v>1770</v>
      </c>
      <c r="D881" s="5" t="s">
        <v>154</v>
      </c>
      <c r="E881" s="3" t="s">
        <v>1771</v>
      </c>
      <c r="F881" s="6">
        <v>54.8</v>
      </c>
      <c r="G881" s="6">
        <v>52.5</v>
      </c>
      <c r="H881" s="6">
        <v>27</v>
      </c>
      <c r="I881" s="7" t="s">
        <v>4473</v>
      </c>
      <c r="J881" s="3" t="s">
        <v>4317</v>
      </c>
      <c r="K881" s="8" t="s">
        <v>4593</v>
      </c>
      <c r="L881" s="9" t="s">
        <v>1772</v>
      </c>
      <c r="M881" s="1" t="s">
        <v>1773</v>
      </c>
    </row>
    <row r="882" spans="1:13" x14ac:dyDescent="0.3">
      <c r="A882" s="3">
        <v>1911064</v>
      </c>
      <c r="B882" s="4" t="s">
        <v>1700</v>
      </c>
      <c r="C882" s="5" t="s">
        <v>1797</v>
      </c>
      <c r="D882" s="5" t="s">
        <v>154</v>
      </c>
      <c r="E882" s="3" t="s">
        <v>1771</v>
      </c>
      <c r="F882" s="6">
        <v>54.8</v>
      </c>
      <c r="G882" s="6">
        <v>52.5</v>
      </c>
      <c r="H882" s="6">
        <v>27</v>
      </c>
      <c r="I882" s="7" t="s">
        <v>4473</v>
      </c>
      <c r="J882" s="3" t="s">
        <v>4317</v>
      </c>
      <c r="K882" s="8" t="s">
        <v>4593</v>
      </c>
      <c r="L882" s="9" t="s">
        <v>1801</v>
      </c>
      <c r="M882" s="1" t="s">
        <v>6048</v>
      </c>
    </row>
    <row r="883" spans="1:13" x14ac:dyDescent="0.3">
      <c r="A883" s="3">
        <v>1920067</v>
      </c>
      <c r="B883" s="4" t="s">
        <v>1700</v>
      </c>
      <c r="C883" s="5" t="s">
        <v>1797</v>
      </c>
      <c r="D883" s="5" t="s">
        <v>264</v>
      </c>
      <c r="E883" s="3" t="s">
        <v>1807</v>
      </c>
      <c r="F883" s="6">
        <v>54</v>
      </c>
      <c r="G883" s="6">
        <v>8.9</v>
      </c>
      <c r="H883" s="6">
        <v>0</v>
      </c>
      <c r="I883" s="7" t="s">
        <v>4644</v>
      </c>
      <c r="J883" s="3" t="s">
        <v>4423</v>
      </c>
      <c r="K883" s="8" t="s">
        <v>4560</v>
      </c>
      <c r="L883" s="9" t="s">
        <v>1808</v>
      </c>
      <c r="M883" s="1" t="s">
        <v>1809</v>
      </c>
    </row>
    <row r="884" spans="1:13" x14ac:dyDescent="0.3">
      <c r="A884" s="3">
        <v>1919068</v>
      </c>
      <c r="B884" s="4" t="s">
        <v>1700</v>
      </c>
      <c r="C884" s="5" t="s">
        <v>1797</v>
      </c>
      <c r="D884" s="5" t="s">
        <v>74</v>
      </c>
      <c r="E884" s="3" t="s">
        <v>1810</v>
      </c>
      <c r="F884" s="6">
        <v>52.7</v>
      </c>
      <c r="G884" s="6">
        <v>51.4</v>
      </c>
      <c r="H884" s="6">
        <v>0</v>
      </c>
      <c r="I884" s="7" t="s">
        <v>4645</v>
      </c>
      <c r="J884" s="3" t="s">
        <v>4423</v>
      </c>
      <c r="K884" s="8" t="s">
        <v>4580</v>
      </c>
      <c r="L884" s="9" t="s">
        <v>1811</v>
      </c>
      <c r="M884" s="1" t="s">
        <v>1812</v>
      </c>
    </row>
    <row r="885" spans="1:13" x14ac:dyDescent="0.3">
      <c r="A885" s="3">
        <v>1911058</v>
      </c>
      <c r="B885" s="4" t="s">
        <v>1700</v>
      </c>
      <c r="C885" s="5" t="s">
        <v>1784</v>
      </c>
      <c r="D885" s="5" t="s">
        <v>154</v>
      </c>
      <c r="E885" s="3" t="s">
        <v>1785</v>
      </c>
      <c r="F885" s="6">
        <v>54.9</v>
      </c>
      <c r="G885" s="6">
        <v>33.5</v>
      </c>
      <c r="H885" s="6">
        <v>16.7</v>
      </c>
      <c r="I885" s="7" t="s">
        <v>4315</v>
      </c>
      <c r="J885" s="3" t="s">
        <v>4317</v>
      </c>
      <c r="K885" s="8" t="s">
        <v>4337</v>
      </c>
      <c r="L885" s="9" t="s">
        <v>1786</v>
      </c>
      <c r="M885" s="1" t="s">
        <v>5023</v>
      </c>
    </row>
    <row r="886" spans="1:13" x14ac:dyDescent="0.3">
      <c r="A886" s="3">
        <v>1914062</v>
      </c>
      <c r="B886" s="4" t="s">
        <v>1700</v>
      </c>
      <c r="C886" s="5" t="s">
        <v>1784</v>
      </c>
      <c r="D886" s="5" t="s">
        <v>392</v>
      </c>
      <c r="E886" s="3" t="s">
        <v>1785</v>
      </c>
      <c r="F886" s="6">
        <v>69.7</v>
      </c>
      <c r="G886" s="6">
        <v>48.6</v>
      </c>
      <c r="H886" s="6">
        <v>6.7</v>
      </c>
      <c r="I886" s="7" t="s">
        <v>4315</v>
      </c>
      <c r="J886" s="3" t="s">
        <v>4317</v>
      </c>
      <c r="K886" s="8" t="s">
        <v>4350</v>
      </c>
      <c r="L886" s="9" t="s">
        <v>1795</v>
      </c>
      <c r="M886" s="1" t="s">
        <v>1796</v>
      </c>
    </row>
    <row r="887" spans="1:13" x14ac:dyDescent="0.3">
      <c r="A887" s="3">
        <v>1919061</v>
      </c>
      <c r="B887" s="4" t="s">
        <v>1700</v>
      </c>
      <c r="C887" s="5" t="s">
        <v>1784</v>
      </c>
      <c r="D887" s="5" t="s">
        <v>74</v>
      </c>
      <c r="E887" s="3" t="s">
        <v>1792</v>
      </c>
      <c r="F887" s="6">
        <v>54</v>
      </c>
      <c r="G887" s="6">
        <v>32.4</v>
      </c>
      <c r="H887" s="6">
        <v>0</v>
      </c>
      <c r="I887" s="7" t="s">
        <v>4644</v>
      </c>
      <c r="J887" s="3" t="s">
        <v>4423</v>
      </c>
      <c r="K887" s="8" t="s">
        <v>4501</v>
      </c>
      <c r="L887" s="9" t="s">
        <v>1793</v>
      </c>
      <c r="M887" s="1" t="s">
        <v>1794</v>
      </c>
    </row>
    <row r="888" spans="1:13" x14ac:dyDescent="0.3">
      <c r="A888" s="3">
        <v>1920054</v>
      </c>
      <c r="B888" s="4" t="s">
        <v>1700</v>
      </c>
      <c r="C888" s="5" t="s">
        <v>1770</v>
      </c>
      <c r="D888" s="5" t="s">
        <v>264</v>
      </c>
      <c r="E888" s="3" t="s">
        <v>1774</v>
      </c>
      <c r="F888" s="6">
        <v>54</v>
      </c>
      <c r="G888" s="6">
        <v>15.2</v>
      </c>
      <c r="H888" s="6">
        <v>0</v>
      </c>
      <c r="I888" s="7" t="s">
        <v>4644</v>
      </c>
      <c r="J888" s="3" t="s">
        <v>4423</v>
      </c>
      <c r="K888" s="8" t="s">
        <v>4600</v>
      </c>
      <c r="L888" s="9" t="s">
        <v>1775</v>
      </c>
      <c r="M888" s="1" t="s">
        <v>1776</v>
      </c>
    </row>
    <row r="889" spans="1:13" x14ac:dyDescent="0.3">
      <c r="A889" s="3">
        <v>1921055</v>
      </c>
      <c r="B889" s="4" t="s">
        <v>1700</v>
      </c>
      <c r="C889" s="5" t="s">
        <v>1770</v>
      </c>
      <c r="D889" s="5" t="s">
        <v>267</v>
      </c>
      <c r="E889" s="3" t="s">
        <v>1774</v>
      </c>
      <c r="F889" s="6">
        <v>51.8</v>
      </c>
      <c r="G889" s="6">
        <v>15.2</v>
      </c>
      <c r="H889" s="6">
        <v>0</v>
      </c>
      <c r="I889" s="7" t="s">
        <v>4644</v>
      </c>
      <c r="J889" s="3" t="s">
        <v>4423</v>
      </c>
      <c r="K889" s="8" t="s">
        <v>4648</v>
      </c>
      <c r="L889" s="9" t="s">
        <v>1777</v>
      </c>
      <c r="M889" s="1" t="s">
        <v>1778</v>
      </c>
    </row>
    <row r="890" spans="1:13" x14ac:dyDescent="0.3">
      <c r="A890" s="3">
        <v>1919056</v>
      </c>
      <c r="B890" s="4" t="s">
        <v>1700</v>
      </c>
      <c r="C890" s="5" t="s">
        <v>1770</v>
      </c>
      <c r="D890" s="5" t="s">
        <v>74</v>
      </c>
      <c r="E890" s="3" t="s">
        <v>1779</v>
      </c>
      <c r="F890" s="6">
        <v>54</v>
      </c>
      <c r="G890" s="6">
        <v>51.9</v>
      </c>
      <c r="H890" s="6">
        <v>0</v>
      </c>
      <c r="I890" s="7" t="s">
        <v>4645</v>
      </c>
      <c r="J890" s="3" t="s">
        <v>4423</v>
      </c>
      <c r="K890" s="8" t="s">
        <v>4321</v>
      </c>
      <c r="L890" s="9" t="s">
        <v>1780</v>
      </c>
      <c r="M890" s="1" t="s">
        <v>5068</v>
      </c>
    </row>
    <row r="891" spans="1:13" x14ac:dyDescent="0.3">
      <c r="A891" s="3">
        <v>1914057</v>
      </c>
      <c r="B891" s="4" t="s">
        <v>1700</v>
      </c>
      <c r="C891" s="5" t="s">
        <v>1770</v>
      </c>
      <c r="D891" s="5" t="s">
        <v>392</v>
      </c>
      <c r="E891" s="3" t="s">
        <v>1781</v>
      </c>
      <c r="F891" s="6">
        <v>55.9</v>
      </c>
      <c r="G891" s="6">
        <v>54</v>
      </c>
      <c r="H891" s="6">
        <v>6.7</v>
      </c>
      <c r="I891" s="7" t="s">
        <v>4315</v>
      </c>
      <c r="J891" s="3" t="s">
        <v>4317</v>
      </c>
      <c r="K891" s="8" t="s">
        <v>4469</v>
      </c>
      <c r="L891" s="9" t="s">
        <v>1782</v>
      </c>
      <c r="M891" s="1" t="s">
        <v>1783</v>
      </c>
    </row>
    <row r="892" spans="1:13" x14ac:dyDescent="0.3">
      <c r="A892" s="3">
        <v>1914070</v>
      </c>
      <c r="B892" s="4" t="s">
        <v>1700</v>
      </c>
      <c r="C892" s="5" t="s">
        <v>1797</v>
      </c>
      <c r="D892" s="5" t="s">
        <v>392</v>
      </c>
      <c r="E892" s="3" t="s">
        <v>1781</v>
      </c>
      <c r="F892" s="6">
        <v>69.2</v>
      </c>
      <c r="G892" s="6">
        <v>67.3</v>
      </c>
      <c r="H892" s="6">
        <v>6.7</v>
      </c>
      <c r="I892" s="7" t="s">
        <v>4315</v>
      </c>
      <c r="J892" s="3" t="s">
        <v>4317</v>
      </c>
      <c r="K892" s="8" t="s">
        <v>4410</v>
      </c>
      <c r="L892" s="9" t="s">
        <v>1816</v>
      </c>
      <c r="M892" s="1" t="s">
        <v>1817</v>
      </c>
    </row>
    <row r="893" spans="1:13" x14ac:dyDescent="0.3">
      <c r="A893" s="3">
        <v>1937045</v>
      </c>
      <c r="B893" s="4" t="s">
        <v>1700</v>
      </c>
      <c r="C893" s="5" t="s">
        <v>1747</v>
      </c>
      <c r="D893" s="5" t="s">
        <v>321</v>
      </c>
      <c r="E893" s="3" t="s">
        <v>1747</v>
      </c>
      <c r="F893" s="6">
        <v>51.8</v>
      </c>
      <c r="G893" s="6">
        <v>59.1</v>
      </c>
      <c r="H893" s="6">
        <v>2.7</v>
      </c>
      <c r="I893" s="7" t="s">
        <v>4315</v>
      </c>
      <c r="J893" s="3" t="s">
        <v>4317</v>
      </c>
      <c r="K893" s="8" t="s">
        <v>4326</v>
      </c>
      <c r="L893" s="9" t="s">
        <v>1748</v>
      </c>
      <c r="M893" s="1" t="s">
        <v>1749</v>
      </c>
    </row>
    <row r="894" spans="1:13" x14ac:dyDescent="0.3">
      <c r="A894" s="3">
        <v>1910046</v>
      </c>
      <c r="B894" s="4" t="s">
        <v>1700</v>
      </c>
      <c r="C894" s="5" t="s">
        <v>1750</v>
      </c>
      <c r="D894" s="5" t="s">
        <v>96</v>
      </c>
      <c r="E894" s="3" t="s">
        <v>1751</v>
      </c>
      <c r="F894" s="6">
        <v>35</v>
      </c>
      <c r="G894" s="6">
        <v>26.5</v>
      </c>
      <c r="H894" s="6">
        <v>21</v>
      </c>
      <c r="I894" s="7" t="s">
        <v>4315</v>
      </c>
      <c r="J894" s="3" t="s">
        <v>4317</v>
      </c>
      <c r="K894" s="8" t="s">
        <v>4337</v>
      </c>
      <c r="L894" s="9" t="s">
        <v>1752</v>
      </c>
      <c r="M894" s="1" t="s">
        <v>1753</v>
      </c>
    </row>
    <row r="895" spans="1:13" x14ac:dyDescent="0.3">
      <c r="A895" s="3">
        <v>1912049</v>
      </c>
      <c r="B895" s="4" t="s">
        <v>1700</v>
      </c>
      <c r="C895" s="5" t="s">
        <v>1760</v>
      </c>
      <c r="D895" s="5" t="s">
        <v>161</v>
      </c>
      <c r="E895" s="3" t="s">
        <v>1761</v>
      </c>
      <c r="F895" s="6">
        <v>39.5</v>
      </c>
      <c r="G895" s="6">
        <v>28.5</v>
      </c>
      <c r="H895" s="6">
        <v>3.7</v>
      </c>
      <c r="I895" s="7" t="s">
        <v>4420</v>
      </c>
      <c r="J895" s="3" t="s">
        <v>4422</v>
      </c>
      <c r="K895" s="8" t="s">
        <v>4501</v>
      </c>
      <c r="L895" s="9" t="s">
        <v>1762</v>
      </c>
      <c r="M895" s="1" t="s">
        <v>1763</v>
      </c>
    </row>
    <row r="896" spans="1:13" x14ac:dyDescent="0.3">
      <c r="A896" s="3">
        <v>1914050</v>
      </c>
      <c r="B896" s="4" t="s">
        <v>1700</v>
      </c>
      <c r="C896" s="5" t="s">
        <v>1760</v>
      </c>
      <c r="D896" s="5" t="s">
        <v>392</v>
      </c>
      <c r="E896" s="3" t="s">
        <v>1761</v>
      </c>
      <c r="F896" s="6">
        <v>40</v>
      </c>
      <c r="G896" s="6">
        <v>29</v>
      </c>
      <c r="H896" s="6">
        <v>3.7</v>
      </c>
      <c r="I896" s="7" t="s">
        <v>4420</v>
      </c>
      <c r="J896" s="3" t="s">
        <v>4422</v>
      </c>
      <c r="K896" s="8" t="s">
        <v>4501</v>
      </c>
      <c r="L896" s="9" t="s">
        <v>1764</v>
      </c>
      <c r="M896" s="1" t="s">
        <v>1765</v>
      </c>
    </row>
    <row r="897" spans="1:13" x14ac:dyDescent="0.3">
      <c r="A897" s="3">
        <v>1920051</v>
      </c>
      <c r="B897" s="4" t="s">
        <v>1700</v>
      </c>
      <c r="C897" s="5" t="s">
        <v>1760</v>
      </c>
      <c r="D897" s="5" t="s">
        <v>264</v>
      </c>
      <c r="E897" s="3" t="s">
        <v>1761</v>
      </c>
      <c r="F897" s="6">
        <v>28</v>
      </c>
      <c r="G897" s="6">
        <v>3.5</v>
      </c>
      <c r="H897" s="6">
        <v>0</v>
      </c>
      <c r="I897" s="7" t="s">
        <v>4420</v>
      </c>
      <c r="J897" s="3" t="s">
        <v>4422</v>
      </c>
      <c r="K897" s="8" t="s">
        <v>4559</v>
      </c>
      <c r="L897" s="9" t="s">
        <v>1766</v>
      </c>
      <c r="M897" s="1" t="s">
        <v>1767</v>
      </c>
    </row>
    <row r="898" spans="1:13" x14ac:dyDescent="0.3">
      <c r="A898" s="3">
        <v>1921052</v>
      </c>
      <c r="B898" s="4" t="s">
        <v>1700</v>
      </c>
      <c r="C898" s="5" t="s">
        <v>1760</v>
      </c>
      <c r="D898" s="5" t="s">
        <v>267</v>
      </c>
      <c r="E898" s="3" t="s">
        <v>1761</v>
      </c>
      <c r="F898" s="6">
        <v>38.5</v>
      </c>
      <c r="G898" s="6">
        <v>3.5</v>
      </c>
      <c r="H898" s="6">
        <v>0</v>
      </c>
      <c r="I898" s="7" t="s">
        <v>4420</v>
      </c>
      <c r="J898" s="3" t="s">
        <v>4422</v>
      </c>
      <c r="K898" s="8" t="s">
        <v>4425</v>
      </c>
      <c r="L898" s="9" t="s">
        <v>1768</v>
      </c>
      <c r="M898" s="1" t="s">
        <v>1769</v>
      </c>
    </row>
    <row r="899" spans="1:13" x14ac:dyDescent="0.3">
      <c r="A899" s="3">
        <v>1920093</v>
      </c>
      <c r="B899" s="4" t="s">
        <v>1700</v>
      </c>
      <c r="C899" s="5">
        <v>6437</v>
      </c>
      <c r="D899" s="5" t="s">
        <v>23</v>
      </c>
      <c r="E899" s="3" t="s">
        <v>6322</v>
      </c>
      <c r="F899" s="6">
        <v>55</v>
      </c>
      <c r="G899" s="6">
        <v>52.5</v>
      </c>
      <c r="H899" s="6">
        <v>31.3</v>
      </c>
      <c r="I899" s="7">
        <v>44</v>
      </c>
      <c r="J899" s="3" t="s">
        <v>4317</v>
      </c>
      <c r="K899" s="8">
        <v>1.27</v>
      </c>
      <c r="L899" s="9" t="s">
        <v>6055</v>
      </c>
      <c r="M899" s="1" t="s">
        <v>6254</v>
      </c>
    </row>
    <row r="900" spans="1:13" x14ac:dyDescent="0.3">
      <c r="A900" s="3">
        <v>19200944</v>
      </c>
      <c r="B900" s="4" t="s">
        <v>1700</v>
      </c>
      <c r="C900" s="5" t="s">
        <v>6053</v>
      </c>
      <c r="D900" s="5" t="s">
        <v>74</v>
      </c>
      <c r="E900" s="3" t="s">
        <v>6322</v>
      </c>
      <c r="F900" s="6" t="s">
        <v>6508</v>
      </c>
      <c r="G900" s="6">
        <v>51</v>
      </c>
      <c r="H900" s="6" t="s">
        <v>14</v>
      </c>
      <c r="I900" s="7">
        <v>32</v>
      </c>
      <c r="J900" s="3" t="s">
        <v>4317</v>
      </c>
      <c r="K900" s="8">
        <v>0.28000000000000003</v>
      </c>
      <c r="L900" s="9" t="s">
        <v>6056</v>
      </c>
      <c r="M900" s="1" t="s">
        <v>6255</v>
      </c>
    </row>
    <row r="901" spans="1:13" x14ac:dyDescent="0.3">
      <c r="A901" s="3">
        <v>1920095</v>
      </c>
      <c r="B901" s="4" t="s">
        <v>1700</v>
      </c>
      <c r="C901" s="5">
        <v>6438</v>
      </c>
      <c r="D901" s="5" t="s">
        <v>26</v>
      </c>
      <c r="E901" s="3" t="s">
        <v>6322</v>
      </c>
      <c r="F901" s="6">
        <v>56</v>
      </c>
      <c r="G901" s="6">
        <v>53.5</v>
      </c>
      <c r="H901" s="6">
        <v>7</v>
      </c>
      <c r="I901" s="7">
        <v>32</v>
      </c>
      <c r="J901" s="3" t="s">
        <v>4317</v>
      </c>
      <c r="K901" s="8">
        <v>0.47</v>
      </c>
      <c r="L901" s="9" t="s">
        <v>6057</v>
      </c>
      <c r="M901" s="1" t="s">
        <v>6256</v>
      </c>
    </row>
    <row r="902" spans="1:13" x14ac:dyDescent="0.3">
      <c r="A902" s="3">
        <v>1920096</v>
      </c>
      <c r="B902" s="4" t="s">
        <v>1700</v>
      </c>
      <c r="C902" s="5" t="s">
        <v>6054</v>
      </c>
      <c r="D902" s="5" t="s">
        <v>613</v>
      </c>
      <c r="E902" s="3" t="s">
        <v>6322</v>
      </c>
      <c r="F902" s="6" t="s">
        <v>5206</v>
      </c>
      <c r="G902" s="6" t="s">
        <v>5358</v>
      </c>
      <c r="H902" s="6" t="s">
        <v>14</v>
      </c>
      <c r="I902" s="7" t="s">
        <v>14</v>
      </c>
      <c r="J902" s="3" t="s">
        <v>14</v>
      </c>
      <c r="K902" s="8" t="s">
        <v>14</v>
      </c>
      <c r="L902" s="9" t="s">
        <v>6058</v>
      </c>
      <c r="M902" s="1" t="s">
        <v>6257</v>
      </c>
    </row>
    <row r="903" spans="1:13" x14ac:dyDescent="0.3">
      <c r="A903" s="3">
        <v>1920100</v>
      </c>
      <c r="B903" s="4" t="s">
        <v>1700</v>
      </c>
      <c r="C903" s="5" t="s">
        <v>6323</v>
      </c>
      <c r="D903" s="5" t="s">
        <v>4792</v>
      </c>
      <c r="E903" s="3" t="s">
        <v>6322</v>
      </c>
      <c r="F903" s="6">
        <v>54</v>
      </c>
      <c r="G903" s="6">
        <v>51.8</v>
      </c>
      <c r="H903" s="6">
        <v>15.2</v>
      </c>
      <c r="I903" s="7" t="s">
        <v>6324</v>
      </c>
      <c r="J903" s="3" t="s">
        <v>4422</v>
      </c>
      <c r="K903" s="8">
        <v>0.08</v>
      </c>
      <c r="L903" s="9" t="s">
        <v>6325</v>
      </c>
      <c r="M903" s="70" t="s">
        <v>6326</v>
      </c>
    </row>
    <row r="904" spans="1:13" x14ac:dyDescent="0.3">
      <c r="A904" s="3">
        <v>1914080</v>
      </c>
      <c r="B904" s="4" t="s">
        <v>1700</v>
      </c>
      <c r="C904" s="5">
        <v>359</v>
      </c>
      <c r="D904" s="5" t="s">
        <v>392</v>
      </c>
      <c r="E904" s="3" t="s">
        <v>1827</v>
      </c>
      <c r="F904" s="6">
        <v>34.1</v>
      </c>
      <c r="G904" s="6">
        <v>25.6</v>
      </c>
      <c r="H904" s="6">
        <v>8</v>
      </c>
      <c r="I904" s="7" t="s">
        <v>4315</v>
      </c>
      <c r="J904" s="3" t="s">
        <v>4317</v>
      </c>
      <c r="K904" s="8" t="s">
        <v>4578</v>
      </c>
      <c r="L904" s="9" t="s">
        <v>1828</v>
      </c>
      <c r="M904" s="1" t="s">
        <v>1829</v>
      </c>
    </row>
    <row r="905" spans="1:13" x14ac:dyDescent="0.3">
      <c r="A905" s="3">
        <v>1911079</v>
      </c>
      <c r="B905" s="4" t="s">
        <v>1700</v>
      </c>
      <c r="C905" s="5">
        <v>341</v>
      </c>
      <c r="D905" s="5" t="s">
        <v>154</v>
      </c>
      <c r="E905" s="3" t="s">
        <v>1824</v>
      </c>
      <c r="F905" s="6">
        <v>33.5</v>
      </c>
      <c r="G905" s="6">
        <v>24.6</v>
      </c>
      <c r="H905" s="6">
        <v>18.399999999999999</v>
      </c>
      <c r="I905" s="7" t="s">
        <v>4315</v>
      </c>
      <c r="J905" s="3" t="s">
        <v>4317</v>
      </c>
      <c r="K905" s="8" t="s">
        <v>4482</v>
      </c>
      <c r="L905" s="9" t="s">
        <v>1825</v>
      </c>
      <c r="M905" s="1" t="s">
        <v>1826</v>
      </c>
    </row>
    <row r="906" spans="1:13" x14ac:dyDescent="0.3">
      <c r="A906" s="3">
        <v>1917031</v>
      </c>
      <c r="B906" s="4" t="s">
        <v>1700</v>
      </c>
      <c r="C906" s="5" t="s">
        <v>1727</v>
      </c>
      <c r="D906" s="5" t="s">
        <v>167</v>
      </c>
      <c r="E906" s="3" t="s">
        <v>14</v>
      </c>
      <c r="F906" s="6">
        <v>120.8</v>
      </c>
      <c r="G906" s="6">
        <v>113.2</v>
      </c>
      <c r="H906" s="6">
        <v>45.1</v>
      </c>
      <c r="I906" s="7" t="s">
        <v>4316</v>
      </c>
      <c r="J906" s="3" t="s">
        <v>4318</v>
      </c>
      <c r="K906" s="8" t="s">
        <v>4641</v>
      </c>
      <c r="L906" s="9" t="s">
        <v>1728</v>
      </c>
      <c r="M906" s="1" t="s">
        <v>1729</v>
      </c>
    </row>
    <row r="907" spans="1:13" x14ac:dyDescent="0.3">
      <c r="A907" s="3">
        <v>1914032</v>
      </c>
      <c r="B907" s="4" t="s">
        <v>1700</v>
      </c>
      <c r="C907" s="5" t="s">
        <v>1730</v>
      </c>
      <c r="D907" s="5" t="s">
        <v>392</v>
      </c>
      <c r="E907" s="3" t="s">
        <v>14</v>
      </c>
      <c r="F907" s="6">
        <v>122.4</v>
      </c>
      <c r="G907" s="6">
        <v>115.2</v>
      </c>
      <c r="H907" s="6">
        <v>10.5</v>
      </c>
      <c r="I907" s="7" t="s">
        <v>4315</v>
      </c>
      <c r="J907" s="3" t="s">
        <v>4317</v>
      </c>
      <c r="K907" s="8" t="s">
        <v>4642</v>
      </c>
      <c r="L907" s="9" t="s">
        <v>1731</v>
      </c>
      <c r="M907" s="1" t="s">
        <v>1732</v>
      </c>
    </row>
    <row r="908" spans="1:13" x14ac:dyDescent="0.3">
      <c r="A908" s="3">
        <v>1920033</v>
      </c>
      <c r="B908" s="4" t="s">
        <v>1700</v>
      </c>
      <c r="C908" s="5" t="s">
        <v>1727</v>
      </c>
      <c r="D908" s="5" t="s">
        <v>264</v>
      </c>
      <c r="E908" s="3" t="s">
        <v>14</v>
      </c>
      <c r="F908" s="6">
        <v>119.4</v>
      </c>
      <c r="G908" s="6">
        <v>43.5</v>
      </c>
      <c r="H908" s="6">
        <v>0</v>
      </c>
      <c r="I908" s="7" t="s">
        <v>4315</v>
      </c>
      <c r="J908" s="3" t="s">
        <v>4317</v>
      </c>
      <c r="K908" s="8" t="s">
        <v>4393</v>
      </c>
      <c r="L908" s="9" t="s">
        <v>1733</v>
      </c>
      <c r="M908" s="1" t="s">
        <v>1734</v>
      </c>
    </row>
    <row r="909" spans="1:13" x14ac:dyDescent="0.3">
      <c r="A909" s="3">
        <v>1921034</v>
      </c>
      <c r="B909" s="4" t="s">
        <v>1700</v>
      </c>
      <c r="C909" s="5" t="s">
        <v>1727</v>
      </c>
      <c r="D909" s="5" t="s">
        <v>267</v>
      </c>
      <c r="E909" s="3" t="s">
        <v>14</v>
      </c>
      <c r="F909" s="6">
        <v>111.8</v>
      </c>
      <c r="G909" s="6">
        <v>43.5</v>
      </c>
      <c r="H909" s="6">
        <v>0</v>
      </c>
      <c r="I909" s="7" t="s">
        <v>4315</v>
      </c>
      <c r="J909" s="3" t="s">
        <v>4317</v>
      </c>
      <c r="K909" s="8" t="s">
        <v>4643</v>
      </c>
      <c r="L909" s="9" t="s">
        <v>1735</v>
      </c>
      <c r="M909" s="1" t="s">
        <v>1736</v>
      </c>
    </row>
    <row r="910" spans="1:13" x14ac:dyDescent="0.3">
      <c r="A910" s="3">
        <v>1914081</v>
      </c>
      <c r="B910" s="4" t="s">
        <v>1700</v>
      </c>
      <c r="C910" s="5" t="s">
        <v>1830</v>
      </c>
      <c r="D910" s="5" t="s">
        <v>96</v>
      </c>
      <c r="E910" s="3" t="s">
        <v>14</v>
      </c>
      <c r="F910" s="6">
        <v>61</v>
      </c>
      <c r="G910" s="6">
        <v>40</v>
      </c>
      <c r="H910" s="6">
        <v>43</v>
      </c>
      <c r="I910" s="7" t="s">
        <v>4473</v>
      </c>
      <c r="J910" s="3" t="s">
        <v>4317</v>
      </c>
      <c r="K910" s="8">
        <v>1.72</v>
      </c>
      <c r="L910" s="9" t="s">
        <v>1831</v>
      </c>
      <c r="M910" s="1" t="s">
        <v>1832</v>
      </c>
    </row>
    <row r="911" spans="1:13" x14ac:dyDescent="0.3">
      <c r="A911" s="3">
        <v>1914082</v>
      </c>
      <c r="B911" s="4" t="s">
        <v>1700</v>
      </c>
      <c r="C911" s="5" t="s">
        <v>1833</v>
      </c>
      <c r="D911" s="5" t="s">
        <v>131</v>
      </c>
      <c r="E911" s="3" t="s">
        <v>14</v>
      </c>
      <c r="F911" s="6">
        <v>60</v>
      </c>
      <c r="G911" s="6">
        <v>39</v>
      </c>
      <c r="H911" s="6">
        <v>42</v>
      </c>
      <c r="I911" s="7" t="s">
        <v>4473</v>
      </c>
      <c r="J911" s="3" t="s">
        <v>4317</v>
      </c>
      <c r="K911" s="8">
        <v>0.25</v>
      </c>
      <c r="L911" s="9" t="s">
        <v>1835</v>
      </c>
      <c r="M911" s="1" t="s">
        <v>1836</v>
      </c>
    </row>
    <row r="912" spans="1:13" x14ac:dyDescent="0.3">
      <c r="A912" s="3">
        <v>1914083</v>
      </c>
      <c r="B912" s="4" t="s">
        <v>1700</v>
      </c>
      <c r="C912" s="5" t="s">
        <v>7476</v>
      </c>
      <c r="D912" s="5" t="s">
        <v>7477</v>
      </c>
      <c r="E912" s="3" t="s">
        <v>7478</v>
      </c>
      <c r="F912" s="6">
        <v>54</v>
      </c>
      <c r="G912" s="6">
        <v>33</v>
      </c>
      <c r="H912" s="6">
        <v>16.5</v>
      </c>
      <c r="I912" s="7" t="s">
        <v>6324</v>
      </c>
      <c r="J912" s="3" t="s">
        <v>4422</v>
      </c>
      <c r="K912" s="8">
        <f>0.27+0.05</f>
        <v>0.32</v>
      </c>
      <c r="L912" s="9" t="s">
        <v>1837</v>
      </c>
      <c r="M912" s="71" t="s">
        <v>7479</v>
      </c>
    </row>
    <row r="913" spans="1:13" x14ac:dyDescent="0.3">
      <c r="A913" s="3">
        <v>1914084</v>
      </c>
      <c r="B913" s="4" t="s">
        <v>1700</v>
      </c>
      <c r="C913" s="5" t="s">
        <v>7917</v>
      </c>
      <c r="D913" s="5" t="s">
        <v>23</v>
      </c>
      <c r="E913" s="3" t="s">
        <v>7916</v>
      </c>
      <c r="F913" s="6">
        <v>61.3</v>
      </c>
      <c r="G913" s="6">
        <v>37.799999999999997</v>
      </c>
      <c r="H913" s="6">
        <v>23.2</v>
      </c>
      <c r="I913" s="7">
        <v>44</v>
      </c>
      <c r="J913" s="3" t="s">
        <v>4318</v>
      </c>
      <c r="K913" s="8">
        <v>0.9</v>
      </c>
      <c r="L913" s="9" t="s">
        <v>1838</v>
      </c>
      <c r="M913" s="71" t="s">
        <v>7918</v>
      </c>
    </row>
    <row r="914" spans="1:13" x14ac:dyDescent="0.3">
      <c r="A914" s="3">
        <v>1914085</v>
      </c>
      <c r="B914" s="4" t="s">
        <v>1700</v>
      </c>
      <c r="C914" s="5" t="s">
        <v>7919</v>
      </c>
      <c r="D914" s="5" t="s">
        <v>4792</v>
      </c>
      <c r="E914" s="3" t="s">
        <v>7916</v>
      </c>
      <c r="F914" s="6">
        <v>60</v>
      </c>
      <c r="G914" s="6">
        <v>42</v>
      </c>
      <c r="H914" s="6">
        <v>22.9</v>
      </c>
      <c r="I914" s="7">
        <v>32</v>
      </c>
      <c r="J914" s="3" t="s">
        <v>4317</v>
      </c>
      <c r="K914" s="8">
        <v>1.5</v>
      </c>
      <c r="L914" s="9" t="s">
        <v>1839</v>
      </c>
      <c r="M914" s="71" t="s">
        <v>7921</v>
      </c>
    </row>
    <row r="915" spans="1:13" x14ac:dyDescent="0.3">
      <c r="A915" s="3">
        <v>1914086</v>
      </c>
      <c r="B915" s="4" t="s">
        <v>1700</v>
      </c>
      <c r="C915" s="5" t="s">
        <v>7920</v>
      </c>
      <c r="D915" s="5" t="s">
        <v>13</v>
      </c>
      <c r="E915" s="3" t="s">
        <v>7916</v>
      </c>
      <c r="F915" s="6">
        <v>62</v>
      </c>
      <c r="G915" s="6">
        <v>38.5</v>
      </c>
      <c r="H915" s="6">
        <v>8</v>
      </c>
      <c r="I915" s="7">
        <v>32</v>
      </c>
      <c r="J915" s="3" t="s">
        <v>4317</v>
      </c>
      <c r="K915" s="8">
        <v>1.3</v>
      </c>
      <c r="L915" s="9" t="s">
        <v>1840</v>
      </c>
      <c r="M915" s="71" t="s">
        <v>7922</v>
      </c>
    </row>
    <row r="916" spans="1:13" x14ac:dyDescent="0.3">
      <c r="A916" s="3">
        <v>2117001</v>
      </c>
      <c r="B916" s="4" t="s">
        <v>5070</v>
      </c>
      <c r="C916" s="5" t="s">
        <v>5071</v>
      </c>
      <c r="D916" s="5" t="s">
        <v>5072</v>
      </c>
      <c r="E916" s="3" t="s">
        <v>5071</v>
      </c>
      <c r="F916" s="6">
        <v>81.2</v>
      </c>
      <c r="G916" s="6">
        <v>78.599999999999994</v>
      </c>
      <c r="H916" s="6">
        <v>68.5</v>
      </c>
      <c r="I916" s="7" t="s">
        <v>5088</v>
      </c>
      <c r="J916" s="3" t="s">
        <v>5073</v>
      </c>
      <c r="K916" s="8">
        <v>2.46</v>
      </c>
      <c r="L916" s="9" t="s">
        <v>5074</v>
      </c>
      <c r="M916" s="1" t="s">
        <v>5102</v>
      </c>
    </row>
    <row r="917" spans="1:13" x14ac:dyDescent="0.3">
      <c r="A917" s="3">
        <v>2117002</v>
      </c>
      <c r="B917" s="4" t="s">
        <v>5070</v>
      </c>
      <c r="C917" s="5" t="s">
        <v>5083</v>
      </c>
      <c r="D917" s="5" t="s">
        <v>5072</v>
      </c>
      <c r="E917" s="3" t="s">
        <v>5071</v>
      </c>
      <c r="F917" s="6">
        <v>81.2</v>
      </c>
      <c r="G917" s="6">
        <v>78.599999999999994</v>
      </c>
      <c r="H917" s="6">
        <v>68.5</v>
      </c>
      <c r="I917" s="7" t="s">
        <v>5088</v>
      </c>
      <c r="J917" s="3" t="s">
        <v>5073</v>
      </c>
      <c r="K917" s="8">
        <v>3.46</v>
      </c>
      <c r="L917" s="9" t="s">
        <v>5075</v>
      </c>
      <c r="M917" s="1" t="s">
        <v>5101</v>
      </c>
    </row>
    <row r="918" spans="1:13" x14ac:dyDescent="0.3">
      <c r="A918" s="3">
        <v>2117003</v>
      </c>
      <c r="B918" s="4" t="s">
        <v>5070</v>
      </c>
      <c r="C918" s="5" t="s">
        <v>5084</v>
      </c>
      <c r="D918" s="5" t="s">
        <v>5072</v>
      </c>
      <c r="E918" s="3" t="s">
        <v>5084</v>
      </c>
      <c r="F918" s="6">
        <v>81.2</v>
      </c>
      <c r="G918" s="6">
        <v>78.599999999999994</v>
      </c>
      <c r="H918" s="6">
        <v>68.5</v>
      </c>
      <c r="I918" s="7" t="s">
        <v>5088</v>
      </c>
      <c r="J918" s="3" t="s">
        <v>5073</v>
      </c>
      <c r="K918" s="8">
        <v>4.46</v>
      </c>
      <c r="L918" s="9" t="s">
        <v>5076</v>
      </c>
      <c r="M918" s="1" t="s">
        <v>5100</v>
      </c>
    </row>
    <row r="919" spans="1:13" x14ac:dyDescent="0.3">
      <c r="A919" s="3">
        <v>2117004</v>
      </c>
      <c r="B919" s="4" t="s">
        <v>5070</v>
      </c>
      <c r="C919" s="5" t="s">
        <v>5086</v>
      </c>
      <c r="D919" s="5" t="s">
        <v>5085</v>
      </c>
      <c r="E919" s="3" t="s">
        <v>5087</v>
      </c>
      <c r="F919" s="6">
        <v>10</v>
      </c>
      <c r="G919" s="6">
        <v>10</v>
      </c>
      <c r="H919" s="6">
        <v>10</v>
      </c>
      <c r="I919" s="7">
        <v>42</v>
      </c>
      <c r="J919" s="3" t="s">
        <v>4318</v>
      </c>
      <c r="K919" s="8">
        <v>0.09</v>
      </c>
      <c r="L919" s="9" t="s">
        <v>5077</v>
      </c>
      <c r="M919" s="1" t="s">
        <v>5099</v>
      </c>
    </row>
    <row r="920" spans="1:13" x14ac:dyDescent="0.3">
      <c r="A920" s="3">
        <v>2117005</v>
      </c>
      <c r="B920" s="4" t="s">
        <v>5070</v>
      </c>
      <c r="C920" s="5" t="s">
        <v>5089</v>
      </c>
      <c r="D920" s="5" t="s">
        <v>261</v>
      </c>
      <c r="E920" s="3" t="s">
        <v>5084</v>
      </c>
      <c r="F920" s="6">
        <v>178</v>
      </c>
      <c r="G920" s="6">
        <v>61</v>
      </c>
      <c r="H920" s="6" t="s">
        <v>14</v>
      </c>
      <c r="I920" s="7">
        <v>32</v>
      </c>
      <c r="J920" s="3" t="s">
        <v>4317</v>
      </c>
      <c r="K920" s="8">
        <v>1.0900000000000001</v>
      </c>
      <c r="L920" s="9" t="s">
        <v>5078</v>
      </c>
      <c r="M920" s="1" t="s">
        <v>5098</v>
      </c>
    </row>
    <row r="921" spans="1:13" x14ac:dyDescent="0.3">
      <c r="A921" s="3">
        <v>2117006</v>
      </c>
      <c r="B921" s="4" t="s">
        <v>5070</v>
      </c>
      <c r="C921" s="5" t="s">
        <v>5090</v>
      </c>
      <c r="D921" s="5" t="s">
        <v>74</v>
      </c>
      <c r="E921" s="3" t="s">
        <v>5071</v>
      </c>
      <c r="F921" s="6">
        <v>75</v>
      </c>
      <c r="G921" s="6">
        <v>70</v>
      </c>
      <c r="H921" s="6" t="s">
        <v>14</v>
      </c>
      <c r="I921" s="7">
        <v>32</v>
      </c>
      <c r="J921" s="3" t="s">
        <v>4317</v>
      </c>
      <c r="K921" s="8">
        <v>0.53</v>
      </c>
      <c r="L921" s="9" t="s">
        <v>5079</v>
      </c>
      <c r="M921" s="1" t="s">
        <v>5097</v>
      </c>
    </row>
    <row r="922" spans="1:13" x14ac:dyDescent="0.3">
      <c r="A922" s="3">
        <v>2117007</v>
      </c>
      <c r="B922" s="4" t="s">
        <v>5070</v>
      </c>
      <c r="C922" s="5" t="s">
        <v>5091</v>
      </c>
      <c r="D922" s="5" t="s">
        <v>5091</v>
      </c>
      <c r="E922" s="3" t="s">
        <v>5071</v>
      </c>
      <c r="F922" s="6">
        <v>93</v>
      </c>
      <c r="G922" s="6">
        <v>76</v>
      </c>
      <c r="H922" s="6" t="s">
        <v>14</v>
      </c>
      <c r="I922" s="7">
        <v>61</v>
      </c>
      <c r="J922" s="3" t="s">
        <v>4318</v>
      </c>
      <c r="K922" s="8">
        <v>0.71</v>
      </c>
      <c r="L922" s="9" t="s">
        <v>5080</v>
      </c>
      <c r="M922" s="1" t="s">
        <v>5096</v>
      </c>
    </row>
    <row r="923" spans="1:13" x14ac:dyDescent="0.3">
      <c r="A923" s="3">
        <v>2117008</v>
      </c>
      <c r="B923" s="4" t="s">
        <v>5070</v>
      </c>
      <c r="C923" s="5" t="s">
        <v>5092</v>
      </c>
      <c r="D923" s="5" t="s">
        <v>5092</v>
      </c>
      <c r="E923" s="3" t="s">
        <v>5084</v>
      </c>
      <c r="F923" s="6">
        <v>95</v>
      </c>
      <c r="G923" s="6">
        <v>85</v>
      </c>
      <c r="H923" s="6" t="s">
        <v>14</v>
      </c>
      <c r="I923" s="7">
        <v>61</v>
      </c>
      <c r="J923" s="3" t="s">
        <v>4318</v>
      </c>
      <c r="K923" s="8">
        <v>0.81</v>
      </c>
      <c r="L923" s="9" t="s">
        <v>5081</v>
      </c>
      <c r="M923" s="1" t="s">
        <v>5095</v>
      </c>
    </row>
    <row r="924" spans="1:13" x14ac:dyDescent="0.3">
      <c r="A924" s="3">
        <v>2117009</v>
      </c>
      <c r="B924" s="4" t="s">
        <v>5070</v>
      </c>
      <c r="C924" s="5" t="s">
        <v>5093</v>
      </c>
      <c r="D924" s="5" t="s">
        <v>13</v>
      </c>
      <c r="E924" s="3" t="s">
        <v>5087</v>
      </c>
      <c r="F924" s="6">
        <v>81.5</v>
      </c>
      <c r="G924" s="6">
        <v>73.5</v>
      </c>
      <c r="H924" s="6">
        <v>10</v>
      </c>
      <c r="I924" s="7">
        <v>61</v>
      </c>
      <c r="J924" s="3" t="s">
        <v>4318</v>
      </c>
      <c r="K924" s="8">
        <v>0.95</v>
      </c>
      <c r="L924" s="9" t="s">
        <v>5082</v>
      </c>
      <c r="M924" s="1" t="s">
        <v>5094</v>
      </c>
    </row>
    <row r="925" spans="1:13" x14ac:dyDescent="0.3">
      <c r="A925" s="3">
        <v>2112001</v>
      </c>
      <c r="B925" s="4" t="s">
        <v>1856</v>
      </c>
      <c r="C925" s="5" t="s">
        <v>1857</v>
      </c>
      <c r="D925" s="5" t="s">
        <v>161</v>
      </c>
      <c r="E925" s="3" t="s">
        <v>14</v>
      </c>
      <c r="F925" s="6">
        <v>311</v>
      </c>
      <c r="G925" s="6">
        <v>157</v>
      </c>
      <c r="H925" s="6">
        <v>30</v>
      </c>
      <c r="I925" s="7" t="s">
        <v>4316</v>
      </c>
      <c r="J925" s="3" t="s">
        <v>4318</v>
      </c>
      <c r="K925" s="8" t="s">
        <v>4650</v>
      </c>
      <c r="L925" s="9" t="s">
        <v>1858</v>
      </c>
      <c r="M925" s="1" t="s">
        <v>1859</v>
      </c>
    </row>
    <row r="926" spans="1:13" x14ac:dyDescent="0.3">
      <c r="A926" s="3">
        <v>2114002</v>
      </c>
      <c r="B926" s="4" t="s">
        <v>1856</v>
      </c>
      <c r="C926" s="5" t="s">
        <v>1857</v>
      </c>
      <c r="D926" s="5" t="s">
        <v>392</v>
      </c>
      <c r="E926" s="3" t="s">
        <v>14</v>
      </c>
      <c r="F926" s="6">
        <v>313</v>
      </c>
      <c r="G926" s="6">
        <v>159</v>
      </c>
      <c r="H926" s="6">
        <v>30</v>
      </c>
      <c r="I926" s="7" t="s">
        <v>4316</v>
      </c>
      <c r="J926" s="3" t="s">
        <v>4318</v>
      </c>
      <c r="K926" s="8" t="s">
        <v>4651</v>
      </c>
      <c r="L926" s="9" t="s">
        <v>1860</v>
      </c>
      <c r="M926" s="1" t="s">
        <v>1861</v>
      </c>
    </row>
    <row r="927" spans="1:13" x14ac:dyDescent="0.3">
      <c r="A927" s="3">
        <v>2118003</v>
      </c>
      <c r="B927" s="4" t="s">
        <v>1856</v>
      </c>
      <c r="C927" s="5" t="s">
        <v>1857</v>
      </c>
      <c r="D927" s="5" t="s">
        <v>441</v>
      </c>
      <c r="E927" s="3" t="s">
        <v>14</v>
      </c>
      <c r="F927" s="6">
        <v>20</v>
      </c>
      <c r="G927" s="6">
        <v>20</v>
      </c>
      <c r="H927" s="6">
        <v>0</v>
      </c>
      <c r="I927" s="7" t="s">
        <v>4316</v>
      </c>
      <c r="J927" s="3" t="s">
        <v>4318</v>
      </c>
      <c r="K927" s="8" t="s">
        <v>4350</v>
      </c>
      <c r="L927" s="9" t="s">
        <v>1862</v>
      </c>
      <c r="M927" s="1" t="s">
        <v>1863</v>
      </c>
    </row>
    <row r="928" spans="1:13" x14ac:dyDescent="0.3">
      <c r="A928" s="3">
        <v>2118004</v>
      </c>
      <c r="B928" s="4" t="s">
        <v>1856</v>
      </c>
      <c r="C928" s="5" t="s">
        <v>1857</v>
      </c>
      <c r="D928" s="5" t="s">
        <v>441</v>
      </c>
      <c r="E928" s="3" t="s">
        <v>14</v>
      </c>
      <c r="F928" s="6">
        <v>10</v>
      </c>
      <c r="G928" s="6">
        <v>10</v>
      </c>
      <c r="H928" s="6">
        <v>0</v>
      </c>
      <c r="I928" s="7" t="s">
        <v>4316</v>
      </c>
      <c r="J928" s="3" t="s">
        <v>4318</v>
      </c>
      <c r="K928" s="8" t="s">
        <v>4464</v>
      </c>
      <c r="L928" s="9" t="s">
        <v>1864</v>
      </c>
      <c r="M928" s="1" t="s">
        <v>1865</v>
      </c>
    </row>
    <row r="929" spans="1:14" x14ac:dyDescent="0.3">
      <c r="A929" s="3">
        <v>2115005</v>
      </c>
      <c r="B929" s="4" t="s">
        <v>1856</v>
      </c>
      <c r="C929" s="5" t="s">
        <v>1857</v>
      </c>
      <c r="D929" s="5" t="s">
        <v>78</v>
      </c>
      <c r="E929" s="3" t="s">
        <v>14</v>
      </c>
      <c r="F929" s="6">
        <v>29</v>
      </c>
      <c r="G929" s="6">
        <v>29</v>
      </c>
      <c r="H929" s="6">
        <v>27</v>
      </c>
      <c r="I929" s="7" t="s">
        <v>4315</v>
      </c>
      <c r="J929" s="3" t="s">
        <v>4317</v>
      </c>
      <c r="K929" s="8" t="s">
        <v>4597</v>
      </c>
      <c r="L929" s="9" t="s">
        <v>1866</v>
      </c>
      <c r="M929" s="1" t="s">
        <v>1867</v>
      </c>
    </row>
    <row r="930" spans="1:14" x14ac:dyDescent="0.3">
      <c r="A930" s="3">
        <v>4813001</v>
      </c>
      <c r="B930" s="4" t="s">
        <v>1868</v>
      </c>
      <c r="C930" s="5" t="s">
        <v>1869</v>
      </c>
      <c r="D930" s="5" t="s">
        <v>491</v>
      </c>
      <c r="E930" s="3" t="s">
        <v>14</v>
      </c>
      <c r="F930" s="6">
        <v>83.8</v>
      </c>
      <c r="G930" s="6">
        <v>81.5</v>
      </c>
      <c r="H930" s="6">
        <v>5.8</v>
      </c>
      <c r="I930" s="7" t="s">
        <v>4315</v>
      </c>
      <c r="J930" s="3" t="s">
        <v>4317</v>
      </c>
      <c r="K930" s="8">
        <v>0.81</v>
      </c>
      <c r="L930" s="9" t="s">
        <v>1870</v>
      </c>
      <c r="M930" s="1" t="s">
        <v>1871</v>
      </c>
    </row>
    <row r="931" spans="1:14" x14ac:dyDescent="0.3">
      <c r="A931" s="3">
        <v>4813002</v>
      </c>
      <c r="B931" s="4" t="s">
        <v>1868</v>
      </c>
      <c r="C931" s="5" t="s">
        <v>1872</v>
      </c>
      <c r="D931" s="5" t="s">
        <v>491</v>
      </c>
      <c r="E931" s="3" t="s">
        <v>14</v>
      </c>
      <c r="F931" s="6">
        <v>75.2</v>
      </c>
      <c r="G931" s="6">
        <v>66.5</v>
      </c>
      <c r="H931" s="6">
        <v>4.5</v>
      </c>
      <c r="I931" s="7" t="s">
        <v>4315</v>
      </c>
      <c r="J931" s="3" t="s">
        <v>4317</v>
      </c>
      <c r="K931" s="8">
        <v>1.3</v>
      </c>
      <c r="L931" s="9" t="s">
        <v>1873</v>
      </c>
      <c r="M931" s="1" t="s">
        <v>1874</v>
      </c>
    </row>
    <row r="932" spans="1:14" x14ac:dyDescent="0.3">
      <c r="A932" s="3">
        <v>2610001</v>
      </c>
      <c r="B932" s="4" t="s">
        <v>1875</v>
      </c>
      <c r="C932" s="5">
        <v>1265009</v>
      </c>
      <c r="D932" s="5" t="s">
        <v>96</v>
      </c>
      <c r="E932" s="3" t="s">
        <v>14</v>
      </c>
      <c r="F932" s="6">
        <v>98.5</v>
      </c>
      <c r="G932" s="6">
        <v>39.5</v>
      </c>
      <c r="H932" s="6">
        <v>19.5</v>
      </c>
      <c r="I932" s="7" t="s">
        <v>4315</v>
      </c>
      <c r="J932" s="3" t="s">
        <v>4317</v>
      </c>
      <c r="K932" s="8" t="s">
        <v>4565</v>
      </c>
      <c r="L932" s="9" t="s">
        <v>1876</v>
      </c>
      <c r="M932" s="1" t="s">
        <v>1877</v>
      </c>
    </row>
    <row r="933" spans="1:14" x14ac:dyDescent="0.3">
      <c r="A933" s="3">
        <v>2610002</v>
      </c>
      <c r="B933" s="4" t="s">
        <v>1875</v>
      </c>
      <c r="C933" s="5">
        <v>1537002</v>
      </c>
      <c r="D933" s="5" t="s">
        <v>96</v>
      </c>
      <c r="E933" s="3" t="s">
        <v>1878</v>
      </c>
      <c r="F933" s="6">
        <v>70.5</v>
      </c>
      <c r="G933" s="6">
        <v>60.5</v>
      </c>
      <c r="H933" s="6">
        <v>38.5</v>
      </c>
      <c r="I933" s="7" t="s">
        <v>4315</v>
      </c>
      <c r="J933" s="3" t="s">
        <v>4317</v>
      </c>
      <c r="K933" s="8" t="s">
        <v>4454</v>
      </c>
      <c r="L933" s="9" t="s">
        <v>1879</v>
      </c>
      <c r="M933" s="1" t="s">
        <v>1880</v>
      </c>
    </row>
    <row r="934" spans="1:14" x14ac:dyDescent="0.3">
      <c r="A934" s="3">
        <v>2610003</v>
      </c>
      <c r="B934" s="4" t="s">
        <v>1875</v>
      </c>
      <c r="C934" s="5">
        <v>1536008</v>
      </c>
      <c r="D934" s="5" t="s">
        <v>96</v>
      </c>
      <c r="E934" s="3" t="s">
        <v>1881</v>
      </c>
      <c r="F934" s="6">
        <v>91.5</v>
      </c>
      <c r="G934" s="6">
        <v>60.5</v>
      </c>
      <c r="H934" s="6">
        <v>38.5</v>
      </c>
      <c r="I934" s="7" t="s">
        <v>4315</v>
      </c>
      <c r="J934" s="3" t="s">
        <v>4317</v>
      </c>
      <c r="K934" s="8" t="s">
        <v>4413</v>
      </c>
      <c r="L934" s="9" t="s">
        <v>1882</v>
      </c>
      <c r="M934" s="1" t="s">
        <v>1883</v>
      </c>
    </row>
    <row r="935" spans="1:14" x14ac:dyDescent="0.3">
      <c r="A935" s="3">
        <v>2610004</v>
      </c>
      <c r="B935" s="4" t="s">
        <v>1875</v>
      </c>
      <c r="C935" s="5" t="s">
        <v>1884</v>
      </c>
      <c r="D935" s="5" t="s">
        <v>96</v>
      </c>
      <c r="E935" s="3" t="s">
        <v>14</v>
      </c>
      <c r="F935" s="6">
        <v>92</v>
      </c>
      <c r="G935" s="6">
        <v>60</v>
      </c>
      <c r="H935" s="6">
        <v>17</v>
      </c>
      <c r="I935" s="7" t="s">
        <v>4316</v>
      </c>
      <c r="J935" s="3" t="s">
        <v>4318</v>
      </c>
      <c r="K935" s="8" t="s">
        <v>4451</v>
      </c>
      <c r="L935" s="9" t="s">
        <v>1885</v>
      </c>
      <c r="M935" s="1" t="s">
        <v>1886</v>
      </c>
    </row>
    <row r="936" spans="1:14" x14ac:dyDescent="0.3">
      <c r="A936" s="3">
        <v>2610005</v>
      </c>
      <c r="B936" s="4" t="s">
        <v>1875</v>
      </c>
      <c r="C936" s="5">
        <v>1061005</v>
      </c>
      <c r="D936" s="5" t="s">
        <v>96</v>
      </c>
      <c r="E936" s="3" t="s">
        <v>1887</v>
      </c>
      <c r="F936" s="6">
        <v>56.4</v>
      </c>
      <c r="G936" s="6">
        <v>38.9</v>
      </c>
      <c r="H936" s="6">
        <v>39.6</v>
      </c>
      <c r="I936" s="7" t="s">
        <v>4446</v>
      </c>
      <c r="J936" s="3" t="s">
        <v>4318</v>
      </c>
      <c r="K936" s="8" t="s">
        <v>4319</v>
      </c>
      <c r="L936" s="9" t="s">
        <v>1888</v>
      </c>
      <c r="M936" s="1" t="s">
        <v>1889</v>
      </c>
    </row>
    <row r="937" spans="1:14" x14ac:dyDescent="0.3">
      <c r="A937" s="3">
        <v>2610006</v>
      </c>
      <c r="B937" s="4" t="s">
        <v>1875</v>
      </c>
      <c r="C937" s="5">
        <v>1341005</v>
      </c>
      <c r="D937" s="5" t="s">
        <v>96</v>
      </c>
      <c r="E937" s="3" t="s">
        <v>14</v>
      </c>
      <c r="F937" s="6">
        <v>81.599999999999994</v>
      </c>
      <c r="G937" s="6">
        <v>61.3</v>
      </c>
      <c r="H937" s="6">
        <v>41.1</v>
      </c>
      <c r="I937" s="7" t="s">
        <v>4315</v>
      </c>
      <c r="J937" s="3" t="s">
        <v>4317</v>
      </c>
      <c r="K937" s="8" t="s">
        <v>4327</v>
      </c>
      <c r="L937" s="9" t="s">
        <v>1890</v>
      </c>
      <c r="M937" s="1" t="s">
        <v>1891</v>
      </c>
    </row>
    <row r="938" spans="1:14" x14ac:dyDescent="0.3">
      <c r="A938" s="3">
        <v>2610007</v>
      </c>
      <c r="B938" s="4" t="s">
        <v>1875</v>
      </c>
      <c r="C938" s="5">
        <v>1343000</v>
      </c>
      <c r="D938" s="5" t="s">
        <v>96</v>
      </c>
      <c r="E938" s="3" t="s">
        <v>1892</v>
      </c>
      <c r="F938" s="6">
        <v>91.4</v>
      </c>
      <c r="G938" s="6">
        <v>40.6</v>
      </c>
      <c r="H938" s="6">
        <v>28.3</v>
      </c>
      <c r="I938" s="7" t="s">
        <v>4315</v>
      </c>
      <c r="J938" s="3" t="s">
        <v>4317</v>
      </c>
      <c r="K938" s="8" t="s">
        <v>4330</v>
      </c>
      <c r="L938" s="9" t="s">
        <v>1893</v>
      </c>
      <c r="M938" s="1" t="s">
        <v>1894</v>
      </c>
    </row>
    <row r="939" spans="1:14" x14ac:dyDescent="0.3">
      <c r="A939" s="3">
        <v>2610008</v>
      </c>
      <c r="B939" s="4" t="s">
        <v>1875</v>
      </c>
      <c r="C939" s="5">
        <v>108400</v>
      </c>
      <c r="D939" s="5" t="s">
        <v>96</v>
      </c>
      <c r="E939" s="3" t="s">
        <v>1895</v>
      </c>
      <c r="F939" s="6">
        <v>91.4</v>
      </c>
      <c r="G939" s="6">
        <v>60.9</v>
      </c>
      <c r="H939" s="6">
        <v>11.8</v>
      </c>
      <c r="I939" s="7" t="s">
        <v>4315</v>
      </c>
      <c r="J939" s="3" t="s">
        <v>4317</v>
      </c>
      <c r="K939" s="8" t="s">
        <v>4652</v>
      </c>
      <c r="L939" s="9" t="s">
        <v>1896</v>
      </c>
      <c r="M939" s="1" t="s">
        <v>1897</v>
      </c>
    </row>
    <row r="940" spans="1:14" x14ac:dyDescent="0.3">
      <c r="A940" s="3">
        <v>1455010</v>
      </c>
      <c r="B940" s="4" t="s">
        <v>1898</v>
      </c>
      <c r="C940" s="5">
        <v>7745</v>
      </c>
      <c r="D940" s="5" t="s">
        <v>154</v>
      </c>
      <c r="E940" s="3" t="s">
        <v>14</v>
      </c>
      <c r="F940" s="6">
        <v>81</v>
      </c>
      <c r="G940" s="6">
        <v>40</v>
      </c>
      <c r="H940" s="6">
        <v>22.5</v>
      </c>
      <c r="I940" s="7" t="s">
        <v>4316</v>
      </c>
      <c r="J940" s="3" t="s">
        <v>4318</v>
      </c>
      <c r="K940" s="8">
        <v>1.54</v>
      </c>
      <c r="L940" s="9" t="s">
        <v>1899</v>
      </c>
      <c r="M940" s="1" t="s">
        <v>5550</v>
      </c>
      <c r="N940" t="s">
        <v>5551</v>
      </c>
    </row>
    <row r="941" spans="1:14" x14ac:dyDescent="0.3">
      <c r="A941" s="3">
        <v>2710011</v>
      </c>
      <c r="B941" s="4" t="s">
        <v>1898</v>
      </c>
      <c r="C941" s="5">
        <v>1534017</v>
      </c>
      <c r="D941" s="5" t="s">
        <v>96</v>
      </c>
      <c r="E941" s="3" t="s">
        <v>1900</v>
      </c>
      <c r="F941" s="6">
        <v>60.9</v>
      </c>
      <c r="G941" s="6">
        <v>56.4</v>
      </c>
      <c r="H941" s="6">
        <v>28.8</v>
      </c>
      <c r="I941" s="7" t="s">
        <v>4315</v>
      </c>
      <c r="J941" s="3" t="s">
        <v>4317</v>
      </c>
      <c r="K941" s="8" t="s">
        <v>4516</v>
      </c>
      <c r="L941" s="9" t="s">
        <v>1901</v>
      </c>
      <c r="M941" s="1" t="s">
        <v>1902</v>
      </c>
    </row>
    <row r="942" spans="1:14" x14ac:dyDescent="0.3">
      <c r="A942" s="3">
        <v>2720012</v>
      </c>
      <c r="B942" s="4" t="s">
        <v>1898</v>
      </c>
      <c r="C942" s="5">
        <v>1534018</v>
      </c>
      <c r="D942" s="5" t="s">
        <v>264</v>
      </c>
      <c r="E942" s="3" t="s">
        <v>1900</v>
      </c>
      <c r="F942" s="6">
        <v>60</v>
      </c>
      <c r="G942" s="6">
        <v>27</v>
      </c>
      <c r="H942" s="6">
        <v>0</v>
      </c>
      <c r="I942" s="7" t="s">
        <v>4315</v>
      </c>
      <c r="J942" s="3" t="s">
        <v>4317</v>
      </c>
      <c r="K942" s="8" t="s">
        <v>4431</v>
      </c>
      <c r="L942" s="9" t="s">
        <v>1903</v>
      </c>
      <c r="M942" s="1" t="s">
        <v>1904</v>
      </c>
    </row>
    <row r="943" spans="1:14" x14ac:dyDescent="0.3">
      <c r="A943" s="3">
        <v>2721013</v>
      </c>
      <c r="B943" s="4" t="s">
        <v>1898</v>
      </c>
      <c r="C943" s="5">
        <v>1534018</v>
      </c>
      <c r="D943" s="5" t="s">
        <v>267</v>
      </c>
      <c r="E943" s="3" t="s">
        <v>1900</v>
      </c>
      <c r="F943" s="6">
        <v>46.7</v>
      </c>
      <c r="G943" s="6">
        <v>27</v>
      </c>
      <c r="H943" s="6">
        <v>0</v>
      </c>
      <c r="I943" s="7" t="s">
        <v>4315</v>
      </c>
      <c r="J943" s="3" t="s">
        <v>4317</v>
      </c>
      <c r="K943" s="8" t="s">
        <v>4475</v>
      </c>
      <c r="L943" s="9" t="s">
        <v>1905</v>
      </c>
      <c r="M943" s="1" t="s">
        <v>1906</v>
      </c>
    </row>
    <row r="944" spans="1:14" x14ac:dyDescent="0.3">
      <c r="A944" s="3">
        <v>2722014</v>
      </c>
      <c r="B944" s="4" t="s">
        <v>1898</v>
      </c>
      <c r="C944" s="5">
        <v>1534018</v>
      </c>
      <c r="D944" s="5" t="s">
        <v>399</v>
      </c>
      <c r="E944" s="3" t="s">
        <v>1900</v>
      </c>
      <c r="F944" s="6">
        <v>55.5</v>
      </c>
      <c r="G944" s="6">
        <v>27</v>
      </c>
      <c r="H944" s="6">
        <v>0</v>
      </c>
      <c r="I944" s="7" t="s">
        <v>4315</v>
      </c>
      <c r="J944" s="3" t="s">
        <v>4317</v>
      </c>
      <c r="K944" s="8" t="s">
        <v>4366</v>
      </c>
      <c r="L944" s="9" t="s">
        <v>1907</v>
      </c>
      <c r="M944" s="1" t="s">
        <v>1908</v>
      </c>
    </row>
    <row r="945" spans="1:14" x14ac:dyDescent="0.3">
      <c r="A945" s="3">
        <v>2723015</v>
      </c>
      <c r="B945" s="4" t="s">
        <v>1898</v>
      </c>
      <c r="C945" s="5">
        <v>1029002</v>
      </c>
      <c r="D945" s="5" t="s">
        <v>154</v>
      </c>
      <c r="E945" s="3" t="s">
        <v>1909</v>
      </c>
      <c r="F945" s="6">
        <v>56.5</v>
      </c>
      <c r="G945" s="6">
        <v>41</v>
      </c>
      <c r="H945" s="6">
        <v>31.5</v>
      </c>
      <c r="I945" s="7" t="s">
        <v>4315</v>
      </c>
      <c r="J945" s="3" t="s">
        <v>4317</v>
      </c>
      <c r="K945" s="8" t="s">
        <v>4326</v>
      </c>
      <c r="L945" s="9" t="s">
        <v>1910</v>
      </c>
      <c r="M945" s="24" t="s">
        <v>1911</v>
      </c>
    </row>
    <row r="946" spans="1:14" x14ac:dyDescent="0.3">
      <c r="A946" s="3">
        <v>2724016</v>
      </c>
      <c r="B946" s="4" t="s">
        <v>1898</v>
      </c>
      <c r="C946" s="5">
        <v>1029003</v>
      </c>
      <c r="D946" s="5" t="s">
        <v>90</v>
      </c>
      <c r="E946" s="3" t="s">
        <v>1909</v>
      </c>
      <c r="F946" s="6">
        <v>75</v>
      </c>
      <c r="G946" s="6">
        <v>41</v>
      </c>
      <c r="H946" s="6">
        <v>15.3</v>
      </c>
      <c r="I946" s="7" t="s">
        <v>4315</v>
      </c>
      <c r="J946" s="3" t="s">
        <v>4317</v>
      </c>
      <c r="K946" s="8" t="s">
        <v>4598</v>
      </c>
      <c r="L946" s="9" t="s">
        <v>1912</v>
      </c>
      <c r="M946" s="24" t="s">
        <v>1913</v>
      </c>
    </row>
    <row r="947" spans="1:14" x14ac:dyDescent="0.3">
      <c r="A947" s="3">
        <v>2725017</v>
      </c>
      <c r="B947" s="4" t="s">
        <v>1898</v>
      </c>
      <c r="C947" s="5">
        <v>1029004</v>
      </c>
      <c r="D947" s="5" t="s">
        <v>13</v>
      </c>
      <c r="E947" s="3" t="s">
        <v>1909</v>
      </c>
      <c r="F947" s="6">
        <v>98.5</v>
      </c>
      <c r="G947" s="6">
        <v>39.5</v>
      </c>
      <c r="H947" s="6">
        <v>19.5</v>
      </c>
      <c r="I947" s="7" t="s">
        <v>4315</v>
      </c>
      <c r="J947" s="3" t="s">
        <v>4317</v>
      </c>
      <c r="K947" s="8" t="s">
        <v>4565</v>
      </c>
      <c r="L947" s="9" t="s">
        <v>1914</v>
      </c>
      <c r="M947" s="24" t="s">
        <v>1915</v>
      </c>
    </row>
    <row r="948" spans="1:14" x14ac:dyDescent="0.3">
      <c r="A948" s="3">
        <v>2726018</v>
      </c>
      <c r="B948" s="4" t="s">
        <v>1898</v>
      </c>
      <c r="C948" s="5">
        <v>7601</v>
      </c>
      <c r="D948" s="5" t="s">
        <v>96</v>
      </c>
      <c r="E948" s="3" t="s">
        <v>5546</v>
      </c>
      <c r="F948" s="6">
        <v>81.8</v>
      </c>
      <c r="G948" s="6">
        <v>60.8</v>
      </c>
      <c r="H948" s="6">
        <v>30.2</v>
      </c>
      <c r="I948" s="7">
        <v>42</v>
      </c>
      <c r="J948" s="3" t="s">
        <v>4317</v>
      </c>
      <c r="K948" s="8">
        <v>1.36</v>
      </c>
      <c r="L948" s="9" t="s">
        <v>1916</v>
      </c>
      <c r="M948" s="24" t="s">
        <v>5547</v>
      </c>
      <c r="N948" t="s">
        <v>5548</v>
      </c>
    </row>
    <row r="949" spans="1:14" x14ac:dyDescent="0.3">
      <c r="A949" s="3">
        <v>2710019</v>
      </c>
      <c r="B949" s="4" t="s">
        <v>1898</v>
      </c>
      <c r="C949" s="5">
        <v>1377001</v>
      </c>
      <c r="D949" s="5" t="s">
        <v>96</v>
      </c>
      <c r="E949" s="3" t="s">
        <v>1917</v>
      </c>
      <c r="F949" s="6">
        <v>103</v>
      </c>
      <c r="G949" s="6">
        <v>56</v>
      </c>
      <c r="H949" s="6">
        <v>38.1</v>
      </c>
      <c r="I949" s="7" t="s">
        <v>4315</v>
      </c>
      <c r="J949" s="3" t="s">
        <v>4317</v>
      </c>
      <c r="K949" s="8" t="s">
        <v>4653</v>
      </c>
      <c r="L949" s="9" t="s">
        <v>1918</v>
      </c>
      <c r="M949" s="1" t="s">
        <v>1919</v>
      </c>
      <c r="N949" s="9"/>
    </row>
    <row r="950" spans="1:14" x14ac:dyDescent="0.3">
      <c r="A950" s="3">
        <v>2720020</v>
      </c>
      <c r="B950" s="4" t="s">
        <v>1898</v>
      </c>
      <c r="C950" s="5">
        <v>1377002</v>
      </c>
      <c r="D950" s="5" t="s">
        <v>264</v>
      </c>
      <c r="E950" s="3" t="s">
        <v>1917</v>
      </c>
      <c r="F950" s="6">
        <v>55</v>
      </c>
      <c r="G950" s="6">
        <v>18.600000000000001</v>
      </c>
      <c r="H950" s="6">
        <v>0</v>
      </c>
      <c r="I950" s="7" t="s">
        <v>4315</v>
      </c>
      <c r="J950" s="3" t="s">
        <v>4317</v>
      </c>
      <c r="K950" s="8" t="s">
        <v>4428</v>
      </c>
      <c r="L950" s="9" t="s">
        <v>1920</v>
      </c>
      <c r="M950" s="1" t="s">
        <v>1921</v>
      </c>
    </row>
    <row r="951" spans="1:14" x14ac:dyDescent="0.3">
      <c r="A951" s="3">
        <v>2721021</v>
      </c>
      <c r="B951" s="4" t="s">
        <v>1898</v>
      </c>
      <c r="C951" s="5">
        <v>1377002</v>
      </c>
      <c r="D951" s="5" t="s">
        <v>267</v>
      </c>
      <c r="E951" s="3" t="s">
        <v>1917</v>
      </c>
      <c r="F951" s="6">
        <v>102</v>
      </c>
      <c r="G951" s="6">
        <v>18.600000000000001</v>
      </c>
      <c r="H951" s="6">
        <v>0</v>
      </c>
      <c r="I951" s="7" t="s">
        <v>4315</v>
      </c>
      <c r="J951" s="3" t="s">
        <v>4317</v>
      </c>
      <c r="K951" s="8" t="s">
        <v>4654</v>
      </c>
      <c r="L951" s="9" t="s">
        <v>1922</v>
      </c>
      <c r="M951" s="1" t="s">
        <v>1923</v>
      </c>
    </row>
    <row r="952" spans="1:14" x14ac:dyDescent="0.3">
      <c r="A952" s="3">
        <v>2719022</v>
      </c>
      <c r="B952" s="4" t="s">
        <v>1898</v>
      </c>
      <c r="C952" s="5">
        <v>1377002</v>
      </c>
      <c r="D952" s="5" t="s">
        <v>74</v>
      </c>
      <c r="E952" s="3" t="s">
        <v>1917</v>
      </c>
      <c r="F952" s="6">
        <v>100</v>
      </c>
      <c r="G952" s="6">
        <v>55.5</v>
      </c>
      <c r="H952" s="6">
        <v>0</v>
      </c>
      <c r="I952" s="7" t="s">
        <v>4315</v>
      </c>
      <c r="J952" s="3" t="s">
        <v>4317</v>
      </c>
      <c r="K952" s="8" t="s">
        <v>4628</v>
      </c>
      <c r="L952" s="9" t="s">
        <v>1924</v>
      </c>
      <c r="M952" s="1" t="s">
        <v>1925</v>
      </c>
    </row>
    <row r="953" spans="1:14" x14ac:dyDescent="0.3">
      <c r="A953" s="3">
        <v>2710023</v>
      </c>
      <c r="B953" s="4" t="s">
        <v>1898</v>
      </c>
      <c r="C953" s="5" t="s">
        <v>1926</v>
      </c>
      <c r="D953" s="5" t="s">
        <v>96</v>
      </c>
      <c r="E953" s="3" t="s">
        <v>1927</v>
      </c>
      <c r="F953" s="6">
        <v>93.3</v>
      </c>
      <c r="G953" s="6">
        <v>61.3</v>
      </c>
      <c r="H953" s="6">
        <v>26.7</v>
      </c>
      <c r="I953" s="7" t="s">
        <v>4315</v>
      </c>
      <c r="J953" s="3" t="s">
        <v>4317</v>
      </c>
      <c r="K953" s="8" t="s">
        <v>4655</v>
      </c>
      <c r="L953" s="9" t="s">
        <v>1928</v>
      </c>
      <c r="M953" s="1" t="s">
        <v>1929</v>
      </c>
    </row>
    <row r="954" spans="1:14" x14ac:dyDescent="0.3">
      <c r="A954" s="3">
        <v>2720024</v>
      </c>
      <c r="B954" s="4" t="s">
        <v>1898</v>
      </c>
      <c r="C954" s="5" t="s">
        <v>1926</v>
      </c>
      <c r="D954" s="5" t="s">
        <v>264</v>
      </c>
      <c r="E954" s="3" t="s">
        <v>1927</v>
      </c>
      <c r="F954" s="6">
        <v>92</v>
      </c>
      <c r="G954" s="6">
        <v>24.5</v>
      </c>
      <c r="H954" s="6">
        <v>0</v>
      </c>
      <c r="I954" s="7" t="s">
        <v>4315</v>
      </c>
      <c r="J954" s="3" t="s">
        <v>4317</v>
      </c>
      <c r="K954" s="8" t="s">
        <v>4524</v>
      </c>
      <c r="L954" s="9" t="s">
        <v>1930</v>
      </c>
      <c r="M954" s="1" t="s">
        <v>1931</v>
      </c>
    </row>
    <row r="955" spans="1:14" x14ac:dyDescent="0.3">
      <c r="A955" s="3">
        <v>2721025</v>
      </c>
      <c r="B955" s="4" t="s">
        <v>1898</v>
      </c>
      <c r="C955" s="5" t="s">
        <v>1926</v>
      </c>
      <c r="D955" s="5" t="s">
        <v>267</v>
      </c>
      <c r="E955" s="3" t="s">
        <v>1927</v>
      </c>
      <c r="F955" s="6">
        <v>60</v>
      </c>
      <c r="G955" s="6">
        <v>24.5</v>
      </c>
      <c r="H955" s="6">
        <v>0</v>
      </c>
      <c r="I955" s="7" t="s">
        <v>4315</v>
      </c>
      <c r="J955" s="3" t="s">
        <v>4317</v>
      </c>
      <c r="K955" s="8" t="s">
        <v>4465</v>
      </c>
      <c r="L955" s="9" t="s">
        <v>1932</v>
      </c>
      <c r="M955" s="1" t="s">
        <v>1933</v>
      </c>
    </row>
    <row r="956" spans="1:14" x14ac:dyDescent="0.3">
      <c r="A956" s="3">
        <v>2710026</v>
      </c>
      <c r="B956" s="4" t="s">
        <v>1898</v>
      </c>
      <c r="C956" s="5" t="s">
        <v>1934</v>
      </c>
      <c r="D956" s="5" t="s">
        <v>96</v>
      </c>
      <c r="E956" s="3" t="s">
        <v>1934</v>
      </c>
      <c r="F956" s="6">
        <v>103.8</v>
      </c>
      <c r="G956" s="6">
        <v>39.299999999999997</v>
      </c>
      <c r="H956" s="6">
        <v>26.7</v>
      </c>
      <c r="I956" s="7" t="s">
        <v>4315</v>
      </c>
      <c r="J956" s="3" t="s">
        <v>4317</v>
      </c>
      <c r="K956" s="8" t="s">
        <v>4352</v>
      </c>
      <c r="L956" s="9" t="s">
        <v>1935</v>
      </c>
      <c r="M956" s="1" t="s">
        <v>1936</v>
      </c>
    </row>
    <row r="957" spans="1:14" x14ac:dyDescent="0.3">
      <c r="A957" s="3">
        <v>2720027</v>
      </c>
      <c r="B957" s="4" t="s">
        <v>1898</v>
      </c>
      <c r="C957" s="5" t="s">
        <v>1934</v>
      </c>
      <c r="D957" s="5" t="s">
        <v>264</v>
      </c>
      <c r="E957" s="3" t="s">
        <v>1934</v>
      </c>
      <c r="F957" s="6">
        <v>102</v>
      </c>
      <c r="G957" s="6">
        <v>12</v>
      </c>
      <c r="H957" s="6">
        <v>0</v>
      </c>
      <c r="I957" s="7" t="s">
        <v>4315</v>
      </c>
      <c r="J957" s="3" t="s">
        <v>4317</v>
      </c>
      <c r="K957" s="8" t="s">
        <v>4462</v>
      </c>
      <c r="L957" s="9" t="s">
        <v>1937</v>
      </c>
      <c r="M957" s="1" t="s">
        <v>1938</v>
      </c>
    </row>
    <row r="958" spans="1:14" x14ac:dyDescent="0.3">
      <c r="A958" s="3">
        <v>2721028</v>
      </c>
      <c r="B958" s="4" t="s">
        <v>1898</v>
      </c>
      <c r="C958" s="5" t="s">
        <v>1934</v>
      </c>
      <c r="D958" s="5" t="s">
        <v>267</v>
      </c>
      <c r="E958" s="3" t="s">
        <v>1934</v>
      </c>
      <c r="F958" s="6">
        <v>38</v>
      </c>
      <c r="G958" s="6">
        <v>12</v>
      </c>
      <c r="H958" s="6">
        <v>0</v>
      </c>
      <c r="I958" s="7" t="s">
        <v>4315</v>
      </c>
      <c r="J958" s="3" t="s">
        <v>4317</v>
      </c>
      <c r="K958" s="8" t="s">
        <v>4426</v>
      </c>
      <c r="L958" s="9" t="s">
        <v>1939</v>
      </c>
      <c r="M958" s="1" t="s">
        <v>1940</v>
      </c>
    </row>
    <row r="959" spans="1:14" x14ac:dyDescent="0.3">
      <c r="A959" s="3">
        <v>2719029</v>
      </c>
      <c r="B959" s="4" t="s">
        <v>1898</v>
      </c>
      <c r="C959" s="5" t="s">
        <v>1934</v>
      </c>
      <c r="D959" s="5" t="s">
        <v>74</v>
      </c>
      <c r="E959" s="3" t="s">
        <v>1934</v>
      </c>
      <c r="F959" s="6">
        <v>102.5</v>
      </c>
      <c r="G959" s="6">
        <v>38</v>
      </c>
      <c r="H959" s="6">
        <v>0</v>
      </c>
      <c r="I959" s="7" t="s">
        <v>4315</v>
      </c>
      <c r="J959" s="3" t="s">
        <v>4317</v>
      </c>
      <c r="K959" s="8" t="s">
        <v>4601</v>
      </c>
      <c r="L959" s="9" t="s">
        <v>1941</v>
      </c>
      <c r="M959" s="1" t="s">
        <v>1942</v>
      </c>
    </row>
    <row r="960" spans="1:14" x14ac:dyDescent="0.3">
      <c r="A960" s="3">
        <v>2713032</v>
      </c>
      <c r="B960" s="4" t="s">
        <v>1898</v>
      </c>
      <c r="C960" s="5">
        <v>7789</v>
      </c>
      <c r="D960" s="5" t="s">
        <v>96</v>
      </c>
      <c r="E960" s="3" t="s">
        <v>5044</v>
      </c>
      <c r="F960" s="6">
        <v>100.5</v>
      </c>
      <c r="G960" s="6">
        <v>39.5</v>
      </c>
      <c r="H960" s="6">
        <v>12</v>
      </c>
      <c r="I960" s="7">
        <v>32</v>
      </c>
      <c r="J960" s="3" t="s">
        <v>4317</v>
      </c>
      <c r="K960" s="8">
        <v>1.5</v>
      </c>
      <c r="L960" s="9" t="s">
        <v>1943</v>
      </c>
      <c r="M960" s="24" t="s">
        <v>5552</v>
      </c>
      <c r="N960" t="s">
        <v>5548</v>
      </c>
    </row>
    <row r="961" spans="1:14" x14ac:dyDescent="0.3">
      <c r="A961" s="3">
        <v>2711033</v>
      </c>
      <c r="B961" s="4" t="s">
        <v>1898</v>
      </c>
      <c r="C961" s="5">
        <v>1352020</v>
      </c>
      <c r="D961" s="5" t="s">
        <v>5046</v>
      </c>
      <c r="E961" s="3" t="s">
        <v>5047</v>
      </c>
      <c r="F961" s="6">
        <v>78.8</v>
      </c>
      <c r="G961" s="6">
        <v>35.799999999999997</v>
      </c>
      <c r="H961" s="6">
        <v>24.6</v>
      </c>
      <c r="I961" s="7">
        <v>32</v>
      </c>
      <c r="J961" s="3" t="s">
        <v>4317</v>
      </c>
      <c r="K961" s="8">
        <v>1</v>
      </c>
      <c r="L961" s="9" t="s">
        <v>1944</v>
      </c>
      <c r="M961" s="24" t="s">
        <v>6707</v>
      </c>
    </row>
    <row r="962" spans="1:14" x14ac:dyDescent="0.3">
      <c r="A962" s="3">
        <v>2707035</v>
      </c>
      <c r="B962" s="4" t="s">
        <v>1898</v>
      </c>
      <c r="C962" s="5">
        <v>1020089</v>
      </c>
      <c r="D962" s="5" t="s">
        <v>154</v>
      </c>
      <c r="E962" s="3" t="s">
        <v>5306</v>
      </c>
      <c r="F962" s="6">
        <v>85</v>
      </c>
      <c r="G962" s="6">
        <v>60.5</v>
      </c>
      <c r="H962" s="6">
        <v>32.5</v>
      </c>
      <c r="I962" s="7">
        <v>32</v>
      </c>
      <c r="J962" s="3" t="s">
        <v>4317</v>
      </c>
      <c r="K962" s="8">
        <v>1.8</v>
      </c>
      <c r="L962" s="9" t="s">
        <v>1945</v>
      </c>
      <c r="M962" s="24" t="s">
        <v>5553</v>
      </c>
      <c r="N962" t="s">
        <v>5548</v>
      </c>
    </row>
    <row r="963" spans="1:14" x14ac:dyDescent="0.3">
      <c r="A963" s="3">
        <v>2719036</v>
      </c>
      <c r="B963" s="4" t="s">
        <v>1898</v>
      </c>
      <c r="C963" s="5">
        <v>1377003</v>
      </c>
      <c r="D963" s="5" t="s">
        <v>74</v>
      </c>
      <c r="E963" s="3" t="s">
        <v>1946</v>
      </c>
      <c r="F963" s="6">
        <v>102</v>
      </c>
      <c r="G963" s="6">
        <v>38</v>
      </c>
      <c r="H963" s="6">
        <v>0</v>
      </c>
      <c r="I963" s="7" t="s">
        <v>4315</v>
      </c>
      <c r="J963" s="3" t="s">
        <v>4317</v>
      </c>
      <c r="K963" s="8" t="s">
        <v>4601</v>
      </c>
      <c r="L963" s="9" t="s">
        <v>1947</v>
      </c>
      <c r="M963" s="1" t="s">
        <v>1948</v>
      </c>
    </row>
    <row r="964" spans="1:14" x14ac:dyDescent="0.3">
      <c r="A964" s="3">
        <v>2711037</v>
      </c>
      <c r="B964" s="4" t="s">
        <v>1898</v>
      </c>
      <c r="C964" s="5">
        <v>102069</v>
      </c>
      <c r="D964" s="5" t="s">
        <v>154</v>
      </c>
      <c r="E964" s="3" t="s">
        <v>1949</v>
      </c>
      <c r="F964" s="6">
        <v>85</v>
      </c>
      <c r="G964" s="6">
        <v>60</v>
      </c>
      <c r="H964" s="6">
        <v>31</v>
      </c>
      <c r="I964" s="7" t="s">
        <v>4315</v>
      </c>
      <c r="J964" s="3" t="s">
        <v>4317</v>
      </c>
      <c r="K964" s="8" t="s">
        <v>4656</v>
      </c>
      <c r="L964" s="9" t="s">
        <v>1950</v>
      </c>
      <c r="M964" s="1" t="s">
        <v>1951</v>
      </c>
    </row>
    <row r="965" spans="1:14" x14ac:dyDescent="0.3">
      <c r="A965" s="3">
        <v>2710038</v>
      </c>
      <c r="B965" s="4" t="s">
        <v>1898</v>
      </c>
      <c r="C965" s="5">
        <v>13070038</v>
      </c>
      <c r="D965" s="5" t="s">
        <v>96</v>
      </c>
      <c r="E965" s="3" t="s">
        <v>1952</v>
      </c>
      <c r="F965" s="6">
        <v>60.9</v>
      </c>
      <c r="G965" s="6">
        <v>51.2</v>
      </c>
      <c r="H965" s="6">
        <v>51.6</v>
      </c>
      <c r="I965" s="7" t="s">
        <v>4315</v>
      </c>
      <c r="J965" s="3" t="s">
        <v>4317</v>
      </c>
      <c r="K965" s="8" t="s">
        <v>4657</v>
      </c>
      <c r="L965" s="9" t="s">
        <v>1953</v>
      </c>
      <c r="M965" s="1" t="s">
        <v>1954</v>
      </c>
    </row>
    <row r="966" spans="1:14" x14ac:dyDescent="0.3">
      <c r="A966" s="3">
        <v>2720039</v>
      </c>
      <c r="B966" s="4" t="s">
        <v>1898</v>
      </c>
      <c r="C966" s="5">
        <v>1307033</v>
      </c>
      <c r="D966" s="5" t="s">
        <v>264</v>
      </c>
      <c r="E966" s="3" t="s">
        <v>1952</v>
      </c>
      <c r="F966" s="6">
        <v>60</v>
      </c>
      <c r="G966" s="6">
        <v>50.5</v>
      </c>
      <c r="H966" s="6">
        <v>0</v>
      </c>
      <c r="I966" s="7" t="s">
        <v>4315</v>
      </c>
      <c r="J966" s="3" t="s">
        <v>4317</v>
      </c>
      <c r="K966" s="8" t="s">
        <v>4438</v>
      </c>
      <c r="L966" s="9" t="s">
        <v>1955</v>
      </c>
      <c r="M966" s="1" t="s">
        <v>1956</v>
      </c>
    </row>
    <row r="967" spans="1:14" x14ac:dyDescent="0.3">
      <c r="A967" s="3">
        <v>2721040</v>
      </c>
      <c r="B967" s="4" t="s">
        <v>1898</v>
      </c>
      <c r="C967" s="5">
        <v>1307033</v>
      </c>
      <c r="D967" s="5" t="s">
        <v>267</v>
      </c>
      <c r="E967" s="3" t="s">
        <v>1952</v>
      </c>
      <c r="F967" s="6">
        <v>50.5</v>
      </c>
      <c r="G967" s="6">
        <v>50.5</v>
      </c>
      <c r="H967" s="6">
        <v>0</v>
      </c>
      <c r="I967" s="7" t="s">
        <v>4315</v>
      </c>
      <c r="J967" s="3" t="s">
        <v>4317</v>
      </c>
      <c r="K967" s="8" t="s">
        <v>4623</v>
      </c>
      <c r="L967" s="9" t="s">
        <v>1957</v>
      </c>
      <c r="M967" s="1" t="s">
        <v>1958</v>
      </c>
    </row>
    <row r="968" spans="1:14" x14ac:dyDescent="0.3">
      <c r="A968" s="3">
        <v>2710041</v>
      </c>
      <c r="B968" s="4" t="s">
        <v>1898</v>
      </c>
      <c r="C968" s="5">
        <v>1307015</v>
      </c>
      <c r="D968" s="5" t="s">
        <v>96</v>
      </c>
      <c r="E968" s="3" t="s">
        <v>1959</v>
      </c>
      <c r="F968" s="6">
        <v>60.9</v>
      </c>
      <c r="G968" s="6">
        <v>60.9</v>
      </c>
      <c r="H968" s="6">
        <v>30.8</v>
      </c>
      <c r="I968" s="7" t="s">
        <v>4315</v>
      </c>
      <c r="J968" s="3" t="s">
        <v>4317</v>
      </c>
      <c r="K968" s="8" t="s">
        <v>4658</v>
      </c>
      <c r="L968" s="9" t="s">
        <v>1960</v>
      </c>
      <c r="M968" s="1" t="s">
        <v>1961</v>
      </c>
    </row>
    <row r="969" spans="1:14" x14ac:dyDescent="0.3">
      <c r="A969" s="3">
        <v>2720042</v>
      </c>
      <c r="B969" s="4" t="s">
        <v>1898</v>
      </c>
      <c r="C969" s="5">
        <v>1307016</v>
      </c>
      <c r="D969" s="5" t="s">
        <v>264</v>
      </c>
      <c r="E969" s="3" t="s">
        <v>1959</v>
      </c>
      <c r="F969" s="6">
        <v>60</v>
      </c>
      <c r="G969" s="6">
        <v>29.5</v>
      </c>
      <c r="H969" s="6">
        <v>0</v>
      </c>
      <c r="I969" s="7" t="s">
        <v>4315</v>
      </c>
      <c r="J969" s="3" t="s">
        <v>4317</v>
      </c>
      <c r="K969" s="8" t="s">
        <v>4659</v>
      </c>
      <c r="L969" s="9" t="s">
        <v>1962</v>
      </c>
      <c r="M969" s="1" t="s">
        <v>1963</v>
      </c>
    </row>
    <row r="970" spans="1:14" x14ac:dyDescent="0.3">
      <c r="A970" s="3">
        <v>2720043</v>
      </c>
      <c r="B970" s="4" t="s">
        <v>1898</v>
      </c>
      <c r="C970" s="5">
        <v>7750</v>
      </c>
      <c r="D970" s="5" t="s">
        <v>96</v>
      </c>
      <c r="E970" s="3" t="s">
        <v>14</v>
      </c>
      <c r="F970" s="6">
        <v>82</v>
      </c>
      <c r="G970" s="6">
        <v>41</v>
      </c>
      <c r="H970" s="6">
        <v>26.1</v>
      </c>
      <c r="I970" s="7" t="s">
        <v>4316</v>
      </c>
      <c r="J970" s="3" t="s">
        <v>4318</v>
      </c>
      <c r="K970" s="8" t="s">
        <v>4565</v>
      </c>
      <c r="L970" s="9" t="s">
        <v>1964</v>
      </c>
      <c r="M970" s="1" t="s">
        <v>6328</v>
      </c>
    </row>
    <row r="971" spans="1:14" x14ac:dyDescent="0.3">
      <c r="A971" s="3">
        <v>2720044</v>
      </c>
      <c r="B971" s="4" t="s">
        <v>1898</v>
      </c>
      <c r="C971" s="5">
        <v>1189004</v>
      </c>
      <c r="D971" s="5" t="s">
        <v>96</v>
      </c>
      <c r="E971" s="3" t="s">
        <v>5307</v>
      </c>
      <c r="F971" s="6">
        <v>61</v>
      </c>
      <c r="G971" s="6">
        <v>61</v>
      </c>
      <c r="H971" s="6">
        <v>52</v>
      </c>
      <c r="I971" s="7">
        <v>32</v>
      </c>
      <c r="J971" s="3" t="s">
        <v>4317</v>
      </c>
      <c r="K971" s="8">
        <v>2.83</v>
      </c>
      <c r="L971" s="9" t="s">
        <v>1965</v>
      </c>
      <c r="M971" s="24" t="s">
        <v>5570</v>
      </c>
      <c r="N971" t="s">
        <v>5551</v>
      </c>
    </row>
    <row r="972" spans="1:14" x14ac:dyDescent="0.3">
      <c r="A972" s="3">
        <v>2710047</v>
      </c>
      <c r="B972" s="4" t="s">
        <v>1898</v>
      </c>
      <c r="C972" s="5">
        <v>1049030</v>
      </c>
      <c r="D972" s="5" t="s">
        <v>96</v>
      </c>
      <c r="E972" s="3" t="s">
        <v>1966</v>
      </c>
      <c r="F972" s="6">
        <v>60.9</v>
      </c>
      <c r="G972" s="6">
        <v>40.6</v>
      </c>
      <c r="H972" s="6">
        <v>41.3</v>
      </c>
      <c r="I972" s="7" t="s">
        <v>4315</v>
      </c>
      <c r="J972" s="3" t="s">
        <v>4317</v>
      </c>
      <c r="K972" s="8" t="s">
        <v>4660</v>
      </c>
      <c r="L972" s="9" t="s">
        <v>1967</v>
      </c>
      <c r="M972" s="1" t="s">
        <v>1968</v>
      </c>
    </row>
    <row r="973" spans="1:14" x14ac:dyDescent="0.3">
      <c r="A973" s="3">
        <v>2720048</v>
      </c>
      <c r="B973" s="4" t="s">
        <v>1898</v>
      </c>
      <c r="C973" s="5">
        <v>104031</v>
      </c>
      <c r="D973" s="5" t="s">
        <v>264</v>
      </c>
      <c r="E973" s="3" t="s">
        <v>1969</v>
      </c>
      <c r="F973" s="6">
        <v>60</v>
      </c>
      <c r="G973" s="6">
        <v>40</v>
      </c>
      <c r="H973" s="6">
        <v>0</v>
      </c>
      <c r="I973" s="7" t="s">
        <v>4315</v>
      </c>
      <c r="J973" s="3" t="s">
        <v>4317</v>
      </c>
      <c r="K973" s="8" t="s">
        <v>4351</v>
      </c>
      <c r="L973" s="9" t="s">
        <v>1970</v>
      </c>
      <c r="M973" s="1" t="s">
        <v>1971</v>
      </c>
    </row>
    <row r="974" spans="1:14" x14ac:dyDescent="0.3">
      <c r="A974" s="3">
        <v>2721049</v>
      </c>
      <c r="B974" s="4" t="s">
        <v>1898</v>
      </c>
      <c r="C974" s="5">
        <v>104031</v>
      </c>
      <c r="D974" s="5" t="s">
        <v>267</v>
      </c>
      <c r="E974" s="3" t="s">
        <v>1969</v>
      </c>
      <c r="F974" s="6">
        <v>39.700000000000003</v>
      </c>
      <c r="G974" s="6">
        <v>40</v>
      </c>
      <c r="H974" s="6">
        <v>0</v>
      </c>
      <c r="I974" s="7" t="s">
        <v>4315</v>
      </c>
      <c r="J974" s="3" t="s">
        <v>4317</v>
      </c>
      <c r="K974" s="8" t="s">
        <v>4444</v>
      </c>
      <c r="L974" s="9" t="s">
        <v>1972</v>
      </c>
      <c r="M974" s="1" t="s">
        <v>1973</v>
      </c>
    </row>
    <row r="975" spans="1:14" x14ac:dyDescent="0.3">
      <c r="A975" s="3">
        <v>2710050</v>
      </c>
      <c r="B975" s="4" t="s">
        <v>1898</v>
      </c>
      <c r="C975" s="5">
        <v>1328502</v>
      </c>
      <c r="D975" s="5" t="s">
        <v>96</v>
      </c>
      <c r="E975" s="3" t="s">
        <v>14</v>
      </c>
      <c r="F975" s="6">
        <v>81.7</v>
      </c>
      <c r="G975" s="6">
        <v>60.7</v>
      </c>
      <c r="H975" s="6">
        <v>38.9</v>
      </c>
      <c r="I975" s="7" t="s">
        <v>4316</v>
      </c>
      <c r="J975" s="3" t="s">
        <v>4318</v>
      </c>
      <c r="K975" s="8" t="s">
        <v>4661</v>
      </c>
      <c r="L975" s="9" t="s">
        <v>1974</v>
      </c>
      <c r="M975" s="1" t="s">
        <v>1975</v>
      </c>
    </row>
    <row r="976" spans="1:14" x14ac:dyDescent="0.3">
      <c r="A976" s="3">
        <v>2710051</v>
      </c>
      <c r="B976" s="4" t="s">
        <v>1898</v>
      </c>
      <c r="C976" s="5">
        <v>1325008</v>
      </c>
      <c r="D976" s="5" t="s">
        <v>96</v>
      </c>
      <c r="E976" s="3" t="s">
        <v>14</v>
      </c>
      <c r="F976" s="6">
        <v>81.7</v>
      </c>
      <c r="G976" s="6">
        <v>40.700000000000003</v>
      </c>
      <c r="H976" s="6">
        <v>21.4</v>
      </c>
      <c r="I976" s="7" t="s">
        <v>4316</v>
      </c>
      <c r="J976" s="3" t="s">
        <v>4318</v>
      </c>
      <c r="K976" s="8" t="s">
        <v>4547</v>
      </c>
      <c r="L976" s="9" t="s">
        <v>1976</v>
      </c>
      <c r="M976" s="1" t="s">
        <v>1977</v>
      </c>
    </row>
    <row r="977" spans="1:13" x14ac:dyDescent="0.3">
      <c r="A977" s="3">
        <v>2710052</v>
      </c>
      <c r="B977" s="4" t="s">
        <v>1898</v>
      </c>
      <c r="C977" s="5">
        <v>1069013</v>
      </c>
      <c r="D977" s="5" t="s">
        <v>96</v>
      </c>
      <c r="E977" s="3" t="s">
        <v>1978</v>
      </c>
      <c r="F977" s="6">
        <v>60.9</v>
      </c>
      <c r="G977" s="6">
        <v>56.9</v>
      </c>
      <c r="H977" s="6">
        <v>38.6</v>
      </c>
      <c r="I977" s="7" t="s">
        <v>4315</v>
      </c>
      <c r="J977" s="3" t="s">
        <v>4317</v>
      </c>
      <c r="K977" s="8" t="s">
        <v>4662</v>
      </c>
      <c r="L977" s="9" t="s">
        <v>1979</v>
      </c>
      <c r="M977" s="1" t="s">
        <v>1980</v>
      </c>
    </row>
    <row r="978" spans="1:13" x14ac:dyDescent="0.3">
      <c r="A978" s="3">
        <v>2720053</v>
      </c>
      <c r="B978" s="4" t="s">
        <v>1898</v>
      </c>
      <c r="C978" s="5">
        <v>1068014</v>
      </c>
      <c r="D978" s="5" t="s">
        <v>264</v>
      </c>
      <c r="E978" s="3" t="s">
        <v>1978</v>
      </c>
      <c r="F978" s="6">
        <v>60</v>
      </c>
      <c r="G978" s="6">
        <v>18.5</v>
      </c>
      <c r="H978" s="6">
        <v>0</v>
      </c>
      <c r="I978" s="7" t="s">
        <v>4315</v>
      </c>
      <c r="J978" s="3" t="s">
        <v>4317</v>
      </c>
      <c r="K978" s="8" t="s">
        <v>4500</v>
      </c>
      <c r="L978" s="9" t="s">
        <v>1981</v>
      </c>
      <c r="M978" s="1" t="s">
        <v>1982</v>
      </c>
    </row>
    <row r="979" spans="1:13" x14ac:dyDescent="0.3">
      <c r="A979" s="3">
        <v>27210547</v>
      </c>
      <c r="B979" s="4" t="s">
        <v>1898</v>
      </c>
      <c r="C979" s="5">
        <v>1068014</v>
      </c>
      <c r="D979" s="5" t="s">
        <v>267</v>
      </c>
      <c r="E979" s="3" t="s">
        <v>1978</v>
      </c>
      <c r="F979" s="6">
        <v>56</v>
      </c>
      <c r="G979" s="6">
        <v>18.5</v>
      </c>
      <c r="H979" s="6">
        <v>0</v>
      </c>
      <c r="I979" s="7" t="s">
        <v>4315</v>
      </c>
      <c r="J979" s="3" t="s">
        <v>4317</v>
      </c>
      <c r="K979" s="8" t="s">
        <v>4578</v>
      </c>
      <c r="L979" s="9" t="s">
        <v>1983</v>
      </c>
      <c r="M979" s="1" t="s">
        <v>1984</v>
      </c>
    </row>
    <row r="980" spans="1:13" x14ac:dyDescent="0.3">
      <c r="A980" s="3">
        <v>27219055</v>
      </c>
      <c r="B980" s="4" t="s">
        <v>1898</v>
      </c>
      <c r="C980" s="5">
        <v>1069014</v>
      </c>
      <c r="D980" s="5" t="s">
        <v>74</v>
      </c>
      <c r="E980" s="3" t="s">
        <v>1978</v>
      </c>
      <c r="F980" s="6">
        <v>60</v>
      </c>
      <c r="G980" s="6">
        <v>56</v>
      </c>
      <c r="H980" s="6">
        <v>0</v>
      </c>
      <c r="I980" s="7" t="s">
        <v>4315</v>
      </c>
      <c r="J980" s="3" t="s">
        <v>4317</v>
      </c>
      <c r="K980" s="8" t="s">
        <v>4450</v>
      </c>
      <c r="L980" s="9" t="s">
        <v>1985</v>
      </c>
      <c r="M980" s="1" t="s">
        <v>1986</v>
      </c>
    </row>
    <row r="981" spans="1:13" x14ac:dyDescent="0.3">
      <c r="A981" s="3">
        <v>2710056</v>
      </c>
      <c r="B981" s="4" t="s">
        <v>1898</v>
      </c>
      <c r="C981" s="5">
        <v>1068016</v>
      </c>
      <c r="D981" s="5" t="s">
        <v>96</v>
      </c>
      <c r="E981" s="3" t="s">
        <v>1987</v>
      </c>
      <c r="F981" s="6">
        <v>60.9</v>
      </c>
      <c r="G981" s="6">
        <v>56.9</v>
      </c>
      <c r="H981" s="6">
        <v>102</v>
      </c>
      <c r="I981" s="7" t="s">
        <v>4315</v>
      </c>
      <c r="J981" s="3" t="s">
        <v>4317</v>
      </c>
      <c r="K981" s="8" t="s">
        <v>4663</v>
      </c>
      <c r="L981" s="9" t="s">
        <v>1988</v>
      </c>
      <c r="M981" s="1" t="s">
        <v>1989</v>
      </c>
    </row>
    <row r="982" spans="1:13" x14ac:dyDescent="0.3">
      <c r="A982" s="3">
        <v>2720057</v>
      </c>
      <c r="B982" s="4" t="s">
        <v>1898</v>
      </c>
      <c r="C982" s="5">
        <v>1068017</v>
      </c>
      <c r="D982" s="5" t="s">
        <v>264</v>
      </c>
      <c r="E982" s="3" t="s">
        <v>1990</v>
      </c>
      <c r="F982" s="6">
        <v>60</v>
      </c>
      <c r="G982" s="6">
        <v>100.5</v>
      </c>
      <c r="H982" s="6">
        <v>0</v>
      </c>
      <c r="I982" s="7" t="s">
        <v>4315</v>
      </c>
      <c r="J982" s="3" t="s">
        <v>4317</v>
      </c>
      <c r="K982" s="8" t="s">
        <v>4664</v>
      </c>
      <c r="L982" s="9" t="s">
        <v>1991</v>
      </c>
      <c r="M982" s="1" t="s">
        <v>1992</v>
      </c>
    </row>
    <row r="983" spans="1:13" x14ac:dyDescent="0.3">
      <c r="A983" s="3">
        <v>2721058</v>
      </c>
      <c r="B983" s="4" t="s">
        <v>1898</v>
      </c>
      <c r="C983" s="5">
        <v>1068017</v>
      </c>
      <c r="D983" s="5" t="s">
        <v>267</v>
      </c>
      <c r="E983" s="3" t="s">
        <v>1990</v>
      </c>
      <c r="F983" s="6">
        <v>56</v>
      </c>
      <c r="G983" s="6">
        <v>100.5</v>
      </c>
      <c r="H983" s="6">
        <v>0</v>
      </c>
      <c r="I983" s="7" t="s">
        <v>4315</v>
      </c>
      <c r="J983" s="3" t="s">
        <v>4317</v>
      </c>
      <c r="K983" s="8" t="s">
        <v>4569</v>
      </c>
      <c r="L983" s="9" t="s">
        <v>1993</v>
      </c>
      <c r="M983" s="1" t="s">
        <v>1994</v>
      </c>
    </row>
    <row r="984" spans="1:13" x14ac:dyDescent="0.3">
      <c r="A984" s="3">
        <v>2710059</v>
      </c>
      <c r="B984" s="4" t="s">
        <v>1898</v>
      </c>
      <c r="C984" s="5">
        <v>1065016</v>
      </c>
      <c r="D984" s="5" t="s">
        <v>96</v>
      </c>
      <c r="E984" s="3" t="s">
        <v>1995</v>
      </c>
      <c r="F984" s="6">
        <v>56</v>
      </c>
      <c r="G984" s="6">
        <v>55.9</v>
      </c>
      <c r="H984" s="6">
        <v>57.5</v>
      </c>
      <c r="I984" s="7" t="s">
        <v>4315</v>
      </c>
      <c r="J984" s="3" t="s">
        <v>4317</v>
      </c>
      <c r="K984" s="8" t="s">
        <v>4665</v>
      </c>
      <c r="L984" s="9" t="s">
        <v>1996</v>
      </c>
      <c r="M984" s="1" t="s">
        <v>1997</v>
      </c>
    </row>
    <row r="985" spans="1:13" x14ac:dyDescent="0.3">
      <c r="A985" s="3">
        <v>2720060</v>
      </c>
      <c r="B985" s="4" t="s">
        <v>1898</v>
      </c>
      <c r="C985" s="5">
        <v>1065017</v>
      </c>
      <c r="D985" s="5" t="s">
        <v>264</v>
      </c>
      <c r="E985" s="3" t="s">
        <v>1995</v>
      </c>
      <c r="F985" s="6">
        <v>65</v>
      </c>
      <c r="G985" s="6">
        <v>56</v>
      </c>
      <c r="H985" s="6">
        <v>0</v>
      </c>
      <c r="I985" s="7" t="s">
        <v>4315</v>
      </c>
      <c r="J985" s="3" t="s">
        <v>4317</v>
      </c>
      <c r="K985" s="8" t="s">
        <v>4484</v>
      </c>
      <c r="L985" s="9" t="s">
        <v>1998</v>
      </c>
      <c r="M985" s="1" t="s">
        <v>1999</v>
      </c>
    </row>
    <row r="986" spans="1:13" x14ac:dyDescent="0.3">
      <c r="A986" s="3">
        <v>2721061</v>
      </c>
      <c r="B986" s="4" t="s">
        <v>1898</v>
      </c>
      <c r="C986" s="5">
        <v>1065017</v>
      </c>
      <c r="D986" s="5" t="s">
        <v>267</v>
      </c>
      <c r="E986" s="3" t="s">
        <v>1995</v>
      </c>
      <c r="F986" s="6">
        <v>55</v>
      </c>
      <c r="G986" s="6">
        <v>56</v>
      </c>
      <c r="H986" s="6">
        <v>0</v>
      </c>
      <c r="I986" s="7" t="s">
        <v>4315</v>
      </c>
      <c r="J986" s="3" t="s">
        <v>4317</v>
      </c>
      <c r="K986" s="8" t="s">
        <v>4485</v>
      </c>
      <c r="L986" s="9" t="s">
        <v>2000</v>
      </c>
      <c r="M986" s="1" t="s">
        <v>2001</v>
      </c>
    </row>
    <row r="987" spans="1:13" x14ac:dyDescent="0.3">
      <c r="A987" s="3">
        <v>2710062</v>
      </c>
      <c r="B987" s="4" t="s">
        <v>1898</v>
      </c>
      <c r="C987" s="5">
        <v>1074001</v>
      </c>
      <c r="D987" s="5" t="s">
        <v>96</v>
      </c>
      <c r="E987" s="3" t="s">
        <v>2002</v>
      </c>
      <c r="F987" s="6">
        <v>60.9</v>
      </c>
      <c r="G987" s="6">
        <v>57.1</v>
      </c>
      <c r="H987" s="6">
        <v>24.5</v>
      </c>
      <c r="I987" s="7" t="s">
        <v>4315</v>
      </c>
      <c r="J987" s="3" t="s">
        <v>4317</v>
      </c>
      <c r="K987" s="8" t="s">
        <v>4481</v>
      </c>
      <c r="L987" s="9" t="s">
        <v>2003</v>
      </c>
      <c r="M987" s="1" t="s">
        <v>2004</v>
      </c>
    </row>
    <row r="988" spans="1:13" x14ac:dyDescent="0.3">
      <c r="A988" s="3">
        <v>2720063</v>
      </c>
      <c r="B988" s="4" t="s">
        <v>1898</v>
      </c>
      <c r="C988" s="5">
        <v>1074002</v>
      </c>
      <c r="D988" s="5" t="s">
        <v>264</v>
      </c>
      <c r="E988" s="3" t="s">
        <v>2002</v>
      </c>
      <c r="F988" s="6">
        <v>60</v>
      </c>
      <c r="G988" s="6">
        <v>23.2</v>
      </c>
      <c r="H988" s="6">
        <v>0</v>
      </c>
      <c r="I988" s="7" t="s">
        <v>4315</v>
      </c>
      <c r="J988" s="3" t="s">
        <v>4317</v>
      </c>
      <c r="K988" s="8" t="s">
        <v>4617</v>
      </c>
      <c r="L988" s="9" t="s">
        <v>2005</v>
      </c>
      <c r="M988" s="1" t="s">
        <v>2006</v>
      </c>
    </row>
    <row r="989" spans="1:13" x14ac:dyDescent="0.3">
      <c r="A989" s="3">
        <v>2721064</v>
      </c>
      <c r="B989" s="4" t="s">
        <v>1898</v>
      </c>
      <c r="C989" s="5">
        <v>1074002</v>
      </c>
      <c r="D989" s="5" t="s">
        <v>267</v>
      </c>
      <c r="E989" s="3" t="s">
        <v>2002</v>
      </c>
      <c r="F989" s="6">
        <v>56</v>
      </c>
      <c r="G989" s="6">
        <v>23.2</v>
      </c>
      <c r="H989" s="6">
        <v>0</v>
      </c>
      <c r="I989" s="7" t="s">
        <v>4315</v>
      </c>
      <c r="J989" s="3" t="s">
        <v>4317</v>
      </c>
      <c r="K989" s="8" t="s">
        <v>4476</v>
      </c>
      <c r="L989" s="9" t="s">
        <v>2007</v>
      </c>
      <c r="M989" s="1" t="s">
        <v>2008</v>
      </c>
    </row>
    <row r="990" spans="1:13" x14ac:dyDescent="0.3">
      <c r="A990" s="3">
        <v>2710065</v>
      </c>
      <c r="B990" s="4" t="s">
        <v>1898</v>
      </c>
      <c r="C990" s="5">
        <v>1075005</v>
      </c>
      <c r="D990" s="5" t="s">
        <v>96</v>
      </c>
      <c r="E990" s="3" t="s">
        <v>2009</v>
      </c>
      <c r="F990" s="6">
        <v>60.9</v>
      </c>
      <c r="G990" s="6">
        <v>30.4</v>
      </c>
      <c r="H990" s="6">
        <v>23.3</v>
      </c>
      <c r="I990" s="7" t="s">
        <v>4315</v>
      </c>
      <c r="J990" s="3" t="s">
        <v>4317</v>
      </c>
      <c r="K990" s="8" t="s">
        <v>4476</v>
      </c>
      <c r="L990" s="9" t="s">
        <v>2010</v>
      </c>
      <c r="M990" s="1" t="s">
        <v>2011</v>
      </c>
    </row>
    <row r="991" spans="1:13" x14ac:dyDescent="0.3">
      <c r="A991" s="3">
        <v>2720066</v>
      </c>
      <c r="B991" s="4" t="s">
        <v>1898</v>
      </c>
      <c r="C991" s="5">
        <v>1075006</v>
      </c>
      <c r="D991" s="5" t="s">
        <v>264</v>
      </c>
      <c r="E991" s="3" t="s">
        <v>2009</v>
      </c>
      <c r="F991" s="6">
        <v>60</v>
      </c>
      <c r="G991" s="6">
        <v>10.7</v>
      </c>
      <c r="H991" s="6">
        <v>0</v>
      </c>
      <c r="I991" s="7" t="s">
        <v>4315</v>
      </c>
      <c r="J991" s="3" t="s">
        <v>4317</v>
      </c>
      <c r="K991" s="8" t="s">
        <v>4602</v>
      </c>
      <c r="L991" s="9" t="s">
        <v>2012</v>
      </c>
      <c r="M991" s="1" t="s">
        <v>2013</v>
      </c>
    </row>
    <row r="992" spans="1:13" x14ac:dyDescent="0.3">
      <c r="A992" s="3">
        <v>2721067</v>
      </c>
      <c r="B992" s="4" t="s">
        <v>1898</v>
      </c>
      <c r="C992" s="5">
        <v>1075006</v>
      </c>
      <c r="D992" s="5" t="s">
        <v>267</v>
      </c>
      <c r="E992" s="3" t="s">
        <v>2009</v>
      </c>
      <c r="F992" s="6">
        <v>29.5</v>
      </c>
      <c r="G992" s="6">
        <v>10.7</v>
      </c>
      <c r="H992" s="6">
        <v>0</v>
      </c>
      <c r="I992" s="7" t="s">
        <v>4315</v>
      </c>
      <c r="J992" s="3" t="s">
        <v>4317</v>
      </c>
      <c r="K992" s="8" t="s">
        <v>4599</v>
      </c>
      <c r="L992" s="9" t="s">
        <v>2014</v>
      </c>
      <c r="M992" s="1" t="s">
        <v>2015</v>
      </c>
    </row>
    <row r="993" spans="1:13" x14ac:dyDescent="0.3">
      <c r="A993" s="3">
        <v>2719068</v>
      </c>
      <c r="B993" s="4" t="s">
        <v>1898</v>
      </c>
      <c r="C993" s="5">
        <v>1075007</v>
      </c>
      <c r="D993" s="5" t="s">
        <v>74</v>
      </c>
      <c r="E993" s="3" t="s">
        <v>2009</v>
      </c>
      <c r="F993" s="6">
        <v>50</v>
      </c>
      <c r="G993" s="6">
        <v>29.5</v>
      </c>
      <c r="H993" s="6">
        <v>0</v>
      </c>
      <c r="I993" s="7" t="s">
        <v>4315</v>
      </c>
      <c r="J993" s="3" t="s">
        <v>4317</v>
      </c>
      <c r="K993" s="8" t="s">
        <v>4452</v>
      </c>
      <c r="L993" s="9" t="s">
        <v>2016</v>
      </c>
      <c r="M993" s="1" t="s">
        <v>2017</v>
      </c>
    </row>
    <row r="994" spans="1:13" x14ac:dyDescent="0.3">
      <c r="A994" s="3">
        <v>2710069</v>
      </c>
      <c r="B994" s="4" t="s">
        <v>1898</v>
      </c>
      <c r="C994" s="5">
        <v>1075008</v>
      </c>
      <c r="D994" s="5" t="s">
        <v>96</v>
      </c>
      <c r="E994" s="3" t="s">
        <v>2018</v>
      </c>
      <c r="F994" s="6">
        <v>50.9</v>
      </c>
      <c r="G994" s="6">
        <v>30.4</v>
      </c>
      <c r="H994" s="6">
        <v>19.399999999999999</v>
      </c>
      <c r="I994" s="7" t="s">
        <v>4315</v>
      </c>
      <c r="J994" s="3" t="s">
        <v>4317</v>
      </c>
      <c r="K994" s="8" t="s">
        <v>4409</v>
      </c>
      <c r="L994" s="9" t="s">
        <v>2019</v>
      </c>
      <c r="M994" s="1" t="s">
        <v>5041</v>
      </c>
    </row>
    <row r="995" spans="1:13" x14ac:dyDescent="0.3">
      <c r="A995" s="3">
        <v>2720070</v>
      </c>
      <c r="B995" s="4" t="s">
        <v>1898</v>
      </c>
      <c r="C995" s="5">
        <v>1075009</v>
      </c>
      <c r="D995" s="5" t="s">
        <v>264</v>
      </c>
      <c r="E995" s="3" t="s">
        <v>2020</v>
      </c>
      <c r="F995" s="6">
        <v>50</v>
      </c>
      <c r="G995" s="6">
        <v>18</v>
      </c>
      <c r="H995" s="6">
        <v>0</v>
      </c>
      <c r="I995" s="7" t="s">
        <v>4315</v>
      </c>
      <c r="J995" s="3" t="s">
        <v>4317</v>
      </c>
      <c r="K995" s="8" t="s">
        <v>4434</v>
      </c>
      <c r="L995" s="9" t="s">
        <v>2021</v>
      </c>
      <c r="M995" s="1" t="s">
        <v>2022</v>
      </c>
    </row>
    <row r="996" spans="1:13" x14ac:dyDescent="0.3">
      <c r="A996" s="3">
        <v>2721071</v>
      </c>
      <c r="B996" s="4" t="s">
        <v>1898</v>
      </c>
      <c r="C996" s="5">
        <v>1075009</v>
      </c>
      <c r="D996" s="5" t="s">
        <v>267</v>
      </c>
      <c r="E996" s="3" t="s">
        <v>2020</v>
      </c>
      <c r="F996" s="6">
        <v>29.5</v>
      </c>
      <c r="G996" s="6">
        <v>18</v>
      </c>
      <c r="H996" s="6">
        <v>0</v>
      </c>
      <c r="I996" s="7" t="s">
        <v>4315</v>
      </c>
      <c r="J996" s="3" t="s">
        <v>4317</v>
      </c>
      <c r="K996" s="8" t="s">
        <v>4578</v>
      </c>
      <c r="L996" s="9" t="s">
        <v>2023</v>
      </c>
      <c r="M996" s="1" t="s">
        <v>2024</v>
      </c>
    </row>
    <row r="997" spans="1:13" x14ac:dyDescent="0.3">
      <c r="A997" s="3">
        <v>2710072</v>
      </c>
      <c r="B997" s="4" t="s">
        <v>1898</v>
      </c>
      <c r="C997" s="5">
        <v>1075010</v>
      </c>
      <c r="D997" s="5" t="s">
        <v>96</v>
      </c>
      <c r="E997" s="3" t="s">
        <v>2025</v>
      </c>
      <c r="F997" s="6">
        <v>40.6</v>
      </c>
      <c r="G997" s="6">
        <v>38.1</v>
      </c>
      <c r="H997" s="6">
        <v>56.3</v>
      </c>
      <c r="I997" s="7" t="s">
        <v>4315</v>
      </c>
      <c r="J997" s="3" t="s">
        <v>4317</v>
      </c>
      <c r="K997" s="8" t="s">
        <v>4604</v>
      </c>
      <c r="L997" s="9" t="s">
        <v>2026</v>
      </c>
      <c r="M997" s="1" t="s">
        <v>2027</v>
      </c>
    </row>
    <row r="998" spans="1:13" x14ac:dyDescent="0.3">
      <c r="A998" s="3">
        <v>2720073</v>
      </c>
      <c r="B998" s="4" t="s">
        <v>1898</v>
      </c>
      <c r="C998" s="5">
        <v>1075011</v>
      </c>
      <c r="D998" s="5" t="s">
        <v>264</v>
      </c>
      <c r="E998" s="3" t="s">
        <v>2025</v>
      </c>
      <c r="F998" s="6">
        <v>39.700000000000003</v>
      </c>
      <c r="G998" s="6">
        <v>55</v>
      </c>
      <c r="H998" s="6">
        <v>0</v>
      </c>
      <c r="I998" s="7" t="s">
        <v>4315</v>
      </c>
      <c r="J998" s="3" t="s">
        <v>4317</v>
      </c>
      <c r="K998" s="8" t="s">
        <v>4666</v>
      </c>
      <c r="L998" s="9" t="s">
        <v>2028</v>
      </c>
      <c r="M998" s="1" t="s">
        <v>2029</v>
      </c>
    </row>
    <row r="999" spans="1:13" x14ac:dyDescent="0.3">
      <c r="A999" s="3">
        <v>2721074</v>
      </c>
      <c r="B999" s="4" t="s">
        <v>1898</v>
      </c>
      <c r="C999" s="5">
        <v>1075011</v>
      </c>
      <c r="D999" s="5" t="s">
        <v>267</v>
      </c>
      <c r="E999" s="3" t="s">
        <v>2025</v>
      </c>
      <c r="F999" s="6">
        <v>37.5</v>
      </c>
      <c r="G999" s="6">
        <v>55</v>
      </c>
      <c r="H999" s="6">
        <v>0</v>
      </c>
      <c r="I999" s="7" t="s">
        <v>4315</v>
      </c>
      <c r="J999" s="3" t="s">
        <v>4317</v>
      </c>
      <c r="K999" s="8" t="s">
        <v>4337</v>
      </c>
      <c r="L999" s="9" t="s">
        <v>2030</v>
      </c>
      <c r="M999" s="1" t="s">
        <v>2031</v>
      </c>
    </row>
    <row r="1000" spans="1:13" x14ac:dyDescent="0.3">
      <c r="A1000" s="3">
        <v>2710075</v>
      </c>
      <c r="B1000" s="4" t="s">
        <v>1898</v>
      </c>
      <c r="C1000" s="5">
        <v>7962</v>
      </c>
      <c r="D1000" s="5" t="s">
        <v>96</v>
      </c>
      <c r="E1000" s="3" t="s">
        <v>2032</v>
      </c>
      <c r="F1000" s="6">
        <v>60.7</v>
      </c>
      <c r="G1000" s="6">
        <v>35.200000000000003</v>
      </c>
      <c r="H1000" s="6">
        <v>21.4</v>
      </c>
      <c r="I1000" s="7" t="s">
        <v>4446</v>
      </c>
      <c r="J1000" s="3" t="s">
        <v>4318</v>
      </c>
      <c r="K1000" s="8" t="s">
        <v>4488</v>
      </c>
      <c r="L1000" s="9" t="s">
        <v>2033</v>
      </c>
      <c r="M1000" s="1" t="s">
        <v>2034</v>
      </c>
    </row>
    <row r="1001" spans="1:13" x14ac:dyDescent="0.3">
      <c r="A1001" s="3">
        <v>2719046</v>
      </c>
      <c r="B1001" s="4" t="s">
        <v>1898</v>
      </c>
      <c r="C1001" s="5">
        <v>7963</v>
      </c>
      <c r="D1001" s="5" t="s">
        <v>74</v>
      </c>
      <c r="E1001" s="3" t="s">
        <v>2032</v>
      </c>
      <c r="F1001" s="6">
        <v>59.5</v>
      </c>
      <c r="G1001" s="6">
        <v>34</v>
      </c>
      <c r="H1001" s="6">
        <v>0</v>
      </c>
      <c r="I1001" s="7" t="s">
        <v>4315</v>
      </c>
      <c r="J1001" s="3" t="s">
        <v>4317</v>
      </c>
      <c r="K1001" s="8" t="s">
        <v>4428</v>
      </c>
      <c r="L1001" s="9" t="s">
        <v>2035</v>
      </c>
      <c r="M1001" s="1" t="s">
        <v>2036</v>
      </c>
    </row>
    <row r="1002" spans="1:13" x14ac:dyDescent="0.3">
      <c r="A1002" s="3">
        <v>2710077</v>
      </c>
      <c r="B1002" s="4" t="s">
        <v>1898</v>
      </c>
      <c r="C1002" s="5">
        <v>7964</v>
      </c>
      <c r="D1002" s="5" t="s">
        <v>96</v>
      </c>
      <c r="E1002" s="3" t="s">
        <v>2032</v>
      </c>
      <c r="F1002" s="6">
        <v>60.7</v>
      </c>
      <c r="G1002" s="6">
        <v>40.700000000000003</v>
      </c>
      <c r="H1002" s="6">
        <v>15.9</v>
      </c>
      <c r="I1002" s="7" t="s">
        <v>4446</v>
      </c>
      <c r="J1002" s="3" t="s">
        <v>4318</v>
      </c>
      <c r="K1002" s="8" t="s">
        <v>4494</v>
      </c>
      <c r="L1002" s="9" t="s">
        <v>2037</v>
      </c>
      <c r="M1002" s="1" t="s">
        <v>2038</v>
      </c>
    </row>
    <row r="1003" spans="1:13" x14ac:dyDescent="0.3">
      <c r="A1003" s="3">
        <v>2719078</v>
      </c>
      <c r="B1003" s="4" t="s">
        <v>1898</v>
      </c>
      <c r="C1003" s="5">
        <v>7965</v>
      </c>
      <c r="D1003" s="5" t="s">
        <v>74</v>
      </c>
      <c r="E1003" s="3" t="s">
        <v>2032</v>
      </c>
      <c r="F1003" s="6">
        <v>59.5</v>
      </c>
      <c r="G1003" s="6">
        <v>39.5</v>
      </c>
      <c r="H1003" s="6">
        <v>0</v>
      </c>
      <c r="I1003" s="7" t="s">
        <v>4315</v>
      </c>
      <c r="J1003" s="3" t="s">
        <v>4317</v>
      </c>
      <c r="K1003" s="8" t="s">
        <v>4503</v>
      </c>
      <c r="L1003" s="9" t="s">
        <v>2039</v>
      </c>
      <c r="M1003" s="1" t="s">
        <v>2040</v>
      </c>
    </row>
    <row r="1004" spans="1:13" x14ac:dyDescent="0.3">
      <c r="A1004" s="3">
        <v>2710079</v>
      </c>
      <c r="B1004" s="4" t="s">
        <v>1898</v>
      </c>
      <c r="C1004" s="5" t="s">
        <v>2041</v>
      </c>
      <c r="D1004" s="5" t="s">
        <v>96</v>
      </c>
      <c r="E1004" s="3" t="s">
        <v>2042</v>
      </c>
      <c r="F1004" s="6">
        <v>40.5</v>
      </c>
      <c r="G1004" s="6">
        <v>40.5</v>
      </c>
      <c r="H1004" s="6">
        <v>34.700000000000003</v>
      </c>
      <c r="I1004" s="7" t="s">
        <v>4315</v>
      </c>
      <c r="J1004" s="3" t="s">
        <v>4317</v>
      </c>
      <c r="K1004" s="8" t="s">
        <v>4586</v>
      </c>
      <c r="L1004" s="9" t="s">
        <v>2043</v>
      </c>
      <c r="M1004" s="24" t="s">
        <v>2044</v>
      </c>
    </row>
    <row r="1005" spans="1:13" x14ac:dyDescent="0.3">
      <c r="A1005" s="3">
        <v>2719080</v>
      </c>
      <c r="B1005" s="4" t="s">
        <v>1898</v>
      </c>
      <c r="C1005" s="5" t="s">
        <v>2041</v>
      </c>
      <c r="D1005" s="5" t="s">
        <v>74</v>
      </c>
      <c r="E1005" s="3" t="s">
        <v>2042</v>
      </c>
      <c r="F1005" s="6">
        <v>39.5</v>
      </c>
      <c r="G1005" s="6">
        <v>39.5</v>
      </c>
      <c r="H1005" s="6">
        <v>0</v>
      </c>
      <c r="I1005" s="7" t="s">
        <v>14</v>
      </c>
      <c r="J1005" s="3" t="s">
        <v>14</v>
      </c>
      <c r="K1005" s="8" t="s">
        <v>4433</v>
      </c>
      <c r="L1005" s="9" t="s">
        <v>2045</v>
      </c>
      <c r="M1005" s="1" t="s">
        <v>2046</v>
      </c>
    </row>
    <row r="1006" spans="1:13" x14ac:dyDescent="0.3">
      <c r="A1006" s="3">
        <v>2710081</v>
      </c>
      <c r="B1006" s="4" t="s">
        <v>1898</v>
      </c>
      <c r="C1006" s="5">
        <v>1307015</v>
      </c>
      <c r="D1006" s="5" t="s">
        <v>96</v>
      </c>
      <c r="E1006" s="3" t="s">
        <v>2047</v>
      </c>
      <c r="F1006" s="6">
        <v>60.9</v>
      </c>
      <c r="G1006" s="6">
        <v>60.9</v>
      </c>
      <c r="H1006" s="6">
        <v>30.8</v>
      </c>
      <c r="I1006" s="7" t="s">
        <v>4315</v>
      </c>
      <c r="J1006" s="3" t="s">
        <v>4317</v>
      </c>
      <c r="K1006" s="8" t="s">
        <v>4658</v>
      </c>
      <c r="L1006" s="9" t="s">
        <v>2048</v>
      </c>
      <c r="M1006" s="1" t="s">
        <v>2049</v>
      </c>
    </row>
    <row r="1007" spans="1:13" x14ac:dyDescent="0.3">
      <c r="A1007" s="3">
        <v>2720082</v>
      </c>
      <c r="B1007" s="4" t="s">
        <v>1898</v>
      </c>
      <c r="C1007" s="5">
        <v>1307016</v>
      </c>
      <c r="D1007" s="5" t="s">
        <v>264</v>
      </c>
      <c r="E1007" s="3" t="s">
        <v>2047</v>
      </c>
      <c r="F1007" s="6">
        <v>60</v>
      </c>
      <c r="G1007" s="6">
        <v>29.5</v>
      </c>
      <c r="H1007" s="6">
        <v>0</v>
      </c>
      <c r="I1007" s="7" t="s">
        <v>4315</v>
      </c>
      <c r="J1007" s="3" t="s">
        <v>4317</v>
      </c>
      <c r="K1007" s="8" t="s">
        <v>4389</v>
      </c>
      <c r="L1007" s="9" t="s">
        <v>2050</v>
      </c>
      <c r="M1007" s="1" t="s">
        <v>2051</v>
      </c>
    </row>
    <row r="1008" spans="1:13" x14ac:dyDescent="0.3">
      <c r="A1008" s="3">
        <v>2721083</v>
      </c>
      <c r="B1008" s="4" t="s">
        <v>1898</v>
      </c>
      <c r="C1008" s="5">
        <v>1307016</v>
      </c>
      <c r="D1008" s="5" t="s">
        <v>267</v>
      </c>
      <c r="E1008" s="3" t="s">
        <v>2047</v>
      </c>
      <c r="F1008" s="6">
        <v>60</v>
      </c>
      <c r="G1008" s="6">
        <v>29.5</v>
      </c>
      <c r="H1008" s="6">
        <v>0</v>
      </c>
      <c r="I1008" s="7" t="s">
        <v>4315</v>
      </c>
      <c r="J1008" s="3" t="s">
        <v>4317</v>
      </c>
      <c r="K1008" s="8" t="s">
        <v>4389</v>
      </c>
      <c r="L1008" s="9" t="s">
        <v>2052</v>
      </c>
      <c r="M1008" s="1" t="s">
        <v>2053</v>
      </c>
    </row>
    <row r="1009" spans="1:13" x14ac:dyDescent="0.3">
      <c r="A1009" s="3">
        <v>2710084</v>
      </c>
      <c r="B1009" s="4" t="s">
        <v>1898</v>
      </c>
      <c r="C1009" s="5">
        <v>1306002</v>
      </c>
      <c r="D1009" s="5" t="s">
        <v>96</v>
      </c>
      <c r="E1009" s="3" t="s">
        <v>2054</v>
      </c>
      <c r="F1009" s="6">
        <v>60.9</v>
      </c>
      <c r="G1009" s="6">
        <v>25.4</v>
      </c>
      <c r="H1009" s="6">
        <v>41.3</v>
      </c>
      <c r="I1009" s="7" t="s">
        <v>4315</v>
      </c>
      <c r="J1009" s="3" t="s">
        <v>4317</v>
      </c>
      <c r="K1009" s="8" t="s">
        <v>4494</v>
      </c>
      <c r="L1009" s="9" t="s">
        <v>2055</v>
      </c>
      <c r="M1009" s="1" t="s">
        <v>2056</v>
      </c>
    </row>
    <row r="1010" spans="1:13" x14ac:dyDescent="0.3">
      <c r="A1010" s="3">
        <v>2720085</v>
      </c>
      <c r="B1010" s="4" t="s">
        <v>1898</v>
      </c>
      <c r="C1010" s="5">
        <v>1306003</v>
      </c>
      <c r="D1010" s="5" t="s">
        <v>264</v>
      </c>
      <c r="E1010" s="3" t="s">
        <v>2054</v>
      </c>
      <c r="F1010" s="6">
        <v>60</v>
      </c>
      <c r="G1010" s="6">
        <v>40</v>
      </c>
      <c r="H1010" s="6">
        <v>0</v>
      </c>
      <c r="I1010" s="7" t="s">
        <v>4315</v>
      </c>
      <c r="J1010" s="3" t="s">
        <v>4317</v>
      </c>
      <c r="K1010" s="8" t="s">
        <v>4602</v>
      </c>
      <c r="L1010" s="9" t="s">
        <v>2057</v>
      </c>
      <c r="M1010" s="1" t="s">
        <v>2058</v>
      </c>
    </row>
    <row r="1011" spans="1:13" x14ac:dyDescent="0.3">
      <c r="A1011" s="3">
        <v>2721086</v>
      </c>
      <c r="B1011" s="4" t="s">
        <v>1898</v>
      </c>
      <c r="C1011" s="5">
        <v>1306003</v>
      </c>
      <c r="D1011" s="5" t="s">
        <v>267</v>
      </c>
      <c r="E1011" s="3" t="s">
        <v>2054</v>
      </c>
      <c r="F1011" s="6">
        <v>24.5</v>
      </c>
      <c r="G1011" s="6">
        <v>40</v>
      </c>
      <c r="H1011" s="6">
        <v>0</v>
      </c>
      <c r="I1011" s="7" t="s">
        <v>4315</v>
      </c>
      <c r="J1011" s="3" t="s">
        <v>4317</v>
      </c>
      <c r="K1011" s="8" t="s">
        <v>4465</v>
      </c>
      <c r="L1011" s="9" t="s">
        <v>2059</v>
      </c>
      <c r="M1011" s="1" t="s">
        <v>2060</v>
      </c>
    </row>
    <row r="1012" spans="1:13" x14ac:dyDescent="0.3">
      <c r="A1012" s="3">
        <v>2710087</v>
      </c>
      <c r="B1012" s="4" t="s">
        <v>1898</v>
      </c>
      <c r="C1012" s="5">
        <v>7715</v>
      </c>
      <c r="D1012" s="5" t="s">
        <v>96</v>
      </c>
      <c r="E1012" s="3">
        <v>7715</v>
      </c>
      <c r="F1012" s="6">
        <v>81</v>
      </c>
      <c r="G1012" s="6">
        <v>61.5</v>
      </c>
      <c r="H1012" s="6">
        <v>36.5</v>
      </c>
      <c r="I1012" s="7" t="s">
        <v>4316</v>
      </c>
      <c r="J1012" s="3" t="s">
        <v>4318</v>
      </c>
      <c r="K1012" s="8" t="s">
        <v>4643</v>
      </c>
      <c r="L1012" s="9" t="s">
        <v>2061</v>
      </c>
      <c r="M1012" s="1" t="s">
        <v>6327</v>
      </c>
    </row>
    <row r="1013" spans="1:13" x14ac:dyDescent="0.3">
      <c r="A1013" s="3">
        <v>2710088</v>
      </c>
      <c r="B1013" s="4" t="s">
        <v>1898</v>
      </c>
      <c r="C1013" s="5">
        <v>1125018</v>
      </c>
      <c r="D1013" s="5" t="s">
        <v>96</v>
      </c>
      <c r="E1013" s="3" t="s">
        <v>2062</v>
      </c>
      <c r="F1013" s="6">
        <v>60.9</v>
      </c>
      <c r="G1013" s="6">
        <v>57.1</v>
      </c>
      <c r="H1013" s="6">
        <v>41.3</v>
      </c>
      <c r="I1013" s="7" t="s">
        <v>4315</v>
      </c>
      <c r="J1013" s="3" t="s">
        <v>4317</v>
      </c>
      <c r="K1013" s="8" t="s">
        <v>4667</v>
      </c>
      <c r="L1013" s="9" t="s">
        <v>2063</v>
      </c>
      <c r="M1013" s="1" t="s">
        <v>2064</v>
      </c>
    </row>
    <row r="1014" spans="1:13" x14ac:dyDescent="0.3">
      <c r="A1014" s="3">
        <v>2720089</v>
      </c>
      <c r="B1014" s="4" t="s">
        <v>1898</v>
      </c>
      <c r="C1014" s="5">
        <v>1125019</v>
      </c>
      <c r="D1014" s="5" t="s">
        <v>264</v>
      </c>
      <c r="E1014" s="3" t="s">
        <v>2062</v>
      </c>
      <c r="F1014" s="6">
        <v>60</v>
      </c>
      <c r="G1014" s="6">
        <v>40</v>
      </c>
      <c r="H1014" s="6">
        <v>0</v>
      </c>
      <c r="I1014" s="7" t="s">
        <v>4315</v>
      </c>
      <c r="J1014" s="3" t="s">
        <v>4317</v>
      </c>
      <c r="K1014" s="8" t="s">
        <v>4351</v>
      </c>
      <c r="L1014" s="9" t="s">
        <v>2065</v>
      </c>
      <c r="M1014" s="1" t="s">
        <v>2066</v>
      </c>
    </row>
    <row r="1015" spans="1:13" x14ac:dyDescent="0.3">
      <c r="A1015" s="3">
        <v>2721090</v>
      </c>
      <c r="B1015" s="4" t="s">
        <v>1898</v>
      </c>
      <c r="C1015" s="5">
        <v>1125019</v>
      </c>
      <c r="D1015" s="5" t="s">
        <v>267</v>
      </c>
      <c r="E1015" s="3" t="s">
        <v>2062</v>
      </c>
      <c r="F1015" s="6">
        <v>56.5</v>
      </c>
      <c r="G1015" s="6">
        <v>40</v>
      </c>
      <c r="H1015" s="6">
        <v>0</v>
      </c>
      <c r="I1015" s="7" t="s">
        <v>4315</v>
      </c>
      <c r="J1015" s="3" t="s">
        <v>4317</v>
      </c>
      <c r="K1015" s="8" t="s">
        <v>4361</v>
      </c>
      <c r="L1015" s="9" t="s">
        <v>2067</v>
      </c>
      <c r="M1015" s="1" t="s">
        <v>2068</v>
      </c>
    </row>
    <row r="1016" spans="1:13" x14ac:dyDescent="0.3">
      <c r="A1016" s="3">
        <v>2710091</v>
      </c>
      <c r="B1016" s="4" t="s">
        <v>1898</v>
      </c>
      <c r="C1016" s="5">
        <v>1125020</v>
      </c>
      <c r="D1016" s="5" t="s">
        <v>96</v>
      </c>
      <c r="E1016" s="3" t="s">
        <v>2062</v>
      </c>
      <c r="F1016" s="6">
        <v>60.9</v>
      </c>
      <c r="G1016" s="6">
        <v>57.1</v>
      </c>
      <c r="H1016" s="6">
        <v>35.799999999999997</v>
      </c>
      <c r="I1016" s="7" t="s">
        <v>4315</v>
      </c>
      <c r="J1016" s="3" t="s">
        <v>4317</v>
      </c>
      <c r="K1016" s="8" t="s">
        <v>4415</v>
      </c>
      <c r="L1016" s="9" t="s">
        <v>2069</v>
      </c>
      <c r="M1016" s="1" t="s">
        <v>2070</v>
      </c>
    </row>
    <row r="1017" spans="1:13" x14ac:dyDescent="0.3">
      <c r="A1017" s="3">
        <v>2720092</v>
      </c>
      <c r="B1017" s="4" t="s">
        <v>1898</v>
      </c>
      <c r="C1017" s="5">
        <v>1125021</v>
      </c>
      <c r="D1017" s="5" t="s">
        <v>264</v>
      </c>
      <c r="E1017" s="3" t="s">
        <v>2062</v>
      </c>
      <c r="F1017" s="6">
        <v>60</v>
      </c>
      <c r="G1017" s="6">
        <v>34.5</v>
      </c>
      <c r="H1017" s="6">
        <v>0</v>
      </c>
      <c r="I1017" s="7" t="s">
        <v>4315</v>
      </c>
      <c r="J1017" s="3" t="s">
        <v>4317</v>
      </c>
      <c r="K1017" s="8" t="s">
        <v>4356</v>
      </c>
      <c r="L1017" s="9" t="s">
        <v>2071</v>
      </c>
      <c r="M1017" s="1" t="s">
        <v>2072</v>
      </c>
    </row>
    <row r="1018" spans="1:13" x14ac:dyDescent="0.3">
      <c r="A1018" s="3">
        <v>2721093</v>
      </c>
      <c r="B1018" s="4" t="s">
        <v>1898</v>
      </c>
      <c r="C1018" s="5">
        <v>1125021</v>
      </c>
      <c r="D1018" s="5" t="s">
        <v>267</v>
      </c>
      <c r="E1018" s="3" t="s">
        <v>2062</v>
      </c>
      <c r="F1018" s="6">
        <v>56</v>
      </c>
      <c r="G1018" s="6">
        <v>34.5</v>
      </c>
      <c r="H1018" s="6">
        <v>0</v>
      </c>
      <c r="I1018" s="7" t="s">
        <v>4315</v>
      </c>
      <c r="J1018" s="3" t="s">
        <v>4317</v>
      </c>
      <c r="K1018" s="8" t="s">
        <v>4566</v>
      </c>
      <c r="L1018" s="9" t="s">
        <v>2073</v>
      </c>
      <c r="M1018" s="1" t="s">
        <v>2074</v>
      </c>
    </row>
    <row r="1019" spans="1:13" x14ac:dyDescent="0.3">
      <c r="A1019" s="3">
        <v>2710094</v>
      </c>
      <c r="B1019" s="4" t="s">
        <v>1898</v>
      </c>
      <c r="C1019" s="5">
        <v>164025</v>
      </c>
      <c r="D1019" s="5" t="s">
        <v>96</v>
      </c>
      <c r="E1019" s="3" t="s">
        <v>2075</v>
      </c>
      <c r="F1019" s="6">
        <v>60.9</v>
      </c>
      <c r="G1019" s="6">
        <v>57.1</v>
      </c>
      <c r="H1019" s="6">
        <v>26.3</v>
      </c>
      <c r="I1019" s="7" t="s">
        <v>4315</v>
      </c>
      <c r="J1019" s="3" t="s">
        <v>4317</v>
      </c>
      <c r="K1019" s="8" t="s">
        <v>4397</v>
      </c>
      <c r="L1019" s="9" t="s">
        <v>2076</v>
      </c>
      <c r="M1019" s="1" t="s">
        <v>2077</v>
      </c>
    </row>
    <row r="1020" spans="1:13" x14ac:dyDescent="0.3">
      <c r="A1020" s="3">
        <v>2720095</v>
      </c>
      <c r="B1020" s="4" t="s">
        <v>1898</v>
      </c>
      <c r="C1020" s="5">
        <v>1684026</v>
      </c>
      <c r="D1020" s="5" t="s">
        <v>264</v>
      </c>
      <c r="E1020" s="3" t="s">
        <v>2075</v>
      </c>
      <c r="F1020" s="6">
        <v>60</v>
      </c>
      <c r="G1020" s="6">
        <v>12.5</v>
      </c>
      <c r="H1020" s="6">
        <v>0</v>
      </c>
      <c r="I1020" s="7" t="s">
        <v>4315</v>
      </c>
      <c r="J1020" s="3" t="s">
        <v>4317</v>
      </c>
      <c r="K1020" s="8" t="s">
        <v>4427</v>
      </c>
      <c r="L1020" s="9" t="s">
        <v>2078</v>
      </c>
      <c r="M1020" s="1" t="s">
        <v>2079</v>
      </c>
    </row>
    <row r="1021" spans="1:13" x14ac:dyDescent="0.3">
      <c r="A1021" s="3">
        <v>2721096</v>
      </c>
      <c r="B1021" s="4" t="s">
        <v>1898</v>
      </c>
      <c r="C1021" s="5">
        <v>1684026</v>
      </c>
      <c r="D1021" s="5" t="s">
        <v>267</v>
      </c>
      <c r="E1021" s="3" t="s">
        <v>2075</v>
      </c>
      <c r="F1021" s="6">
        <v>56</v>
      </c>
      <c r="G1021" s="6">
        <v>12.5</v>
      </c>
      <c r="H1021" s="6">
        <v>0</v>
      </c>
      <c r="I1021" s="7" t="s">
        <v>4315</v>
      </c>
      <c r="J1021" s="3" t="s">
        <v>4317</v>
      </c>
      <c r="K1021" s="8" t="s">
        <v>4623</v>
      </c>
      <c r="L1021" s="9" t="s">
        <v>2080</v>
      </c>
      <c r="M1021" s="1" t="s">
        <v>2081</v>
      </c>
    </row>
    <row r="1022" spans="1:13" x14ac:dyDescent="0.3">
      <c r="A1022" s="3">
        <v>2719097</v>
      </c>
      <c r="B1022" s="4" t="s">
        <v>1898</v>
      </c>
      <c r="C1022" s="5">
        <v>1684027</v>
      </c>
      <c r="D1022" s="5" t="s">
        <v>74</v>
      </c>
      <c r="E1022" s="3" t="s">
        <v>2075</v>
      </c>
      <c r="F1022" s="6">
        <v>60</v>
      </c>
      <c r="G1022" s="6">
        <v>56</v>
      </c>
      <c r="H1022" s="6">
        <v>0</v>
      </c>
      <c r="I1022" s="7" t="s">
        <v>4315</v>
      </c>
      <c r="J1022" s="3" t="s">
        <v>4317</v>
      </c>
      <c r="K1022" s="8" t="s">
        <v>4450</v>
      </c>
      <c r="L1022" s="9" t="s">
        <v>2082</v>
      </c>
      <c r="M1022" s="1" t="s">
        <v>2083</v>
      </c>
    </row>
    <row r="1023" spans="1:13" x14ac:dyDescent="0.3">
      <c r="A1023" s="3">
        <v>2710098</v>
      </c>
      <c r="B1023" s="4" t="s">
        <v>1898</v>
      </c>
      <c r="C1023" s="5">
        <v>1683008</v>
      </c>
      <c r="D1023" s="5" t="s">
        <v>96</v>
      </c>
      <c r="E1023" s="3" t="s">
        <v>2075</v>
      </c>
      <c r="F1023" s="6">
        <v>60.9</v>
      </c>
      <c r="G1023" s="6">
        <v>57.1</v>
      </c>
      <c r="H1023" s="6">
        <v>56.3</v>
      </c>
      <c r="I1023" s="7" t="s">
        <v>4315</v>
      </c>
      <c r="J1023" s="3" t="s">
        <v>4317</v>
      </c>
      <c r="K1023" s="8" t="s">
        <v>4483</v>
      </c>
      <c r="L1023" s="9" t="s">
        <v>2084</v>
      </c>
      <c r="M1023" s="1" t="s">
        <v>2085</v>
      </c>
    </row>
    <row r="1024" spans="1:13" x14ac:dyDescent="0.3">
      <c r="A1024" s="3">
        <v>2720099</v>
      </c>
      <c r="B1024" s="4" t="s">
        <v>1898</v>
      </c>
      <c r="C1024" s="5">
        <v>1683009</v>
      </c>
      <c r="D1024" s="5" t="s">
        <v>264</v>
      </c>
      <c r="E1024" s="3" t="s">
        <v>2075</v>
      </c>
      <c r="F1024" s="6">
        <v>60</v>
      </c>
      <c r="G1024" s="6">
        <v>55</v>
      </c>
      <c r="H1024" s="6">
        <v>0</v>
      </c>
      <c r="I1024" s="7" t="s">
        <v>4315</v>
      </c>
      <c r="J1024" s="3" t="s">
        <v>4317</v>
      </c>
      <c r="K1024" s="8" t="s">
        <v>4583</v>
      </c>
      <c r="L1024" s="9" t="s">
        <v>2086</v>
      </c>
      <c r="M1024" s="1" t="s">
        <v>2087</v>
      </c>
    </row>
    <row r="1025" spans="1:14" x14ac:dyDescent="0.3">
      <c r="A1025" s="3">
        <v>2721100</v>
      </c>
      <c r="B1025" s="4" t="s">
        <v>1898</v>
      </c>
      <c r="C1025" s="5">
        <v>1683009</v>
      </c>
      <c r="D1025" s="5" t="s">
        <v>267</v>
      </c>
      <c r="E1025" s="3" t="s">
        <v>2075</v>
      </c>
      <c r="F1025" s="6">
        <v>56</v>
      </c>
      <c r="G1025" s="6">
        <v>55</v>
      </c>
      <c r="H1025" s="6">
        <v>0</v>
      </c>
      <c r="I1025" s="7" t="s">
        <v>4315</v>
      </c>
      <c r="J1025" s="3" t="s">
        <v>4317</v>
      </c>
      <c r="K1025" s="8" t="s">
        <v>4485</v>
      </c>
      <c r="L1025" s="9" t="s">
        <v>2088</v>
      </c>
      <c r="M1025" s="1" t="s">
        <v>2089</v>
      </c>
    </row>
    <row r="1026" spans="1:14" x14ac:dyDescent="0.3">
      <c r="A1026" s="3">
        <v>2710101</v>
      </c>
      <c r="B1026" s="4" t="s">
        <v>1898</v>
      </c>
      <c r="C1026" s="5">
        <v>1684028</v>
      </c>
      <c r="D1026" s="5" t="s">
        <v>96</v>
      </c>
      <c r="E1026" s="3" t="s">
        <v>2075</v>
      </c>
      <c r="F1026" s="6">
        <v>60.9</v>
      </c>
      <c r="G1026" s="6">
        <v>57.1</v>
      </c>
      <c r="H1026" s="6">
        <v>15.8</v>
      </c>
      <c r="I1026" s="7" t="s">
        <v>4315</v>
      </c>
      <c r="J1026" s="3" t="s">
        <v>4317</v>
      </c>
      <c r="K1026" s="8" t="s">
        <v>4440</v>
      </c>
      <c r="L1026" s="9" t="s">
        <v>2090</v>
      </c>
      <c r="M1026" s="1" t="s">
        <v>2091</v>
      </c>
    </row>
    <row r="1027" spans="1:14" x14ac:dyDescent="0.3">
      <c r="A1027" s="3">
        <v>2720102</v>
      </c>
      <c r="B1027" s="4" t="s">
        <v>1898</v>
      </c>
      <c r="C1027" s="5">
        <v>1684029</v>
      </c>
      <c r="D1027" s="5" t="s">
        <v>264</v>
      </c>
      <c r="E1027" s="3" t="s">
        <v>2075</v>
      </c>
      <c r="F1027" s="6">
        <v>60</v>
      </c>
      <c r="G1027" s="6">
        <v>14.5</v>
      </c>
      <c r="H1027" s="6">
        <v>0</v>
      </c>
      <c r="I1027" s="7" t="s">
        <v>4315</v>
      </c>
      <c r="J1027" s="3" t="s">
        <v>4317</v>
      </c>
      <c r="K1027" s="8" t="s">
        <v>4464</v>
      </c>
      <c r="L1027" s="9" t="s">
        <v>2092</v>
      </c>
      <c r="M1027" s="1" t="s">
        <v>2093</v>
      </c>
    </row>
    <row r="1028" spans="1:14" x14ac:dyDescent="0.3">
      <c r="A1028" s="3">
        <v>2721103</v>
      </c>
      <c r="B1028" s="4" t="s">
        <v>1898</v>
      </c>
      <c r="C1028" s="5">
        <v>1684029</v>
      </c>
      <c r="D1028" s="5" t="s">
        <v>267</v>
      </c>
      <c r="E1028" s="3" t="s">
        <v>2075</v>
      </c>
      <c r="F1028" s="6">
        <v>56</v>
      </c>
      <c r="G1028" s="6">
        <v>14.5</v>
      </c>
      <c r="H1028" s="6">
        <v>0</v>
      </c>
      <c r="I1028" s="7" t="s">
        <v>4315</v>
      </c>
      <c r="J1028" s="3" t="s">
        <v>4317</v>
      </c>
      <c r="K1028" s="8" t="s">
        <v>4426</v>
      </c>
      <c r="L1028" s="9" t="s">
        <v>2094</v>
      </c>
      <c r="M1028" s="1" t="s">
        <v>2095</v>
      </c>
    </row>
    <row r="1029" spans="1:14" x14ac:dyDescent="0.3">
      <c r="A1029" s="3">
        <v>2722104</v>
      </c>
      <c r="B1029" s="4" t="s">
        <v>1898</v>
      </c>
      <c r="C1029" s="5">
        <v>1581021</v>
      </c>
      <c r="D1029" s="5" t="s">
        <v>96</v>
      </c>
      <c r="E1029" s="3" t="s">
        <v>5310</v>
      </c>
      <c r="F1029" s="6">
        <v>61</v>
      </c>
      <c r="G1029" s="6">
        <v>57</v>
      </c>
      <c r="H1029" s="6">
        <v>35.799999999999997</v>
      </c>
      <c r="I1029" s="7">
        <v>32</v>
      </c>
      <c r="J1029" s="3" t="s">
        <v>4317</v>
      </c>
      <c r="K1029" s="8">
        <v>2.25</v>
      </c>
      <c r="L1029" s="9" t="s">
        <v>2096</v>
      </c>
      <c r="M1029" s="24" t="s">
        <v>5665</v>
      </c>
      <c r="N1029" t="s">
        <v>5548</v>
      </c>
    </row>
    <row r="1030" spans="1:14" x14ac:dyDescent="0.3">
      <c r="A1030" s="3">
        <v>2723105</v>
      </c>
      <c r="B1030" s="4" t="s">
        <v>1898</v>
      </c>
      <c r="C1030" s="5">
        <v>1581024</v>
      </c>
      <c r="D1030" s="5" t="s">
        <v>4792</v>
      </c>
      <c r="E1030" s="3" t="s">
        <v>5310</v>
      </c>
      <c r="F1030" s="6">
        <v>60</v>
      </c>
      <c r="G1030" s="6">
        <v>56</v>
      </c>
      <c r="H1030" s="6">
        <v>34.5</v>
      </c>
      <c r="I1030" s="7">
        <v>32</v>
      </c>
      <c r="J1030" s="3" t="s">
        <v>4317</v>
      </c>
      <c r="K1030" s="8">
        <v>0.21</v>
      </c>
      <c r="L1030" s="9" t="s">
        <v>2097</v>
      </c>
      <c r="M1030" s="9" t="s">
        <v>4974</v>
      </c>
    </row>
    <row r="1031" spans="1:14" x14ac:dyDescent="0.3">
      <c r="A1031" s="3">
        <v>2724106</v>
      </c>
      <c r="B1031" s="4" t="s">
        <v>1898</v>
      </c>
      <c r="C1031" s="5">
        <v>1581025</v>
      </c>
      <c r="D1031" s="5" t="s">
        <v>74</v>
      </c>
      <c r="E1031" s="3" t="s">
        <v>5310</v>
      </c>
      <c r="F1031" s="6">
        <v>60</v>
      </c>
      <c r="G1031" s="6">
        <v>56</v>
      </c>
      <c r="H1031" s="6" t="s">
        <v>14</v>
      </c>
      <c r="I1031" s="7">
        <v>32</v>
      </c>
      <c r="J1031" s="3" t="s">
        <v>4317</v>
      </c>
      <c r="K1031" s="8">
        <v>0.34</v>
      </c>
      <c r="L1031" s="9" t="s">
        <v>2098</v>
      </c>
      <c r="M1031" s="9" t="s">
        <v>4974</v>
      </c>
    </row>
    <row r="1032" spans="1:14" x14ac:dyDescent="0.3">
      <c r="A1032" s="3">
        <v>2725107</v>
      </c>
      <c r="B1032" s="4" t="s">
        <v>1898</v>
      </c>
      <c r="C1032" s="5">
        <v>1581022</v>
      </c>
      <c r="D1032" s="5" t="s">
        <v>90</v>
      </c>
      <c r="E1032" s="3" t="s">
        <v>5310</v>
      </c>
      <c r="F1032" s="6">
        <v>60</v>
      </c>
      <c r="G1032" s="6">
        <v>56</v>
      </c>
      <c r="H1032" s="6">
        <v>34.5</v>
      </c>
      <c r="I1032" s="7">
        <v>32</v>
      </c>
      <c r="J1032" s="3" t="s">
        <v>4317</v>
      </c>
      <c r="K1032" s="8">
        <v>0.21</v>
      </c>
      <c r="L1032" s="9" t="s">
        <v>2099</v>
      </c>
      <c r="M1032" s="24" t="s">
        <v>5666</v>
      </c>
      <c r="N1032" t="s">
        <v>5548</v>
      </c>
    </row>
    <row r="1033" spans="1:14" x14ac:dyDescent="0.3">
      <c r="A1033" s="3">
        <v>2726108</v>
      </c>
      <c r="B1033" s="4" t="s">
        <v>1898</v>
      </c>
      <c r="C1033" s="5">
        <v>1432007</v>
      </c>
      <c r="D1033" s="5" t="s">
        <v>23</v>
      </c>
      <c r="E1033" s="3" t="s">
        <v>14</v>
      </c>
      <c r="F1033" s="6">
        <v>61.5</v>
      </c>
      <c r="G1033" s="6">
        <v>57.5</v>
      </c>
      <c r="H1033" s="6">
        <v>29.3</v>
      </c>
      <c r="I1033" s="7">
        <v>32</v>
      </c>
      <c r="J1033" s="3" t="s">
        <v>4317</v>
      </c>
      <c r="K1033" s="8">
        <v>1.42</v>
      </c>
      <c r="L1033" s="9" t="s">
        <v>2100</v>
      </c>
      <c r="M1033" s="24" t="s">
        <v>5629</v>
      </c>
    </row>
    <row r="1034" spans="1:14" x14ac:dyDescent="0.3">
      <c r="A1034" s="3">
        <v>2727109</v>
      </c>
      <c r="B1034" s="4" t="s">
        <v>1898</v>
      </c>
      <c r="C1034" s="5">
        <v>1433014</v>
      </c>
      <c r="D1034" s="5" t="s">
        <v>23</v>
      </c>
      <c r="E1034" s="3" t="s">
        <v>14</v>
      </c>
      <c r="F1034" s="6">
        <v>61.5</v>
      </c>
      <c r="G1034" s="6">
        <v>57.5</v>
      </c>
      <c r="H1034" s="6">
        <v>23</v>
      </c>
      <c r="I1034" s="7">
        <v>32</v>
      </c>
      <c r="J1034" s="3" t="s">
        <v>4317</v>
      </c>
      <c r="K1034" s="8">
        <v>1.26</v>
      </c>
      <c r="L1034" s="9" t="s">
        <v>2101</v>
      </c>
      <c r="M1034" s="24" t="s">
        <v>5630</v>
      </c>
      <c r="N1034" t="s">
        <v>5548</v>
      </c>
    </row>
    <row r="1035" spans="1:14" x14ac:dyDescent="0.3">
      <c r="A1035" s="3">
        <v>2728110</v>
      </c>
      <c r="B1035" s="4" t="s">
        <v>1898</v>
      </c>
      <c r="C1035" s="5">
        <v>1433016</v>
      </c>
      <c r="D1035" s="5" t="s">
        <v>392</v>
      </c>
      <c r="E1035" s="3" t="s">
        <v>14</v>
      </c>
      <c r="F1035" s="6">
        <v>79</v>
      </c>
      <c r="G1035" s="6">
        <v>60</v>
      </c>
      <c r="H1035" s="6">
        <v>7.5</v>
      </c>
      <c r="I1035" s="7">
        <v>32</v>
      </c>
      <c r="J1035" s="3" t="s">
        <v>4317</v>
      </c>
      <c r="K1035" s="8">
        <v>0.59</v>
      </c>
      <c r="L1035" s="9" t="s">
        <v>2102</v>
      </c>
      <c r="M1035" s="24" t="s">
        <v>5631</v>
      </c>
      <c r="N1035" t="s">
        <v>5548</v>
      </c>
    </row>
    <row r="1036" spans="1:14" x14ac:dyDescent="0.3">
      <c r="A1036" s="3">
        <v>2710111</v>
      </c>
      <c r="B1036" s="4" t="s">
        <v>1898</v>
      </c>
      <c r="C1036" s="5">
        <v>1065016</v>
      </c>
      <c r="D1036" s="5" t="s">
        <v>96</v>
      </c>
      <c r="E1036" s="3" t="s">
        <v>2103</v>
      </c>
      <c r="F1036" s="6">
        <v>66</v>
      </c>
      <c r="G1036" s="6">
        <v>55.9</v>
      </c>
      <c r="H1036" s="6">
        <v>57.5</v>
      </c>
      <c r="I1036" s="7" t="s">
        <v>4315</v>
      </c>
      <c r="J1036" s="3" t="s">
        <v>4317</v>
      </c>
      <c r="K1036" s="8" t="s">
        <v>4668</v>
      </c>
      <c r="L1036" s="9" t="s">
        <v>2104</v>
      </c>
      <c r="M1036" s="1" t="s">
        <v>2105</v>
      </c>
    </row>
    <row r="1037" spans="1:14" x14ac:dyDescent="0.3">
      <c r="A1037" s="3">
        <v>2710112</v>
      </c>
      <c r="B1037" s="4" t="s">
        <v>1898</v>
      </c>
      <c r="C1037" s="5">
        <v>1065017</v>
      </c>
      <c r="D1037" s="5" t="s">
        <v>264</v>
      </c>
      <c r="E1037" s="3" t="s">
        <v>2103</v>
      </c>
      <c r="F1037" s="6">
        <v>65</v>
      </c>
      <c r="G1037" s="6">
        <v>56</v>
      </c>
      <c r="H1037" s="6">
        <v>0</v>
      </c>
      <c r="I1037" s="7" t="s">
        <v>4315</v>
      </c>
      <c r="J1037" s="3" t="s">
        <v>4317</v>
      </c>
      <c r="K1037" s="8" t="s">
        <v>4484</v>
      </c>
      <c r="L1037" s="9" t="s">
        <v>2106</v>
      </c>
      <c r="M1037" s="1" t="s">
        <v>2107</v>
      </c>
    </row>
    <row r="1038" spans="1:14" x14ac:dyDescent="0.3">
      <c r="A1038" s="3">
        <v>2710113</v>
      </c>
      <c r="B1038" s="4" t="s">
        <v>1898</v>
      </c>
      <c r="C1038" s="5">
        <v>1065017</v>
      </c>
      <c r="D1038" s="5" t="s">
        <v>267</v>
      </c>
      <c r="E1038" s="3" t="s">
        <v>2103</v>
      </c>
      <c r="F1038" s="6">
        <v>55</v>
      </c>
      <c r="G1038" s="6">
        <v>56</v>
      </c>
      <c r="H1038" s="6">
        <v>0</v>
      </c>
      <c r="I1038" s="7" t="s">
        <v>4315</v>
      </c>
      <c r="J1038" s="3" t="s">
        <v>4317</v>
      </c>
      <c r="K1038" s="8" t="s">
        <v>4485</v>
      </c>
      <c r="L1038" s="9" t="s">
        <v>2108</v>
      </c>
      <c r="M1038" s="1" t="s">
        <v>2109</v>
      </c>
    </row>
    <row r="1039" spans="1:14" x14ac:dyDescent="0.3">
      <c r="A1039" s="3">
        <v>2710114</v>
      </c>
      <c r="B1039" s="4" t="s">
        <v>1898</v>
      </c>
      <c r="C1039" s="5">
        <v>1433026</v>
      </c>
      <c r="D1039" s="5" t="s">
        <v>23</v>
      </c>
      <c r="E1039" s="3" t="s">
        <v>14</v>
      </c>
      <c r="F1039" s="6">
        <v>60</v>
      </c>
      <c r="G1039" s="6">
        <v>55</v>
      </c>
      <c r="H1039" s="6">
        <v>35</v>
      </c>
      <c r="I1039" s="7">
        <v>44</v>
      </c>
      <c r="J1039" s="3" t="s">
        <v>4317</v>
      </c>
      <c r="K1039" s="8">
        <v>1.47</v>
      </c>
      <c r="L1039" s="9" t="s">
        <v>2110</v>
      </c>
      <c r="M1039" s="24" t="s">
        <v>5632</v>
      </c>
      <c r="N1039" t="s">
        <v>5548</v>
      </c>
    </row>
    <row r="1040" spans="1:14" x14ac:dyDescent="0.3">
      <c r="A1040" s="3">
        <v>2710115</v>
      </c>
      <c r="B1040" s="4" t="s">
        <v>1898</v>
      </c>
      <c r="C1040" s="5">
        <v>1436009</v>
      </c>
      <c r="D1040" s="5" t="s">
        <v>23</v>
      </c>
      <c r="E1040" s="3" t="s">
        <v>14</v>
      </c>
      <c r="F1040" s="6">
        <v>60</v>
      </c>
      <c r="G1040" s="6">
        <v>57</v>
      </c>
      <c r="H1040" s="6">
        <v>35.5</v>
      </c>
      <c r="I1040" s="7">
        <v>44</v>
      </c>
      <c r="J1040" s="3" t="s">
        <v>4317</v>
      </c>
      <c r="K1040" s="8">
        <v>1.53</v>
      </c>
      <c r="L1040" s="9" t="s">
        <v>2111</v>
      </c>
      <c r="M1040" s="24" t="s">
        <v>5633</v>
      </c>
      <c r="N1040" t="s">
        <v>5548</v>
      </c>
    </row>
    <row r="1041" spans="1:14" x14ac:dyDescent="0.3">
      <c r="A1041" s="3">
        <v>2710116</v>
      </c>
      <c r="B1041" s="4" t="s">
        <v>1898</v>
      </c>
      <c r="C1041" s="5">
        <v>1438014</v>
      </c>
      <c r="D1041" s="5" t="s">
        <v>23</v>
      </c>
      <c r="E1041" s="3" t="s">
        <v>14</v>
      </c>
      <c r="F1041" s="6">
        <v>57</v>
      </c>
      <c r="G1041" s="6">
        <v>40.5</v>
      </c>
      <c r="H1041" s="6">
        <v>29</v>
      </c>
      <c r="I1041" s="7">
        <v>32</v>
      </c>
      <c r="J1041" s="3" t="s">
        <v>4317</v>
      </c>
      <c r="K1041" s="8">
        <v>0.99</v>
      </c>
      <c r="L1041" s="9" t="s">
        <v>2112</v>
      </c>
      <c r="M1041" s="24" t="s">
        <v>5634</v>
      </c>
      <c r="N1041" t="s">
        <v>5548</v>
      </c>
    </row>
    <row r="1042" spans="1:14" x14ac:dyDescent="0.3">
      <c r="A1042" s="3">
        <v>2710117</v>
      </c>
      <c r="B1042" s="4" t="s">
        <v>1898</v>
      </c>
      <c r="C1042" s="5">
        <v>1438016</v>
      </c>
      <c r="D1042" s="5" t="s">
        <v>13</v>
      </c>
      <c r="E1042" s="3" t="s">
        <v>14</v>
      </c>
      <c r="F1042" s="6">
        <v>59.5</v>
      </c>
      <c r="G1042" s="6">
        <v>43</v>
      </c>
      <c r="H1042" s="6">
        <v>8</v>
      </c>
      <c r="I1042" s="7">
        <v>32</v>
      </c>
      <c r="J1042" s="3" t="s">
        <v>4317</v>
      </c>
      <c r="K1042" s="8">
        <v>0.45</v>
      </c>
      <c r="L1042" s="9" t="s">
        <v>2113</v>
      </c>
      <c r="M1042" s="24" t="s">
        <v>5635</v>
      </c>
      <c r="N1042" t="s">
        <v>5548</v>
      </c>
    </row>
    <row r="1043" spans="1:14" x14ac:dyDescent="0.3">
      <c r="A1043" s="3">
        <v>2710118</v>
      </c>
      <c r="B1043" s="4" t="s">
        <v>1898</v>
      </c>
      <c r="C1043" s="5">
        <v>1438021</v>
      </c>
      <c r="D1043" s="5" t="s">
        <v>154</v>
      </c>
      <c r="E1043" s="3" t="s">
        <v>14</v>
      </c>
      <c r="F1043" s="6">
        <v>59</v>
      </c>
      <c r="G1043" s="6">
        <v>36.5</v>
      </c>
      <c r="H1043" s="6">
        <v>17</v>
      </c>
      <c r="I1043" s="7">
        <v>44</v>
      </c>
      <c r="J1043" s="3" t="s">
        <v>4317</v>
      </c>
      <c r="K1043" s="8">
        <v>0.59</v>
      </c>
      <c r="L1043" s="9" t="s">
        <v>2114</v>
      </c>
      <c r="M1043" s="24" t="s">
        <v>5636</v>
      </c>
      <c r="N1043" t="s">
        <v>5548</v>
      </c>
    </row>
    <row r="1044" spans="1:14" x14ac:dyDescent="0.3">
      <c r="A1044" s="3">
        <v>2710119</v>
      </c>
      <c r="B1044" s="4" t="s">
        <v>1898</v>
      </c>
      <c r="C1044" s="5">
        <v>1455234</v>
      </c>
      <c r="D1044" s="5" t="s">
        <v>74</v>
      </c>
      <c r="E1044" s="3" t="s">
        <v>14</v>
      </c>
      <c r="F1044" s="6">
        <v>110</v>
      </c>
      <c r="G1044" s="6">
        <v>102.5</v>
      </c>
      <c r="H1044" s="6" t="s">
        <v>14</v>
      </c>
      <c r="I1044" s="7">
        <v>32</v>
      </c>
      <c r="J1044" s="3" t="s">
        <v>4317</v>
      </c>
      <c r="K1044" s="8">
        <v>1.1299999999999999</v>
      </c>
      <c r="L1044" s="9" t="s">
        <v>2115</v>
      </c>
      <c r="M1044" s="24" t="s">
        <v>5637</v>
      </c>
      <c r="N1044" t="s">
        <v>5548</v>
      </c>
    </row>
    <row r="1045" spans="1:14" x14ac:dyDescent="0.3">
      <c r="A1045" s="3">
        <v>2710120</v>
      </c>
      <c r="B1045" s="4" t="s">
        <v>1898</v>
      </c>
      <c r="C1045" s="5">
        <v>1534032</v>
      </c>
      <c r="D1045" s="5" t="s">
        <v>96</v>
      </c>
      <c r="E1045" s="3" t="s">
        <v>14</v>
      </c>
      <c r="F1045" s="6">
        <v>60</v>
      </c>
      <c r="G1045" s="6">
        <v>56</v>
      </c>
      <c r="H1045" s="6">
        <v>28</v>
      </c>
      <c r="I1045" s="7">
        <v>32</v>
      </c>
      <c r="J1045" s="3" t="s">
        <v>4317</v>
      </c>
      <c r="K1045" s="8">
        <v>2</v>
      </c>
      <c r="L1045" s="9" t="s">
        <v>2116</v>
      </c>
      <c r="M1045" s="24" t="s">
        <v>5638</v>
      </c>
      <c r="N1045" t="s">
        <v>5548</v>
      </c>
    </row>
    <row r="1046" spans="1:14" x14ac:dyDescent="0.3">
      <c r="A1046" s="3">
        <v>2710121</v>
      </c>
      <c r="B1046" s="4" t="s">
        <v>1898</v>
      </c>
      <c r="C1046" s="5">
        <v>1562033</v>
      </c>
      <c r="D1046" s="5" t="s">
        <v>5046</v>
      </c>
      <c r="E1046" s="3" t="s">
        <v>14</v>
      </c>
      <c r="F1046" s="6">
        <v>59</v>
      </c>
      <c r="G1046" s="6">
        <v>36.5</v>
      </c>
      <c r="H1046" s="6">
        <v>26</v>
      </c>
      <c r="I1046" s="7">
        <v>44</v>
      </c>
      <c r="J1046" s="3" t="s">
        <v>4317</v>
      </c>
      <c r="K1046" s="8">
        <v>0.87</v>
      </c>
      <c r="L1046" s="9" t="s">
        <v>2117</v>
      </c>
      <c r="M1046" s="24" t="s">
        <v>5639</v>
      </c>
      <c r="N1046" t="s">
        <v>5548</v>
      </c>
    </row>
    <row r="1047" spans="1:14" x14ac:dyDescent="0.3">
      <c r="A1047" s="3">
        <v>2710122</v>
      </c>
      <c r="B1047" s="4" t="s">
        <v>1898</v>
      </c>
      <c r="C1047" s="5">
        <v>1562037</v>
      </c>
      <c r="D1047" s="5" t="s">
        <v>13</v>
      </c>
      <c r="E1047" s="3" t="s">
        <v>14</v>
      </c>
      <c r="F1047" s="6">
        <v>76.5</v>
      </c>
      <c r="G1047" s="6">
        <v>54</v>
      </c>
      <c r="H1047" s="6">
        <v>7.5</v>
      </c>
      <c r="I1047" s="7">
        <v>32</v>
      </c>
      <c r="J1047" s="3" t="s">
        <v>4317</v>
      </c>
      <c r="K1047" s="8">
        <v>0.41</v>
      </c>
      <c r="L1047" s="9" t="s">
        <v>2118</v>
      </c>
      <c r="M1047" s="24" t="s">
        <v>5640</v>
      </c>
      <c r="N1047" t="s">
        <v>5548</v>
      </c>
    </row>
    <row r="1048" spans="1:14" x14ac:dyDescent="0.3">
      <c r="A1048" s="3">
        <v>2710123</v>
      </c>
      <c r="B1048" s="4" t="s">
        <v>1898</v>
      </c>
      <c r="C1048" s="5">
        <v>1564013</v>
      </c>
      <c r="D1048" s="5" t="s">
        <v>23</v>
      </c>
      <c r="E1048" s="3" t="s">
        <v>5329</v>
      </c>
      <c r="F1048" s="6">
        <v>59</v>
      </c>
      <c r="G1048" s="6">
        <v>35.5</v>
      </c>
      <c r="H1048" s="6">
        <v>22</v>
      </c>
      <c r="I1048" s="7">
        <v>32</v>
      </c>
      <c r="J1048" s="3" t="s">
        <v>4317</v>
      </c>
      <c r="K1048" s="8">
        <v>0.78</v>
      </c>
      <c r="L1048" s="9" t="s">
        <v>2119</v>
      </c>
      <c r="M1048" s="24" t="s">
        <v>5641</v>
      </c>
      <c r="N1048" t="s">
        <v>5548</v>
      </c>
    </row>
    <row r="1049" spans="1:14" x14ac:dyDescent="0.3">
      <c r="A1049" s="3">
        <v>2710124</v>
      </c>
      <c r="B1049" s="4" t="s">
        <v>1898</v>
      </c>
      <c r="C1049" s="5">
        <v>1564016</v>
      </c>
      <c r="D1049" s="5" t="s">
        <v>13</v>
      </c>
      <c r="E1049" s="3" t="s">
        <v>5329</v>
      </c>
      <c r="F1049" s="6">
        <v>76.5</v>
      </c>
      <c r="G1049" s="6">
        <v>53</v>
      </c>
      <c r="H1049" s="6">
        <v>7.5</v>
      </c>
      <c r="I1049" s="7">
        <v>32</v>
      </c>
      <c r="J1049" s="3" t="s">
        <v>4317</v>
      </c>
      <c r="K1049" s="8">
        <v>0.41</v>
      </c>
      <c r="L1049" s="9" t="s">
        <v>2120</v>
      </c>
      <c r="M1049" s="24" t="s">
        <v>5642</v>
      </c>
      <c r="N1049" t="s">
        <v>5548</v>
      </c>
    </row>
    <row r="1050" spans="1:14" x14ac:dyDescent="0.3">
      <c r="A1050" s="3">
        <v>2710125</v>
      </c>
      <c r="B1050" s="4" t="s">
        <v>1898</v>
      </c>
      <c r="C1050" s="5">
        <v>1566012</v>
      </c>
      <c r="D1050" s="5" t="s">
        <v>23</v>
      </c>
      <c r="E1050" s="3" t="s">
        <v>5332</v>
      </c>
      <c r="F1050" s="6">
        <v>59</v>
      </c>
      <c r="G1050" s="6">
        <v>54</v>
      </c>
      <c r="H1050" s="6">
        <v>26</v>
      </c>
      <c r="I1050" s="7">
        <v>44</v>
      </c>
      <c r="J1050" s="3" t="s">
        <v>4317</v>
      </c>
      <c r="K1050" s="8">
        <v>1.23</v>
      </c>
      <c r="L1050" s="9" t="s">
        <v>2121</v>
      </c>
      <c r="M1050" s="24" t="s">
        <v>5643</v>
      </c>
      <c r="N1050" t="s">
        <v>5548</v>
      </c>
    </row>
    <row r="1051" spans="1:14" x14ac:dyDescent="0.3">
      <c r="A1051" s="3">
        <v>2710126</v>
      </c>
      <c r="B1051" s="4" t="s">
        <v>1898</v>
      </c>
      <c r="C1051" s="5">
        <v>1566015</v>
      </c>
      <c r="D1051" s="5" t="s">
        <v>13</v>
      </c>
      <c r="E1051" s="3" t="s">
        <v>5332</v>
      </c>
      <c r="F1051" s="6">
        <v>61.5</v>
      </c>
      <c r="G1051" s="6">
        <v>56.5</v>
      </c>
      <c r="H1051" s="6">
        <v>7.5</v>
      </c>
      <c r="I1051" s="7">
        <v>32</v>
      </c>
      <c r="J1051" s="3" t="s">
        <v>4317</v>
      </c>
      <c r="K1051" s="8">
        <v>0.55000000000000004</v>
      </c>
      <c r="L1051" s="9" t="s">
        <v>2122</v>
      </c>
      <c r="M1051" s="24" t="s">
        <v>5644</v>
      </c>
      <c r="N1051" t="s">
        <v>5548</v>
      </c>
    </row>
    <row r="1052" spans="1:14" x14ac:dyDescent="0.3">
      <c r="A1052" s="3">
        <v>2711127</v>
      </c>
      <c r="B1052" s="4" t="s">
        <v>1898</v>
      </c>
      <c r="C1052" s="5">
        <v>1014119</v>
      </c>
      <c r="D1052" s="5" t="s">
        <v>154</v>
      </c>
      <c r="E1052" s="3" t="s">
        <v>2123</v>
      </c>
      <c r="F1052" s="6">
        <v>60.9</v>
      </c>
      <c r="G1052" s="6">
        <v>38</v>
      </c>
      <c r="H1052" s="6">
        <v>84.7</v>
      </c>
      <c r="I1052" s="7" t="s">
        <v>4315</v>
      </c>
      <c r="J1052" s="3" t="s">
        <v>4317</v>
      </c>
      <c r="K1052" s="8">
        <v>2.11</v>
      </c>
      <c r="L1052" s="9" t="s">
        <v>2124</v>
      </c>
      <c r="M1052" s="1" t="s">
        <v>2125</v>
      </c>
    </row>
    <row r="1053" spans="1:14" x14ac:dyDescent="0.3">
      <c r="A1053" s="3">
        <v>2720128</v>
      </c>
      <c r="B1053" s="4" t="s">
        <v>1898</v>
      </c>
      <c r="C1053" s="5">
        <v>1014120</v>
      </c>
      <c r="D1053" s="5" t="s">
        <v>264</v>
      </c>
      <c r="E1053" s="3" t="s">
        <v>2123</v>
      </c>
      <c r="F1053" s="6">
        <v>60</v>
      </c>
      <c r="G1053" s="6">
        <v>37</v>
      </c>
      <c r="H1053" s="6">
        <v>60</v>
      </c>
      <c r="I1053" s="7" t="s">
        <v>4315</v>
      </c>
      <c r="J1053" s="3" t="s">
        <v>4317</v>
      </c>
      <c r="K1053" s="8">
        <v>0.36</v>
      </c>
      <c r="L1053" s="9" t="s">
        <v>2126</v>
      </c>
      <c r="M1053" s="1" t="s">
        <v>2127</v>
      </c>
    </row>
    <row r="1054" spans="1:14" x14ac:dyDescent="0.3">
      <c r="A1054" s="3">
        <v>2721129</v>
      </c>
      <c r="B1054" s="4" t="s">
        <v>1898</v>
      </c>
      <c r="C1054" s="5">
        <v>101420</v>
      </c>
      <c r="D1054" s="5" t="s">
        <v>267</v>
      </c>
      <c r="E1054" s="3" t="s">
        <v>2123</v>
      </c>
      <c r="F1054" s="6">
        <v>60</v>
      </c>
      <c r="G1054" s="6">
        <v>37</v>
      </c>
      <c r="H1054" s="6">
        <v>60</v>
      </c>
      <c r="I1054" s="7" t="s">
        <v>4315</v>
      </c>
      <c r="J1054" s="3" t="s">
        <v>4317</v>
      </c>
      <c r="K1054" s="8">
        <v>0.22</v>
      </c>
      <c r="L1054" s="9" t="s">
        <v>2128</v>
      </c>
      <c r="M1054" s="1" t="s">
        <v>2129</v>
      </c>
    </row>
    <row r="1055" spans="1:14" x14ac:dyDescent="0.3">
      <c r="A1055" s="3">
        <v>2714130</v>
      </c>
      <c r="B1055" s="4" t="s">
        <v>1898</v>
      </c>
      <c r="C1055" s="5">
        <v>101421</v>
      </c>
      <c r="D1055" s="5" t="s">
        <v>392</v>
      </c>
      <c r="E1055" s="3" t="s">
        <v>2123</v>
      </c>
      <c r="F1055" s="6">
        <v>62.8</v>
      </c>
      <c r="G1055" s="6">
        <v>39.9</v>
      </c>
      <c r="H1055" s="6">
        <v>8.4</v>
      </c>
      <c r="I1055" s="7" t="s">
        <v>4315</v>
      </c>
      <c r="J1055" s="3" t="s">
        <v>4317</v>
      </c>
      <c r="K1055" s="8">
        <v>0.45</v>
      </c>
      <c r="L1055" s="9" t="s">
        <v>2130</v>
      </c>
      <c r="M1055" s="1" t="s">
        <v>2131</v>
      </c>
    </row>
    <row r="1056" spans="1:14" x14ac:dyDescent="0.3">
      <c r="A1056" s="3">
        <v>2707131</v>
      </c>
      <c r="B1056" s="4" t="s">
        <v>1898</v>
      </c>
      <c r="C1056" s="5">
        <v>1569018</v>
      </c>
      <c r="D1056" s="5" t="s">
        <v>23</v>
      </c>
      <c r="E1056" s="3" t="s">
        <v>5330</v>
      </c>
      <c r="F1056" s="6">
        <v>119</v>
      </c>
      <c r="G1056" s="6">
        <v>111.5</v>
      </c>
      <c r="H1056" s="6">
        <v>71.5</v>
      </c>
      <c r="I1056" s="7">
        <v>48</v>
      </c>
      <c r="J1056" s="3" t="s">
        <v>4317</v>
      </c>
      <c r="K1056" s="8">
        <v>5.95</v>
      </c>
      <c r="L1056" s="9" t="s">
        <v>2132</v>
      </c>
      <c r="M1056" s="24" t="s">
        <v>5645</v>
      </c>
      <c r="N1056" t="s">
        <v>5548</v>
      </c>
    </row>
    <row r="1057" spans="1:14" x14ac:dyDescent="0.3">
      <c r="A1057" s="3">
        <v>2700132</v>
      </c>
      <c r="B1057" s="4" t="s">
        <v>1898</v>
      </c>
      <c r="C1057" s="5">
        <v>1569021</v>
      </c>
      <c r="D1057" s="5" t="s">
        <v>392</v>
      </c>
      <c r="E1057" s="3" t="s">
        <v>5330</v>
      </c>
      <c r="F1057" s="6">
        <v>121</v>
      </c>
      <c r="G1057" s="6">
        <v>113.5</v>
      </c>
      <c r="H1057" s="6">
        <v>10</v>
      </c>
      <c r="I1057" s="7">
        <v>32</v>
      </c>
      <c r="J1057" s="3" t="s">
        <v>4317</v>
      </c>
      <c r="K1057" s="8">
        <v>1.88</v>
      </c>
      <c r="L1057" s="9" t="s">
        <v>2133</v>
      </c>
      <c r="M1057" s="24" t="s">
        <v>5646</v>
      </c>
    </row>
    <row r="1058" spans="1:14" x14ac:dyDescent="0.3">
      <c r="A1058" s="3">
        <v>2693133</v>
      </c>
      <c r="B1058" s="4" t="s">
        <v>1898</v>
      </c>
      <c r="C1058" s="5">
        <v>1624001</v>
      </c>
      <c r="D1058" s="5" t="s">
        <v>154</v>
      </c>
      <c r="E1058" s="3" t="s">
        <v>6044</v>
      </c>
      <c r="F1058" s="6">
        <v>61.5</v>
      </c>
      <c r="G1058" s="6">
        <v>57</v>
      </c>
      <c r="H1058" s="6">
        <v>53</v>
      </c>
      <c r="I1058" s="7">
        <v>32</v>
      </c>
      <c r="J1058" s="3" t="s">
        <v>4317</v>
      </c>
      <c r="K1058" s="8">
        <v>1.92</v>
      </c>
      <c r="L1058" s="9" t="s">
        <v>2134</v>
      </c>
      <c r="M1058" s="24" t="s">
        <v>5647</v>
      </c>
      <c r="N1058" t="s">
        <v>5548</v>
      </c>
    </row>
    <row r="1059" spans="1:14" x14ac:dyDescent="0.3">
      <c r="A1059" s="3">
        <v>2686134</v>
      </c>
      <c r="B1059" s="4" t="s">
        <v>1898</v>
      </c>
      <c r="C1059" s="5">
        <v>1628006</v>
      </c>
      <c r="D1059" s="5" t="s">
        <v>23</v>
      </c>
      <c r="E1059" s="3" t="s">
        <v>5331</v>
      </c>
      <c r="F1059" s="6">
        <v>60</v>
      </c>
      <c r="G1059" s="6">
        <v>56</v>
      </c>
      <c r="H1059" s="6">
        <v>29</v>
      </c>
      <c r="I1059" s="7">
        <v>32</v>
      </c>
      <c r="J1059" s="3" t="s">
        <v>4317</v>
      </c>
      <c r="K1059" s="8">
        <v>1.36</v>
      </c>
      <c r="L1059" s="9" t="s">
        <v>2135</v>
      </c>
      <c r="M1059" s="24" t="s">
        <v>5648</v>
      </c>
      <c r="N1059" t="s">
        <v>5548</v>
      </c>
    </row>
    <row r="1060" spans="1:14" x14ac:dyDescent="0.3">
      <c r="A1060" s="3">
        <v>2679135</v>
      </c>
      <c r="B1060" s="4" t="s">
        <v>1898</v>
      </c>
      <c r="C1060" s="5">
        <v>1628008</v>
      </c>
      <c r="D1060" s="5" t="s">
        <v>74</v>
      </c>
      <c r="E1060" s="3" t="s">
        <v>5331</v>
      </c>
      <c r="F1060" s="6">
        <v>58.5</v>
      </c>
      <c r="G1060" s="6">
        <v>55</v>
      </c>
      <c r="H1060" s="6" t="s">
        <v>14</v>
      </c>
      <c r="I1060" s="7">
        <v>32</v>
      </c>
      <c r="J1060" s="3" t="s">
        <v>4317</v>
      </c>
      <c r="K1060" s="8">
        <v>0.32</v>
      </c>
      <c r="L1060" s="9" t="s">
        <v>2136</v>
      </c>
      <c r="M1060" s="24" t="s">
        <v>5649</v>
      </c>
      <c r="N1060" t="s">
        <v>5548</v>
      </c>
    </row>
    <row r="1061" spans="1:14" x14ac:dyDescent="0.3">
      <c r="A1061" s="3">
        <v>2672136</v>
      </c>
      <c r="B1061" s="4" t="s">
        <v>1898</v>
      </c>
      <c r="C1061" s="5">
        <v>1581023</v>
      </c>
      <c r="D1061" s="5" t="s">
        <v>74</v>
      </c>
      <c r="E1061" s="3" t="s">
        <v>5310</v>
      </c>
      <c r="F1061" s="6">
        <v>60</v>
      </c>
      <c r="G1061" s="6">
        <v>56</v>
      </c>
      <c r="H1061" s="6" t="s">
        <v>14</v>
      </c>
      <c r="I1061" s="7">
        <v>32</v>
      </c>
      <c r="J1061" s="3" t="s">
        <v>4317</v>
      </c>
      <c r="K1061" s="8">
        <v>0.34</v>
      </c>
      <c r="L1061" s="9" t="s">
        <v>2137</v>
      </c>
      <c r="M1061" s="24" t="s">
        <v>5667</v>
      </c>
      <c r="N1061" t="s">
        <v>5548</v>
      </c>
    </row>
    <row r="1062" spans="1:14" x14ac:dyDescent="0.3">
      <c r="A1062" s="3">
        <v>2665137</v>
      </c>
      <c r="B1062" s="4" t="s">
        <v>1898</v>
      </c>
      <c r="C1062" s="5">
        <v>1624002</v>
      </c>
      <c r="D1062" s="5" t="s">
        <v>4792</v>
      </c>
      <c r="E1062" s="3" t="s">
        <v>6044</v>
      </c>
      <c r="F1062" s="6">
        <v>60</v>
      </c>
      <c r="G1062" s="6">
        <v>56.5</v>
      </c>
      <c r="H1062" s="6">
        <v>52.5</v>
      </c>
      <c r="I1062" s="7">
        <v>32</v>
      </c>
      <c r="J1062" s="3" t="s">
        <v>4317</v>
      </c>
      <c r="K1062" s="8">
        <v>0.32</v>
      </c>
      <c r="L1062" s="9" t="s">
        <v>2138</v>
      </c>
      <c r="M1062" s="9" t="s">
        <v>4974</v>
      </c>
    </row>
    <row r="1063" spans="1:14" x14ac:dyDescent="0.3">
      <c r="A1063" s="3">
        <v>2711138</v>
      </c>
      <c r="B1063" s="4" t="s">
        <v>1898</v>
      </c>
      <c r="C1063" s="5">
        <v>159002</v>
      </c>
      <c r="D1063" s="5" t="s">
        <v>154</v>
      </c>
      <c r="E1063" s="3" t="s">
        <v>2139</v>
      </c>
      <c r="F1063" s="6">
        <v>65.900000000000006</v>
      </c>
      <c r="G1063" s="6">
        <v>48.2</v>
      </c>
      <c r="H1063" s="6">
        <v>29.2</v>
      </c>
      <c r="I1063" s="7" t="s">
        <v>4315</v>
      </c>
      <c r="J1063" s="3" t="s">
        <v>4317</v>
      </c>
      <c r="K1063" s="8" t="s">
        <v>4519</v>
      </c>
      <c r="L1063" s="9" t="s">
        <v>2140</v>
      </c>
      <c r="M1063" s="1" t="s">
        <v>2141</v>
      </c>
    </row>
    <row r="1064" spans="1:14" x14ac:dyDescent="0.3">
      <c r="A1064" s="3">
        <v>2720139</v>
      </c>
      <c r="B1064" s="4" t="s">
        <v>1898</v>
      </c>
      <c r="C1064" s="5">
        <v>1569003</v>
      </c>
      <c r="D1064" s="5" t="s">
        <v>264</v>
      </c>
      <c r="E1064" s="3" t="s">
        <v>2139</v>
      </c>
      <c r="F1064" s="6">
        <v>65</v>
      </c>
      <c r="G1064" s="6">
        <v>13.8</v>
      </c>
      <c r="H1064" s="6">
        <v>0</v>
      </c>
      <c r="I1064" s="7" t="s">
        <v>4315</v>
      </c>
      <c r="J1064" s="3" t="s">
        <v>4317</v>
      </c>
      <c r="K1064" s="8" t="s">
        <v>4567</v>
      </c>
      <c r="L1064" s="9" t="s">
        <v>2142</v>
      </c>
      <c r="M1064" s="1" t="s">
        <v>2143</v>
      </c>
    </row>
    <row r="1065" spans="1:14" x14ac:dyDescent="0.3">
      <c r="A1065" s="3">
        <v>2721140</v>
      </c>
      <c r="B1065" s="4" t="s">
        <v>1898</v>
      </c>
      <c r="C1065" s="5">
        <v>1569003</v>
      </c>
      <c r="D1065" s="5" t="s">
        <v>267</v>
      </c>
      <c r="E1065" s="3" t="s">
        <v>2139</v>
      </c>
      <c r="F1065" s="6">
        <v>47.5</v>
      </c>
      <c r="G1065" s="6">
        <v>13.8</v>
      </c>
      <c r="H1065" s="6">
        <v>0</v>
      </c>
      <c r="I1065" s="7" t="s">
        <v>4315</v>
      </c>
      <c r="J1065" s="3" t="s">
        <v>4317</v>
      </c>
      <c r="K1065" s="8" t="s">
        <v>4599</v>
      </c>
      <c r="L1065" s="9" t="s">
        <v>2144</v>
      </c>
      <c r="M1065" s="1" t="s">
        <v>2145</v>
      </c>
    </row>
    <row r="1066" spans="1:14" x14ac:dyDescent="0.3">
      <c r="A1066" s="3">
        <v>2719141</v>
      </c>
      <c r="B1066" s="4" t="s">
        <v>1898</v>
      </c>
      <c r="C1066" s="5">
        <v>1569004</v>
      </c>
      <c r="D1066" s="5" t="s">
        <v>74</v>
      </c>
      <c r="E1066" s="3" t="s">
        <v>2139</v>
      </c>
      <c r="F1066" s="6">
        <v>65</v>
      </c>
      <c r="G1066" s="6">
        <v>47.5</v>
      </c>
      <c r="H1066" s="6">
        <v>0</v>
      </c>
      <c r="I1066" s="7" t="s">
        <v>4315</v>
      </c>
      <c r="J1066" s="3" t="s">
        <v>4317</v>
      </c>
      <c r="K1066" s="8" t="s">
        <v>4648</v>
      </c>
      <c r="L1066" s="9" t="s">
        <v>2146</v>
      </c>
      <c r="M1066" s="1" t="s">
        <v>2147</v>
      </c>
    </row>
    <row r="1067" spans="1:14" x14ac:dyDescent="0.3">
      <c r="A1067" s="3">
        <v>2714142</v>
      </c>
      <c r="B1067" s="4" t="s">
        <v>1898</v>
      </c>
      <c r="C1067" s="5">
        <v>1569005</v>
      </c>
      <c r="D1067" s="5" t="s">
        <v>392</v>
      </c>
      <c r="E1067" s="3" t="s">
        <v>2139</v>
      </c>
      <c r="F1067" s="6">
        <v>67.8</v>
      </c>
      <c r="G1067" s="6">
        <v>50.6</v>
      </c>
      <c r="H1067" s="6">
        <v>8.4</v>
      </c>
      <c r="I1067" s="7" t="s">
        <v>4315</v>
      </c>
      <c r="J1067" s="3" t="s">
        <v>4317</v>
      </c>
      <c r="K1067" s="8" t="s">
        <v>4321</v>
      </c>
      <c r="L1067" s="9" t="s">
        <v>2148</v>
      </c>
      <c r="M1067" s="1" t="s">
        <v>2149</v>
      </c>
    </row>
    <row r="1068" spans="1:14" x14ac:dyDescent="0.3">
      <c r="A1068" s="3">
        <v>2711143</v>
      </c>
      <c r="B1068" s="4" t="s">
        <v>1898</v>
      </c>
      <c r="C1068" s="5">
        <v>1567003</v>
      </c>
      <c r="D1068" s="5" t="s">
        <v>154</v>
      </c>
      <c r="E1068" s="3" t="s">
        <v>2150</v>
      </c>
      <c r="F1068" s="6">
        <v>60.9</v>
      </c>
      <c r="G1068" s="6">
        <v>57.1</v>
      </c>
      <c r="H1068" s="6">
        <v>35.4</v>
      </c>
      <c r="I1068" s="7" t="s">
        <v>4315</v>
      </c>
      <c r="J1068" s="3" t="s">
        <v>4317</v>
      </c>
      <c r="K1068" s="8" t="s">
        <v>4325</v>
      </c>
      <c r="L1068" s="9" t="s">
        <v>2151</v>
      </c>
      <c r="M1068" s="1" t="s">
        <v>2152</v>
      </c>
    </row>
    <row r="1069" spans="1:14" x14ac:dyDescent="0.3">
      <c r="A1069" s="3">
        <v>2720144</v>
      </c>
      <c r="B1069" s="4" t="s">
        <v>1898</v>
      </c>
      <c r="C1069" s="5">
        <v>1567004</v>
      </c>
      <c r="D1069" s="5" t="s">
        <v>264</v>
      </c>
      <c r="E1069" s="3" t="s">
        <v>2153</v>
      </c>
      <c r="F1069" s="6">
        <v>68</v>
      </c>
      <c r="G1069" s="6">
        <v>17</v>
      </c>
      <c r="H1069" s="6">
        <v>0</v>
      </c>
      <c r="I1069" s="7" t="s">
        <v>4315</v>
      </c>
      <c r="J1069" s="3" t="s">
        <v>4317</v>
      </c>
      <c r="K1069" s="8" t="s">
        <v>4606</v>
      </c>
      <c r="L1069" s="9" t="s">
        <v>2154</v>
      </c>
      <c r="M1069" s="1" t="s">
        <v>2155</v>
      </c>
    </row>
    <row r="1070" spans="1:14" x14ac:dyDescent="0.3">
      <c r="A1070" s="3">
        <v>2721145</v>
      </c>
      <c r="B1070" s="4" t="s">
        <v>1898</v>
      </c>
      <c r="C1070" s="5">
        <v>1567004</v>
      </c>
      <c r="D1070" s="5" t="s">
        <v>267</v>
      </c>
      <c r="E1070" s="3" t="s">
        <v>2156</v>
      </c>
      <c r="F1070" s="6">
        <v>56</v>
      </c>
      <c r="G1070" s="6">
        <v>17</v>
      </c>
      <c r="H1070" s="6">
        <v>0</v>
      </c>
      <c r="I1070" s="7" t="s">
        <v>4315</v>
      </c>
      <c r="J1070" s="3" t="s">
        <v>4317</v>
      </c>
      <c r="K1070" s="8" t="s">
        <v>4465</v>
      </c>
      <c r="L1070" s="9" t="s">
        <v>2157</v>
      </c>
      <c r="M1070" s="1" t="s">
        <v>2158</v>
      </c>
    </row>
    <row r="1071" spans="1:14" x14ac:dyDescent="0.3">
      <c r="A1071" s="3">
        <v>2719146</v>
      </c>
      <c r="B1071" s="4" t="s">
        <v>1898</v>
      </c>
      <c r="C1071" s="5">
        <v>1567005</v>
      </c>
      <c r="D1071" s="5" t="s">
        <v>74</v>
      </c>
      <c r="E1071" s="3" t="s">
        <v>2156</v>
      </c>
      <c r="F1071" s="6">
        <v>56</v>
      </c>
      <c r="G1071" s="6">
        <v>50</v>
      </c>
      <c r="H1071" s="6">
        <v>0</v>
      </c>
      <c r="I1071" s="7" t="s">
        <v>4315</v>
      </c>
      <c r="J1071" s="3" t="s">
        <v>4317</v>
      </c>
      <c r="K1071" s="8" t="s">
        <v>4321</v>
      </c>
      <c r="L1071" s="9" t="s">
        <v>2159</v>
      </c>
      <c r="M1071" s="1" t="s">
        <v>2160</v>
      </c>
    </row>
    <row r="1072" spans="1:14" x14ac:dyDescent="0.3">
      <c r="A1072" s="3">
        <v>2714147</v>
      </c>
      <c r="B1072" s="4" t="s">
        <v>1898</v>
      </c>
      <c r="C1072" s="5">
        <v>1567006</v>
      </c>
      <c r="D1072" s="5" t="s">
        <v>392</v>
      </c>
      <c r="E1072" s="3" t="s">
        <v>2156</v>
      </c>
      <c r="F1072" s="6">
        <v>62.8</v>
      </c>
      <c r="G1072" s="6">
        <v>59.6</v>
      </c>
      <c r="H1072" s="6">
        <v>8.4</v>
      </c>
      <c r="I1072" s="7" t="s">
        <v>4315</v>
      </c>
      <c r="J1072" s="3" t="s">
        <v>4317</v>
      </c>
      <c r="K1072" s="8" t="s">
        <v>4337</v>
      </c>
      <c r="L1072" s="9" t="s">
        <v>2161</v>
      </c>
      <c r="M1072" s="1" t="s">
        <v>2162</v>
      </c>
    </row>
    <row r="1073" spans="1:14" x14ac:dyDescent="0.3">
      <c r="A1073" s="3">
        <v>2711148</v>
      </c>
      <c r="B1073" s="4" t="s">
        <v>1898</v>
      </c>
      <c r="C1073" s="5">
        <v>1567003</v>
      </c>
      <c r="D1073" s="5" t="s">
        <v>154</v>
      </c>
      <c r="E1073" s="3" t="s">
        <v>2163</v>
      </c>
      <c r="F1073" s="6">
        <v>60.9</v>
      </c>
      <c r="G1073" s="6">
        <v>57.1</v>
      </c>
      <c r="H1073" s="6">
        <v>35.4</v>
      </c>
      <c r="I1073" s="7" t="s">
        <v>4315</v>
      </c>
      <c r="J1073" s="3" t="s">
        <v>4317</v>
      </c>
      <c r="K1073" s="8" t="s">
        <v>4325</v>
      </c>
      <c r="L1073" s="9" t="s">
        <v>2164</v>
      </c>
      <c r="M1073" s="1" t="s">
        <v>2165</v>
      </c>
    </row>
    <row r="1074" spans="1:14" x14ac:dyDescent="0.3">
      <c r="A1074" s="3">
        <v>2720149</v>
      </c>
      <c r="B1074" s="4" t="s">
        <v>1898</v>
      </c>
      <c r="C1074" s="5">
        <v>1567004</v>
      </c>
      <c r="D1074" s="5" t="s">
        <v>264</v>
      </c>
      <c r="E1074" s="3" t="s">
        <v>2163</v>
      </c>
      <c r="F1074" s="6">
        <v>68</v>
      </c>
      <c r="G1074" s="6">
        <v>17</v>
      </c>
      <c r="H1074" s="6">
        <v>0</v>
      </c>
      <c r="I1074" s="7" t="s">
        <v>4315</v>
      </c>
      <c r="J1074" s="3" t="s">
        <v>4317</v>
      </c>
      <c r="K1074" s="8" t="s">
        <v>4606</v>
      </c>
      <c r="L1074" s="9" t="s">
        <v>2166</v>
      </c>
      <c r="M1074" s="1" t="s">
        <v>2167</v>
      </c>
    </row>
    <row r="1075" spans="1:14" x14ac:dyDescent="0.3">
      <c r="A1075" s="3">
        <v>2721150</v>
      </c>
      <c r="B1075" s="4" t="s">
        <v>1898</v>
      </c>
      <c r="C1075" s="5">
        <v>1567004</v>
      </c>
      <c r="D1075" s="5" t="s">
        <v>267</v>
      </c>
      <c r="E1075" s="3" t="s">
        <v>2163</v>
      </c>
      <c r="F1075" s="6">
        <v>56</v>
      </c>
      <c r="G1075" s="6">
        <v>17</v>
      </c>
      <c r="H1075" s="6">
        <v>0</v>
      </c>
      <c r="I1075" s="7" t="s">
        <v>4315</v>
      </c>
      <c r="J1075" s="3" t="s">
        <v>4317</v>
      </c>
      <c r="K1075" s="8" t="s">
        <v>4465</v>
      </c>
      <c r="L1075" s="9" t="s">
        <v>2168</v>
      </c>
      <c r="M1075" s="1" t="s">
        <v>2169</v>
      </c>
    </row>
    <row r="1076" spans="1:14" x14ac:dyDescent="0.3">
      <c r="A1076" s="3">
        <v>2714152</v>
      </c>
      <c r="B1076" s="4" t="s">
        <v>1898</v>
      </c>
      <c r="C1076" s="5">
        <v>1562023</v>
      </c>
      <c r="D1076" s="5" t="s">
        <v>392</v>
      </c>
      <c r="E1076" s="3" t="s">
        <v>2163</v>
      </c>
      <c r="F1076" s="6">
        <v>62.8</v>
      </c>
      <c r="G1076" s="6">
        <v>59.6</v>
      </c>
      <c r="H1076" s="6">
        <v>8.4</v>
      </c>
      <c r="I1076" s="7" t="s">
        <v>4315</v>
      </c>
      <c r="J1076" s="3" t="s">
        <v>4317</v>
      </c>
      <c r="K1076" s="8" t="s">
        <v>4337</v>
      </c>
      <c r="L1076" s="9" t="s">
        <v>2170</v>
      </c>
      <c r="M1076" s="1" t="s">
        <v>2171</v>
      </c>
    </row>
    <row r="1077" spans="1:14" x14ac:dyDescent="0.3">
      <c r="A1077" s="3">
        <v>2711153</v>
      </c>
      <c r="B1077" s="4" t="s">
        <v>1898</v>
      </c>
      <c r="C1077" s="5">
        <v>1566002</v>
      </c>
      <c r="D1077" s="5" t="s">
        <v>154</v>
      </c>
      <c r="E1077" s="3" t="s">
        <v>2172</v>
      </c>
      <c r="F1077" s="6">
        <v>60.9</v>
      </c>
      <c r="G1077" s="6">
        <v>57.1</v>
      </c>
      <c r="H1077" s="6">
        <v>25.4</v>
      </c>
      <c r="I1077" s="7" t="s">
        <v>4315</v>
      </c>
      <c r="J1077" s="3" t="s">
        <v>4317</v>
      </c>
      <c r="K1077" s="8" t="s">
        <v>4574</v>
      </c>
      <c r="L1077" s="9" t="s">
        <v>2173</v>
      </c>
      <c r="M1077" s="1" t="s">
        <v>2174</v>
      </c>
    </row>
    <row r="1078" spans="1:14" x14ac:dyDescent="0.3">
      <c r="A1078" s="3">
        <v>2720154</v>
      </c>
      <c r="B1078" s="4" t="s">
        <v>1898</v>
      </c>
      <c r="C1078" s="5">
        <v>1566003</v>
      </c>
      <c r="D1078" s="5" t="s">
        <v>264</v>
      </c>
      <c r="E1078" s="3" t="s">
        <v>2172</v>
      </c>
      <c r="F1078" s="6">
        <v>60</v>
      </c>
      <c r="G1078" s="6">
        <v>24.5</v>
      </c>
      <c r="H1078" s="6">
        <v>0</v>
      </c>
      <c r="I1078" s="7" t="s">
        <v>4315</v>
      </c>
      <c r="J1078" s="3" t="s">
        <v>4317</v>
      </c>
      <c r="K1078" s="8" t="s">
        <v>4358</v>
      </c>
      <c r="L1078" s="9" t="s">
        <v>2175</v>
      </c>
      <c r="M1078" s="1" t="s">
        <v>2176</v>
      </c>
    </row>
    <row r="1079" spans="1:14" x14ac:dyDescent="0.3">
      <c r="A1079" s="3">
        <v>2721155</v>
      </c>
      <c r="B1079" s="4" t="s">
        <v>1898</v>
      </c>
      <c r="C1079" s="5">
        <v>1566003</v>
      </c>
      <c r="D1079" s="5" t="s">
        <v>267</v>
      </c>
      <c r="E1079" s="3" t="s">
        <v>2172</v>
      </c>
      <c r="F1079" s="6">
        <v>56</v>
      </c>
      <c r="G1079" s="6">
        <v>24.5</v>
      </c>
      <c r="H1079" s="6">
        <v>0</v>
      </c>
      <c r="I1079" s="7" t="s">
        <v>4315</v>
      </c>
      <c r="J1079" s="3" t="s">
        <v>4317</v>
      </c>
      <c r="K1079" s="8" t="s">
        <v>4590</v>
      </c>
      <c r="L1079" s="9" t="s">
        <v>2177</v>
      </c>
      <c r="M1079" s="1" t="s">
        <v>2178</v>
      </c>
    </row>
    <row r="1080" spans="1:14" x14ac:dyDescent="0.3">
      <c r="A1080" s="3">
        <v>2714156</v>
      </c>
      <c r="B1080" s="4" t="s">
        <v>1898</v>
      </c>
      <c r="C1080" s="5">
        <v>1562023</v>
      </c>
      <c r="D1080" s="5" t="s">
        <v>13</v>
      </c>
      <c r="E1080" s="3" t="s">
        <v>2172</v>
      </c>
      <c r="F1080" s="6">
        <v>62.8</v>
      </c>
      <c r="G1080" s="6">
        <v>59.6</v>
      </c>
      <c r="H1080" s="6">
        <v>8.4</v>
      </c>
      <c r="I1080" s="7" t="s">
        <v>4315</v>
      </c>
      <c r="J1080" s="3" t="s">
        <v>4317</v>
      </c>
      <c r="K1080" s="8" t="s">
        <v>4337</v>
      </c>
      <c r="L1080" s="9" t="s">
        <v>2179</v>
      </c>
      <c r="M1080" s="1" t="s">
        <v>2180</v>
      </c>
    </row>
    <row r="1081" spans="1:14" x14ac:dyDescent="0.3">
      <c r="A1081" s="3">
        <v>2711157</v>
      </c>
      <c r="B1081" s="4" t="s">
        <v>1898</v>
      </c>
      <c r="C1081" s="5">
        <v>1564001</v>
      </c>
      <c r="D1081" s="5" t="s">
        <v>154</v>
      </c>
      <c r="E1081" s="3" t="s">
        <v>2181</v>
      </c>
      <c r="F1081" s="6">
        <v>60.9</v>
      </c>
      <c r="G1081" s="6">
        <v>57.1</v>
      </c>
      <c r="H1081" s="6">
        <v>12.9</v>
      </c>
      <c r="I1081" s="7" t="s">
        <v>4315</v>
      </c>
      <c r="J1081" s="3" t="s">
        <v>4317</v>
      </c>
      <c r="K1081" s="8" t="s">
        <v>4333</v>
      </c>
      <c r="L1081" s="9" t="s">
        <v>2182</v>
      </c>
      <c r="M1081" s="1" t="s">
        <v>2183</v>
      </c>
    </row>
    <row r="1082" spans="1:14" x14ac:dyDescent="0.3">
      <c r="A1082" s="3">
        <v>2720158</v>
      </c>
      <c r="B1082" s="4" t="s">
        <v>1898</v>
      </c>
      <c r="C1082" s="5">
        <v>1564002</v>
      </c>
      <c r="D1082" s="5" t="s">
        <v>264</v>
      </c>
      <c r="E1082" s="3" t="s">
        <v>2181</v>
      </c>
      <c r="F1082" s="6">
        <v>60</v>
      </c>
      <c r="G1082" s="6">
        <v>12</v>
      </c>
      <c r="H1082" s="6">
        <v>0</v>
      </c>
      <c r="I1082" s="7" t="s">
        <v>4315</v>
      </c>
      <c r="J1082" s="3" t="s">
        <v>4317</v>
      </c>
      <c r="K1082" s="8" t="s">
        <v>4465</v>
      </c>
      <c r="L1082" s="9" t="s">
        <v>2184</v>
      </c>
      <c r="M1082" s="1" t="s">
        <v>2185</v>
      </c>
    </row>
    <row r="1083" spans="1:14" x14ac:dyDescent="0.3">
      <c r="A1083" s="3">
        <v>2721159</v>
      </c>
      <c r="B1083" s="4" t="s">
        <v>1898</v>
      </c>
      <c r="C1083" s="5">
        <v>1564002</v>
      </c>
      <c r="D1083" s="5" t="s">
        <v>267</v>
      </c>
      <c r="E1083" s="3" t="s">
        <v>2181</v>
      </c>
      <c r="F1083" s="6">
        <v>56</v>
      </c>
      <c r="G1083" s="6">
        <v>12</v>
      </c>
      <c r="H1083" s="6">
        <v>0</v>
      </c>
      <c r="I1083" s="7" t="s">
        <v>4315</v>
      </c>
      <c r="J1083" s="3" t="s">
        <v>4317</v>
      </c>
      <c r="K1083" s="8" t="s">
        <v>4428</v>
      </c>
      <c r="L1083" s="9" t="s">
        <v>2186</v>
      </c>
      <c r="M1083" s="1" t="s">
        <v>2187</v>
      </c>
    </row>
    <row r="1084" spans="1:14" x14ac:dyDescent="0.3">
      <c r="A1084" s="3">
        <v>2714160</v>
      </c>
      <c r="B1084" s="4" t="s">
        <v>1898</v>
      </c>
      <c r="C1084" s="5">
        <v>1562023</v>
      </c>
      <c r="D1084" s="5" t="s">
        <v>392</v>
      </c>
      <c r="E1084" s="3" t="s">
        <v>2181</v>
      </c>
      <c r="F1084" s="6">
        <v>62.8</v>
      </c>
      <c r="G1084" s="6">
        <v>59.6</v>
      </c>
      <c r="H1084" s="6">
        <v>8.4</v>
      </c>
      <c r="I1084" s="7" t="s">
        <v>4315</v>
      </c>
      <c r="J1084" s="3" t="s">
        <v>4317</v>
      </c>
      <c r="K1084" s="8" t="s">
        <v>4337</v>
      </c>
      <c r="L1084" s="9" t="s">
        <v>2188</v>
      </c>
      <c r="M1084" s="1" t="s">
        <v>2189</v>
      </c>
    </row>
    <row r="1085" spans="1:14" x14ac:dyDescent="0.3">
      <c r="A1085" s="3">
        <v>2711161</v>
      </c>
      <c r="B1085" s="4" t="s">
        <v>1898</v>
      </c>
      <c r="C1085" s="5" t="s">
        <v>2190</v>
      </c>
      <c r="D1085" s="5" t="s">
        <v>154</v>
      </c>
      <c r="E1085" s="3" t="s">
        <v>2181</v>
      </c>
      <c r="F1085" s="6" t="s">
        <v>14</v>
      </c>
      <c r="G1085" s="6" t="s">
        <v>14</v>
      </c>
      <c r="H1085" s="6" t="s">
        <v>14</v>
      </c>
      <c r="I1085" s="7" t="s">
        <v>4315</v>
      </c>
      <c r="J1085" s="3" t="s">
        <v>4317</v>
      </c>
      <c r="K1085" s="8" t="s">
        <v>14</v>
      </c>
      <c r="L1085" s="9" t="s">
        <v>2191</v>
      </c>
      <c r="M1085" s="1" t="s">
        <v>2192</v>
      </c>
    </row>
    <row r="1086" spans="1:14" x14ac:dyDescent="0.3">
      <c r="A1086" s="3">
        <v>2708162</v>
      </c>
      <c r="B1086" s="4" t="s">
        <v>1898</v>
      </c>
      <c r="C1086" s="5">
        <v>1065018</v>
      </c>
      <c r="D1086" s="5" t="s">
        <v>3893</v>
      </c>
      <c r="E1086" s="3" t="s">
        <v>5380</v>
      </c>
      <c r="F1086" s="6" t="s">
        <v>5376</v>
      </c>
      <c r="G1086" s="6" t="s">
        <v>5381</v>
      </c>
      <c r="H1086" s="6" t="s">
        <v>14</v>
      </c>
      <c r="I1086" s="7" t="s">
        <v>5382</v>
      </c>
      <c r="J1086" s="3" t="s">
        <v>14</v>
      </c>
      <c r="K1086" s="8" t="s">
        <v>14</v>
      </c>
      <c r="L1086" s="9" t="s">
        <v>2193</v>
      </c>
      <c r="M1086" s="24" t="s">
        <v>5654</v>
      </c>
      <c r="N1086" t="s">
        <v>5548</v>
      </c>
    </row>
    <row r="1087" spans="1:14" x14ac:dyDescent="0.3">
      <c r="A1087" s="3">
        <v>2705163</v>
      </c>
      <c r="B1087" s="4" t="s">
        <v>1898</v>
      </c>
      <c r="C1087" s="5">
        <v>1075012</v>
      </c>
      <c r="D1087" s="5" t="s">
        <v>3893</v>
      </c>
      <c r="E1087" s="3" t="s">
        <v>5383</v>
      </c>
      <c r="F1087" s="6" t="s">
        <v>5376</v>
      </c>
      <c r="G1087" s="6" t="s">
        <v>5384</v>
      </c>
      <c r="H1087" s="6" t="s">
        <v>14</v>
      </c>
      <c r="I1087" s="7" t="s">
        <v>5385</v>
      </c>
      <c r="J1087" s="3" t="s">
        <v>14</v>
      </c>
      <c r="K1087" s="8" t="s">
        <v>14</v>
      </c>
      <c r="L1087" s="9" t="s">
        <v>2194</v>
      </c>
      <c r="M1087" s="24" t="s">
        <v>5655</v>
      </c>
      <c r="N1087" t="s">
        <v>5548</v>
      </c>
    </row>
    <row r="1088" spans="1:14" x14ac:dyDescent="0.3">
      <c r="A1088" s="3">
        <v>2714164</v>
      </c>
      <c r="B1088" s="4" t="s">
        <v>1898</v>
      </c>
      <c r="C1088" s="5">
        <v>1562023</v>
      </c>
      <c r="D1088" s="5" t="s">
        <v>392</v>
      </c>
      <c r="E1088" s="3" t="s">
        <v>2181</v>
      </c>
      <c r="F1088" s="6" t="s">
        <v>14</v>
      </c>
      <c r="G1088" s="6" t="s">
        <v>14</v>
      </c>
      <c r="H1088" s="6" t="s">
        <v>14</v>
      </c>
      <c r="I1088" s="7" t="s">
        <v>4315</v>
      </c>
      <c r="J1088" s="3" t="s">
        <v>4317</v>
      </c>
      <c r="K1088" s="8" t="s">
        <v>14</v>
      </c>
      <c r="L1088" s="9" t="s">
        <v>2195</v>
      </c>
      <c r="M1088" s="1" t="s">
        <v>2196</v>
      </c>
    </row>
    <row r="1089" spans="1:13" x14ac:dyDescent="0.3">
      <c r="A1089" s="3">
        <v>2711165</v>
      </c>
      <c r="B1089" s="4" t="s">
        <v>1898</v>
      </c>
      <c r="C1089" s="5">
        <v>1562021</v>
      </c>
      <c r="D1089" s="5" t="s">
        <v>154</v>
      </c>
      <c r="E1089" s="3" t="s">
        <v>2197</v>
      </c>
      <c r="F1089" s="6">
        <v>60.9</v>
      </c>
      <c r="G1089" s="6">
        <v>57.1</v>
      </c>
      <c r="H1089" s="6">
        <v>29.4</v>
      </c>
      <c r="I1089" s="7" t="s">
        <v>4315</v>
      </c>
      <c r="J1089" s="3" t="s">
        <v>4317</v>
      </c>
      <c r="K1089" s="8" t="s">
        <v>4669</v>
      </c>
      <c r="L1089" s="9" t="s">
        <v>2198</v>
      </c>
      <c r="M1089" s="1" t="s">
        <v>2199</v>
      </c>
    </row>
    <row r="1090" spans="1:13" x14ac:dyDescent="0.3">
      <c r="A1090" s="3">
        <v>2720166</v>
      </c>
      <c r="B1090" s="4" t="s">
        <v>1898</v>
      </c>
      <c r="C1090" s="5">
        <v>1562022</v>
      </c>
      <c r="D1090" s="5" t="s">
        <v>2200</v>
      </c>
      <c r="E1090" s="3" t="s">
        <v>2197</v>
      </c>
      <c r="F1090" s="6">
        <v>60</v>
      </c>
      <c r="G1090" s="6">
        <v>28.5</v>
      </c>
      <c r="H1090" s="6">
        <v>0</v>
      </c>
      <c r="I1090" s="7" t="s">
        <v>4315</v>
      </c>
      <c r="J1090" s="3" t="s">
        <v>4317</v>
      </c>
      <c r="K1090" s="8" t="s">
        <v>4598</v>
      </c>
      <c r="L1090" s="9" t="s">
        <v>2201</v>
      </c>
      <c r="M1090" s="1" t="s">
        <v>2202</v>
      </c>
    </row>
    <row r="1091" spans="1:13" x14ac:dyDescent="0.3">
      <c r="A1091" s="3">
        <v>2721167</v>
      </c>
      <c r="B1091" s="4" t="s">
        <v>1898</v>
      </c>
      <c r="C1091" s="5">
        <v>1562022</v>
      </c>
      <c r="D1091" s="5" t="s">
        <v>267</v>
      </c>
      <c r="E1091" s="3" t="s">
        <v>2197</v>
      </c>
      <c r="F1091" s="6">
        <v>56</v>
      </c>
      <c r="G1091" s="6">
        <v>28.5</v>
      </c>
      <c r="H1091" s="6">
        <v>0</v>
      </c>
      <c r="I1091" s="7" t="s">
        <v>4315</v>
      </c>
      <c r="J1091" s="3" t="s">
        <v>4317</v>
      </c>
      <c r="K1091" s="8" t="s">
        <v>4431</v>
      </c>
      <c r="L1091" s="9" t="s">
        <v>2203</v>
      </c>
      <c r="M1091" s="1" t="s">
        <v>2204</v>
      </c>
    </row>
    <row r="1092" spans="1:13" x14ac:dyDescent="0.3">
      <c r="A1092" s="3">
        <v>2714168</v>
      </c>
      <c r="B1092" s="4" t="s">
        <v>1898</v>
      </c>
      <c r="C1092" s="5">
        <v>1562023</v>
      </c>
      <c r="D1092" s="5" t="s">
        <v>392</v>
      </c>
      <c r="E1092" s="3" t="s">
        <v>2197</v>
      </c>
      <c r="F1092" s="6">
        <v>62.8</v>
      </c>
      <c r="G1092" s="6">
        <v>59.6</v>
      </c>
      <c r="H1092" s="6">
        <v>8.4</v>
      </c>
      <c r="I1092" s="7" t="s">
        <v>4315</v>
      </c>
      <c r="J1092" s="3" t="s">
        <v>4317</v>
      </c>
      <c r="K1092" s="8" t="s">
        <v>4337</v>
      </c>
      <c r="L1092" s="9" t="s">
        <v>2205</v>
      </c>
      <c r="M1092" s="1" t="s">
        <v>2206</v>
      </c>
    </row>
    <row r="1093" spans="1:13" x14ac:dyDescent="0.3">
      <c r="A1093" s="3">
        <v>2711169</v>
      </c>
      <c r="B1093" s="4" t="s">
        <v>1898</v>
      </c>
      <c r="C1093" s="5">
        <v>1563013</v>
      </c>
      <c r="D1093" s="5" t="s">
        <v>154</v>
      </c>
      <c r="E1093" s="3" t="s">
        <v>2207</v>
      </c>
      <c r="F1093" s="6">
        <v>60.9</v>
      </c>
      <c r="G1093" s="6">
        <v>57.1</v>
      </c>
      <c r="H1093" s="6">
        <v>22.9</v>
      </c>
      <c r="I1093" s="7" t="s">
        <v>4315</v>
      </c>
      <c r="J1093" s="3" t="s">
        <v>4317</v>
      </c>
      <c r="K1093" s="8" t="s">
        <v>4519</v>
      </c>
      <c r="L1093" s="9" t="s">
        <v>2208</v>
      </c>
      <c r="M1093" s="1" t="s">
        <v>2209</v>
      </c>
    </row>
    <row r="1094" spans="1:13" x14ac:dyDescent="0.3">
      <c r="A1094" s="3">
        <v>2720170</v>
      </c>
      <c r="B1094" s="4" t="s">
        <v>1898</v>
      </c>
      <c r="C1094" s="5">
        <v>1563014</v>
      </c>
      <c r="D1094" s="5" t="s">
        <v>264</v>
      </c>
      <c r="E1094" s="3" t="s">
        <v>2207</v>
      </c>
      <c r="F1094" s="6">
        <v>60</v>
      </c>
      <c r="G1094" s="6">
        <v>22</v>
      </c>
      <c r="H1094" s="6">
        <v>0</v>
      </c>
      <c r="I1094" s="7" t="s">
        <v>4315</v>
      </c>
      <c r="J1094" s="3" t="s">
        <v>4317</v>
      </c>
      <c r="K1094" s="8" t="s">
        <v>4670</v>
      </c>
      <c r="L1094" s="9" t="s">
        <v>2210</v>
      </c>
      <c r="M1094" s="1" t="s">
        <v>2211</v>
      </c>
    </row>
    <row r="1095" spans="1:13" x14ac:dyDescent="0.3">
      <c r="A1095" s="3">
        <v>2721171</v>
      </c>
      <c r="B1095" s="4" t="s">
        <v>1898</v>
      </c>
      <c r="C1095" s="5">
        <v>1563014</v>
      </c>
      <c r="D1095" s="5" t="s">
        <v>267</v>
      </c>
      <c r="E1095" s="3" t="s">
        <v>2207</v>
      </c>
      <c r="F1095" s="6">
        <v>64</v>
      </c>
      <c r="G1095" s="6">
        <v>22</v>
      </c>
      <c r="H1095" s="6">
        <v>0</v>
      </c>
      <c r="I1095" s="7" t="s">
        <v>4315</v>
      </c>
      <c r="J1095" s="3" t="s">
        <v>4317</v>
      </c>
      <c r="K1095" s="8" t="s">
        <v>4628</v>
      </c>
      <c r="L1095" s="9" t="s">
        <v>2212</v>
      </c>
      <c r="M1095" s="1" t="s">
        <v>2213</v>
      </c>
    </row>
    <row r="1096" spans="1:13" x14ac:dyDescent="0.3">
      <c r="A1096" s="3">
        <v>271472</v>
      </c>
      <c r="B1096" s="4" t="s">
        <v>1898</v>
      </c>
      <c r="C1096" s="5">
        <v>1562023</v>
      </c>
      <c r="D1096" s="5" t="s">
        <v>392</v>
      </c>
      <c r="E1096" s="3" t="s">
        <v>2207</v>
      </c>
      <c r="F1096" s="6">
        <v>62.8</v>
      </c>
      <c r="G1096" s="6">
        <v>59.6</v>
      </c>
      <c r="H1096" s="6">
        <v>8.4</v>
      </c>
      <c r="I1096" s="7" t="s">
        <v>4315</v>
      </c>
      <c r="J1096" s="3" t="s">
        <v>4317</v>
      </c>
      <c r="K1096" s="8" t="s">
        <v>4337</v>
      </c>
      <c r="L1096" s="9" t="s">
        <v>2214</v>
      </c>
      <c r="M1096" s="1" t="s">
        <v>2215</v>
      </c>
    </row>
    <row r="1097" spans="1:13" x14ac:dyDescent="0.3">
      <c r="A1097" s="3">
        <v>271173</v>
      </c>
      <c r="B1097" s="4" t="s">
        <v>1898</v>
      </c>
      <c r="C1097" s="5">
        <v>1014119</v>
      </c>
      <c r="D1097" s="5" t="s">
        <v>154</v>
      </c>
      <c r="E1097" s="3" t="s">
        <v>2216</v>
      </c>
      <c r="F1097" s="6">
        <v>60.9</v>
      </c>
      <c r="G1097" s="6">
        <v>38</v>
      </c>
      <c r="H1097" s="6">
        <v>60.9</v>
      </c>
      <c r="I1097" s="7" t="s">
        <v>4315</v>
      </c>
      <c r="J1097" s="3" t="s">
        <v>4317</v>
      </c>
      <c r="K1097" s="8" t="s">
        <v>4540</v>
      </c>
      <c r="L1097" s="9" t="s">
        <v>2217</v>
      </c>
      <c r="M1097" s="1" t="s">
        <v>2218</v>
      </c>
    </row>
    <row r="1098" spans="1:13" x14ac:dyDescent="0.3">
      <c r="A1098" s="3">
        <v>2720174</v>
      </c>
      <c r="B1098" s="4" t="s">
        <v>1898</v>
      </c>
      <c r="C1098" s="5">
        <v>2720174</v>
      </c>
      <c r="D1098" s="5" t="s">
        <v>264</v>
      </c>
      <c r="E1098" s="3" t="s">
        <v>2216</v>
      </c>
      <c r="F1098" s="6">
        <v>60</v>
      </c>
      <c r="G1098" s="6">
        <v>60</v>
      </c>
      <c r="H1098" s="6">
        <v>0</v>
      </c>
      <c r="I1098" s="7" t="s">
        <v>4315</v>
      </c>
      <c r="J1098" s="3" t="s">
        <v>4317</v>
      </c>
      <c r="K1098" s="8" t="s">
        <v>4320</v>
      </c>
      <c r="L1098" s="9" t="s">
        <v>2219</v>
      </c>
      <c r="M1098" s="1" t="s">
        <v>2220</v>
      </c>
    </row>
    <row r="1099" spans="1:13" x14ac:dyDescent="0.3">
      <c r="A1099" s="3">
        <v>2721175</v>
      </c>
      <c r="B1099" s="4" t="s">
        <v>1898</v>
      </c>
      <c r="C1099" s="5">
        <v>2721175</v>
      </c>
      <c r="D1099" s="5" t="s">
        <v>267</v>
      </c>
      <c r="E1099" s="3" t="s">
        <v>2216</v>
      </c>
      <c r="F1099" s="6">
        <v>37</v>
      </c>
      <c r="G1099" s="6">
        <v>60</v>
      </c>
      <c r="H1099" s="6">
        <v>0</v>
      </c>
      <c r="I1099" s="7" t="s">
        <v>4315</v>
      </c>
      <c r="J1099" s="3" t="s">
        <v>4317</v>
      </c>
      <c r="K1099" s="8" t="s">
        <v>4461</v>
      </c>
      <c r="L1099" s="9" t="s">
        <v>2221</v>
      </c>
      <c r="M1099" s="1" t="s">
        <v>2222</v>
      </c>
    </row>
    <row r="1100" spans="1:13" x14ac:dyDescent="0.3">
      <c r="A1100" s="3">
        <v>2714176</v>
      </c>
      <c r="B1100" s="4" t="s">
        <v>1898</v>
      </c>
      <c r="C1100" s="5">
        <v>2714176</v>
      </c>
      <c r="D1100" s="5" t="s">
        <v>392</v>
      </c>
      <c r="E1100" s="3" t="s">
        <v>2216</v>
      </c>
      <c r="F1100" s="6">
        <v>62.8</v>
      </c>
      <c r="G1100" s="6">
        <v>40.6</v>
      </c>
      <c r="H1100" s="6">
        <v>8.4</v>
      </c>
      <c r="I1100" s="7" t="s">
        <v>4315</v>
      </c>
      <c r="J1100" s="3" t="s">
        <v>4317</v>
      </c>
      <c r="K1100" s="8" t="s">
        <v>4606</v>
      </c>
      <c r="L1100" s="9" t="s">
        <v>2223</v>
      </c>
      <c r="M1100" s="1" t="s">
        <v>2224</v>
      </c>
    </row>
    <row r="1101" spans="1:13" x14ac:dyDescent="0.3">
      <c r="A1101" s="3">
        <v>2711177</v>
      </c>
      <c r="B1101" s="4" t="s">
        <v>1898</v>
      </c>
      <c r="C1101" s="5">
        <v>2711177</v>
      </c>
      <c r="D1101" s="5" t="s">
        <v>154</v>
      </c>
      <c r="E1101" s="3" t="s">
        <v>2225</v>
      </c>
      <c r="F1101" s="6">
        <v>63.4</v>
      </c>
      <c r="G1101" s="6">
        <v>50.9</v>
      </c>
      <c r="H1101" s="6">
        <v>35.4</v>
      </c>
      <c r="I1101" s="7" t="s">
        <v>4315</v>
      </c>
      <c r="J1101" s="3" t="s">
        <v>4317</v>
      </c>
      <c r="K1101" s="8" t="s">
        <v>4584</v>
      </c>
      <c r="L1101" s="9" t="s">
        <v>2226</v>
      </c>
      <c r="M1101" s="1" t="s">
        <v>2227</v>
      </c>
    </row>
    <row r="1102" spans="1:13" x14ac:dyDescent="0.3">
      <c r="A1102" s="3">
        <v>2720178</v>
      </c>
      <c r="B1102" s="4" t="s">
        <v>1898</v>
      </c>
      <c r="C1102" s="5">
        <v>2721179</v>
      </c>
      <c r="D1102" s="5" t="s">
        <v>264</v>
      </c>
      <c r="E1102" s="3" t="s">
        <v>2225</v>
      </c>
      <c r="F1102" s="6">
        <v>62.5</v>
      </c>
      <c r="G1102" s="6">
        <v>34.5</v>
      </c>
      <c r="H1102" s="6">
        <v>0</v>
      </c>
      <c r="I1102" s="7" t="s">
        <v>4315</v>
      </c>
      <c r="J1102" s="3" t="s">
        <v>4317</v>
      </c>
      <c r="K1102" s="8" t="s">
        <v>4555</v>
      </c>
      <c r="L1102" s="9" t="s">
        <v>2228</v>
      </c>
      <c r="M1102" s="1" t="s">
        <v>2229</v>
      </c>
    </row>
    <row r="1103" spans="1:13" x14ac:dyDescent="0.3">
      <c r="A1103" s="3">
        <v>2721179</v>
      </c>
      <c r="B1103" s="4" t="s">
        <v>1898</v>
      </c>
      <c r="C1103" s="5">
        <v>2721179</v>
      </c>
      <c r="D1103" s="5" t="s">
        <v>267</v>
      </c>
      <c r="E1103" s="3" t="s">
        <v>2225</v>
      </c>
      <c r="F1103" s="6">
        <v>50</v>
      </c>
      <c r="G1103" s="6">
        <v>34.5</v>
      </c>
      <c r="H1103" s="6">
        <v>0</v>
      </c>
      <c r="I1103" s="7" t="s">
        <v>4315</v>
      </c>
      <c r="J1103" s="3" t="s">
        <v>4317</v>
      </c>
      <c r="K1103" s="8" t="s">
        <v>4350</v>
      </c>
      <c r="L1103" s="9" t="s">
        <v>2230</v>
      </c>
      <c r="M1103" s="1" t="s">
        <v>2231</v>
      </c>
    </row>
    <row r="1104" spans="1:13" x14ac:dyDescent="0.3">
      <c r="A1104" s="3">
        <v>2714180</v>
      </c>
      <c r="B1104" s="4" t="s">
        <v>1898</v>
      </c>
      <c r="C1104" s="5">
        <v>2714180</v>
      </c>
      <c r="D1104" s="5" t="s">
        <v>392</v>
      </c>
      <c r="E1104" s="3" t="s">
        <v>2225</v>
      </c>
      <c r="F1104" s="6">
        <v>64.8</v>
      </c>
      <c r="G1104" s="6">
        <v>53.6</v>
      </c>
      <c r="H1104" s="6">
        <v>8.4</v>
      </c>
      <c r="I1104" s="7" t="s">
        <v>4315</v>
      </c>
      <c r="J1104" s="3" t="s">
        <v>4317</v>
      </c>
      <c r="K1104" s="8" t="s">
        <v>4340</v>
      </c>
      <c r="L1104" s="9" t="s">
        <v>2232</v>
      </c>
      <c r="M1104" s="1" t="s">
        <v>2233</v>
      </c>
    </row>
    <row r="1105" spans="1:14" x14ac:dyDescent="0.3">
      <c r="A1105" s="3">
        <v>2711181</v>
      </c>
      <c r="B1105" s="4" t="s">
        <v>1898</v>
      </c>
      <c r="C1105" s="5">
        <v>2711181</v>
      </c>
      <c r="D1105" s="5" t="s">
        <v>154</v>
      </c>
      <c r="E1105" s="3" t="s">
        <v>2225</v>
      </c>
      <c r="F1105" s="6">
        <v>60.9</v>
      </c>
      <c r="G1105" s="6">
        <v>57.1</v>
      </c>
      <c r="H1105" s="6">
        <v>35.4</v>
      </c>
      <c r="I1105" s="7" t="s">
        <v>4315</v>
      </c>
      <c r="J1105" s="3" t="s">
        <v>4317</v>
      </c>
      <c r="K1105" s="8" t="s">
        <v>4325</v>
      </c>
      <c r="L1105" s="9" t="s">
        <v>2234</v>
      </c>
      <c r="M1105" s="1" t="s">
        <v>2235</v>
      </c>
    </row>
    <row r="1106" spans="1:14" x14ac:dyDescent="0.3">
      <c r="A1106" s="3">
        <v>2720182</v>
      </c>
      <c r="B1106" s="4" t="s">
        <v>1898</v>
      </c>
      <c r="C1106" s="5">
        <v>2720182</v>
      </c>
      <c r="D1106" s="5" t="s">
        <v>264</v>
      </c>
      <c r="E1106" s="3" t="s">
        <v>2225</v>
      </c>
      <c r="F1106" s="6">
        <v>60</v>
      </c>
      <c r="G1106" s="6">
        <v>34.5</v>
      </c>
      <c r="H1106" s="6">
        <v>0</v>
      </c>
      <c r="I1106" s="7" t="s">
        <v>4315</v>
      </c>
      <c r="J1106" s="3" t="s">
        <v>4317</v>
      </c>
      <c r="K1106" s="8" t="s">
        <v>4600</v>
      </c>
      <c r="L1106" s="9" t="s">
        <v>2236</v>
      </c>
      <c r="M1106" s="1" t="s">
        <v>2237</v>
      </c>
    </row>
    <row r="1107" spans="1:14" x14ac:dyDescent="0.3">
      <c r="A1107" s="3">
        <v>2721183</v>
      </c>
      <c r="B1107" s="4" t="s">
        <v>1898</v>
      </c>
      <c r="C1107" s="5">
        <v>2721183</v>
      </c>
      <c r="D1107" s="5" t="s">
        <v>267</v>
      </c>
      <c r="E1107" s="3" t="s">
        <v>2225</v>
      </c>
      <c r="F1107" s="6">
        <v>56</v>
      </c>
      <c r="G1107" s="6">
        <v>34.5</v>
      </c>
      <c r="H1107" s="6">
        <v>0</v>
      </c>
      <c r="I1107" s="7" t="s">
        <v>4315</v>
      </c>
      <c r="J1107" s="3" t="s">
        <v>4317</v>
      </c>
      <c r="K1107" s="8" t="s">
        <v>4367</v>
      </c>
      <c r="L1107" s="9" t="s">
        <v>2238</v>
      </c>
      <c r="M1107" s="1" t="s">
        <v>2239</v>
      </c>
    </row>
    <row r="1108" spans="1:14" x14ac:dyDescent="0.3">
      <c r="A1108" s="3">
        <v>2714184</v>
      </c>
      <c r="B1108" s="4" t="s">
        <v>1898</v>
      </c>
      <c r="C1108" s="5">
        <v>2714184</v>
      </c>
      <c r="D1108" s="5" t="s">
        <v>392</v>
      </c>
      <c r="E1108" s="3" t="s">
        <v>2225</v>
      </c>
      <c r="F1108" s="6">
        <v>62.8</v>
      </c>
      <c r="G1108" s="6">
        <v>59.6</v>
      </c>
      <c r="H1108" s="6">
        <v>8.4</v>
      </c>
      <c r="I1108" s="7" t="s">
        <v>4315</v>
      </c>
      <c r="J1108" s="3" t="s">
        <v>4317</v>
      </c>
      <c r="K1108" s="8" t="s">
        <v>4337</v>
      </c>
      <c r="L1108" s="9" t="s">
        <v>2240</v>
      </c>
      <c r="M1108" s="1" t="s">
        <v>2241</v>
      </c>
    </row>
    <row r="1109" spans="1:14" x14ac:dyDescent="0.3">
      <c r="A1109" s="3">
        <v>2707185</v>
      </c>
      <c r="B1109" s="4" t="s">
        <v>1898</v>
      </c>
      <c r="C1109" s="5">
        <v>1581015</v>
      </c>
      <c r="D1109" s="5" t="s">
        <v>96</v>
      </c>
      <c r="E1109" s="3" t="s">
        <v>5284</v>
      </c>
      <c r="F1109" s="6">
        <v>61</v>
      </c>
      <c r="G1109" s="6">
        <v>57</v>
      </c>
      <c r="H1109" s="6">
        <v>35.299999999999997</v>
      </c>
      <c r="I1109" s="7">
        <v>32</v>
      </c>
      <c r="J1109" s="3" t="s">
        <v>4317</v>
      </c>
      <c r="K1109" s="8">
        <v>2.2400000000000002</v>
      </c>
      <c r="L1109" s="9" t="s">
        <v>2242</v>
      </c>
      <c r="M1109" s="24" t="s">
        <v>5287</v>
      </c>
    </row>
    <row r="1110" spans="1:14" x14ac:dyDescent="0.3">
      <c r="A1110" s="3">
        <v>2700186</v>
      </c>
      <c r="B1110" s="4" t="s">
        <v>1898</v>
      </c>
      <c r="C1110" s="5">
        <v>1581016</v>
      </c>
      <c r="D1110" s="5" t="s">
        <v>5285</v>
      </c>
      <c r="E1110" s="3" t="s">
        <v>4220</v>
      </c>
      <c r="F1110" s="6">
        <v>60</v>
      </c>
      <c r="G1110" s="6">
        <v>56</v>
      </c>
      <c r="H1110" s="6">
        <v>34</v>
      </c>
      <c r="I1110" s="7">
        <v>32</v>
      </c>
      <c r="J1110" s="3" t="s">
        <v>4317</v>
      </c>
      <c r="K1110" s="8" t="s">
        <v>14</v>
      </c>
      <c r="L1110" s="9" t="s">
        <v>2243</v>
      </c>
      <c r="M1110" s="24" t="s">
        <v>5288</v>
      </c>
    </row>
    <row r="1111" spans="1:14" x14ac:dyDescent="0.3">
      <c r="A1111" s="3">
        <v>2693187</v>
      </c>
      <c r="B1111" s="4" t="s">
        <v>1898</v>
      </c>
      <c r="C1111" s="5">
        <v>1581017</v>
      </c>
      <c r="D1111" s="5" t="s">
        <v>5285</v>
      </c>
      <c r="E1111" s="3" t="s">
        <v>5286</v>
      </c>
      <c r="F1111" s="6">
        <v>60</v>
      </c>
      <c r="G1111" s="6">
        <v>56</v>
      </c>
      <c r="H1111" s="6">
        <v>34</v>
      </c>
      <c r="I1111" s="7">
        <v>32</v>
      </c>
      <c r="J1111" s="3" t="s">
        <v>4317</v>
      </c>
      <c r="K1111" s="8" t="s">
        <v>14</v>
      </c>
      <c r="L1111" s="9" t="s">
        <v>2244</v>
      </c>
      <c r="M1111" s="24" t="s">
        <v>5289</v>
      </c>
    </row>
    <row r="1112" spans="1:14" x14ac:dyDescent="0.3">
      <c r="A1112" s="3">
        <v>2686188</v>
      </c>
      <c r="B1112" s="4" t="s">
        <v>1898</v>
      </c>
      <c r="C1112" s="5">
        <v>1075013</v>
      </c>
      <c r="D1112" s="5" t="s">
        <v>3893</v>
      </c>
      <c r="E1112" s="3" t="s">
        <v>14</v>
      </c>
      <c r="F1112" s="6" t="s">
        <v>5384</v>
      </c>
      <c r="G1112" s="6" t="s">
        <v>5386</v>
      </c>
      <c r="H1112" s="6" t="s">
        <v>14</v>
      </c>
      <c r="I1112" s="7" t="s">
        <v>5382</v>
      </c>
      <c r="J1112" s="3" t="s">
        <v>14</v>
      </c>
      <c r="K1112" s="8" t="s">
        <v>14</v>
      </c>
      <c r="L1112" s="9" t="s">
        <v>2245</v>
      </c>
      <c r="M1112" s="24" t="s">
        <v>5656</v>
      </c>
      <c r="N1112" t="s">
        <v>5548</v>
      </c>
    </row>
    <row r="1113" spans="1:14" x14ac:dyDescent="0.3">
      <c r="A1113" s="3">
        <v>2711189</v>
      </c>
      <c r="B1113" s="4" t="s">
        <v>1898</v>
      </c>
      <c r="C1113" s="5">
        <v>2711189</v>
      </c>
      <c r="D1113" s="5" t="s">
        <v>154</v>
      </c>
      <c r="E1113" s="3" t="s">
        <v>2246</v>
      </c>
      <c r="F1113" s="6">
        <v>57.1</v>
      </c>
      <c r="G1113" s="6">
        <v>40.6</v>
      </c>
      <c r="H1113" s="6">
        <v>29.2</v>
      </c>
      <c r="I1113" s="7" t="s">
        <v>4315</v>
      </c>
      <c r="J1113" s="3" t="s">
        <v>4317</v>
      </c>
      <c r="K1113" s="8" t="s">
        <v>4333</v>
      </c>
      <c r="L1113" s="9" t="s">
        <v>2247</v>
      </c>
      <c r="M1113" s="1" t="s">
        <v>2248</v>
      </c>
    </row>
    <row r="1114" spans="1:14" x14ac:dyDescent="0.3">
      <c r="A1114" s="3">
        <v>2720190</v>
      </c>
      <c r="B1114" s="4" t="s">
        <v>1898</v>
      </c>
      <c r="C1114" s="5">
        <v>2720190</v>
      </c>
      <c r="D1114" s="5" t="s">
        <v>264</v>
      </c>
      <c r="E1114" s="3" t="s">
        <v>2246</v>
      </c>
      <c r="F1114" s="6">
        <v>56</v>
      </c>
      <c r="G1114" s="6">
        <v>28.5</v>
      </c>
      <c r="H1114" s="6">
        <v>0</v>
      </c>
      <c r="I1114" s="7" t="s">
        <v>4315</v>
      </c>
      <c r="J1114" s="3" t="s">
        <v>4317</v>
      </c>
      <c r="K1114" s="8" t="s">
        <v>4402</v>
      </c>
      <c r="L1114" s="9" t="s">
        <v>2249</v>
      </c>
      <c r="M1114" s="1" t="s">
        <v>2250</v>
      </c>
    </row>
    <row r="1115" spans="1:14" x14ac:dyDescent="0.3">
      <c r="A1115" s="3">
        <v>2721191</v>
      </c>
      <c r="B1115" s="4" t="s">
        <v>1898</v>
      </c>
      <c r="C1115" s="5">
        <v>2721191</v>
      </c>
      <c r="D1115" s="5" t="s">
        <v>267</v>
      </c>
      <c r="E1115" s="3" t="s">
        <v>2246</v>
      </c>
      <c r="F1115" s="6">
        <v>40</v>
      </c>
      <c r="G1115" s="6">
        <v>28.5</v>
      </c>
      <c r="H1115" s="6">
        <v>0</v>
      </c>
      <c r="I1115" s="7" t="s">
        <v>4315</v>
      </c>
      <c r="J1115" s="3" t="s">
        <v>4317</v>
      </c>
      <c r="K1115" s="8" t="s">
        <v>4443</v>
      </c>
      <c r="L1115" s="9" t="s">
        <v>2251</v>
      </c>
      <c r="M1115" s="1" t="s">
        <v>2252</v>
      </c>
    </row>
    <row r="1116" spans="1:14" x14ac:dyDescent="0.3">
      <c r="A1116" s="3">
        <v>2714192</v>
      </c>
      <c r="B1116" s="4" t="s">
        <v>1898</v>
      </c>
      <c r="C1116" s="5">
        <v>2714192</v>
      </c>
      <c r="D1116" s="5" t="s">
        <v>392</v>
      </c>
      <c r="E1116" s="3" t="s">
        <v>2246</v>
      </c>
      <c r="F1116" s="6">
        <v>58.8</v>
      </c>
      <c r="G1116" s="6">
        <v>43.6</v>
      </c>
      <c r="H1116" s="6">
        <v>8.4</v>
      </c>
      <c r="I1116" s="7" t="s">
        <v>4315</v>
      </c>
      <c r="J1116" s="3" t="s">
        <v>4317</v>
      </c>
      <c r="K1116" s="8" t="s">
        <v>4606</v>
      </c>
      <c r="L1116" s="9" t="s">
        <v>2253</v>
      </c>
      <c r="M1116" s="1" t="s">
        <v>2254</v>
      </c>
    </row>
    <row r="1117" spans="1:14" x14ac:dyDescent="0.3">
      <c r="A1117" s="3">
        <v>2711193</v>
      </c>
      <c r="B1117" s="4" t="s">
        <v>1898</v>
      </c>
      <c r="C1117" s="5">
        <v>2711193</v>
      </c>
      <c r="D1117" s="5" t="s">
        <v>154</v>
      </c>
      <c r="E1117" s="3" t="s">
        <v>2255</v>
      </c>
      <c r="F1117" s="6">
        <v>60.9</v>
      </c>
      <c r="G1117" s="6">
        <v>57.1</v>
      </c>
      <c r="H1117" s="6">
        <v>29.2</v>
      </c>
      <c r="I1117" s="7" t="s">
        <v>4315</v>
      </c>
      <c r="J1117" s="3" t="s">
        <v>4317</v>
      </c>
      <c r="K1117" s="8" t="s">
        <v>4669</v>
      </c>
      <c r="L1117" s="9" t="s">
        <v>2256</v>
      </c>
      <c r="M1117" s="1" t="s">
        <v>2257</v>
      </c>
    </row>
    <row r="1118" spans="1:14" x14ac:dyDescent="0.3">
      <c r="A1118" s="3">
        <v>2720194</v>
      </c>
      <c r="B1118" s="4" t="s">
        <v>1898</v>
      </c>
      <c r="C1118" s="5" t="s">
        <v>2258</v>
      </c>
      <c r="D1118" s="5" t="s">
        <v>264</v>
      </c>
      <c r="E1118" s="3" t="s">
        <v>2255</v>
      </c>
      <c r="F1118" s="6">
        <v>60</v>
      </c>
      <c r="G1118" s="6">
        <v>28.8</v>
      </c>
      <c r="H1118" s="6">
        <v>0</v>
      </c>
      <c r="I1118" s="7" t="s">
        <v>4315</v>
      </c>
      <c r="J1118" s="3" t="s">
        <v>4317</v>
      </c>
      <c r="K1118" s="8" t="s">
        <v>4350</v>
      </c>
      <c r="L1118" s="9" t="s">
        <v>2259</v>
      </c>
      <c r="M1118" s="1" t="s">
        <v>2260</v>
      </c>
    </row>
    <row r="1119" spans="1:14" x14ac:dyDescent="0.3">
      <c r="A1119" s="3">
        <v>2721195</v>
      </c>
      <c r="B1119" s="4" t="s">
        <v>1898</v>
      </c>
      <c r="C1119" s="5" t="s">
        <v>2258</v>
      </c>
      <c r="D1119" s="5" t="s">
        <v>267</v>
      </c>
      <c r="E1119" s="3" t="s">
        <v>2255</v>
      </c>
      <c r="F1119" s="6">
        <v>56</v>
      </c>
      <c r="G1119" s="6">
        <v>28.8</v>
      </c>
      <c r="H1119" s="6">
        <v>0</v>
      </c>
      <c r="I1119" s="7" t="s">
        <v>4315</v>
      </c>
      <c r="J1119" s="3" t="s">
        <v>4317</v>
      </c>
      <c r="K1119" s="8" t="s">
        <v>4488</v>
      </c>
      <c r="L1119" s="9" t="s">
        <v>2261</v>
      </c>
      <c r="M1119" s="1" t="s">
        <v>2262</v>
      </c>
    </row>
    <row r="1120" spans="1:14" x14ac:dyDescent="0.3">
      <c r="A1120" s="3">
        <v>2714196</v>
      </c>
      <c r="B1120" s="4" t="s">
        <v>1898</v>
      </c>
      <c r="C1120" s="5" t="s">
        <v>2258</v>
      </c>
      <c r="D1120" s="5" t="s">
        <v>392</v>
      </c>
      <c r="E1120" s="3" t="s">
        <v>2255</v>
      </c>
      <c r="F1120" s="6">
        <v>62.8</v>
      </c>
      <c r="G1120" s="6">
        <v>59.6</v>
      </c>
      <c r="H1120" s="6">
        <v>8.4</v>
      </c>
      <c r="I1120" s="7" t="s">
        <v>4315</v>
      </c>
      <c r="J1120" s="3" t="s">
        <v>4317</v>
      </c>
      <c r="K1120" s="8" t="s">
        <v>4337</v>
      </c>
      <c r="L1120" s="9" t="s">
        <v>2263</v>
      </c>
      <c r="M1120" s="1" t="s">
        <v>2264</v>
      </c>
    </row>
    <row r="1121" spans="1:13" x14ac:dyDescent="0.3">
      <c r="A1121" s="3">
        <v>2711197</v>
      </c>
      <c r="B1121" s="4" t="s">
        <v>1898</v>
      </c>
      <c r="C1121" s="5" t="s">
        <v>2265</v>
      </c>
      <c r="D1121" s="5" t="s">
        <v>154</v>
      </c>
      <c r="E1121" s="3" t="s">
        <v>2266</v>
      </c>
      <c r="F1121" s="6">
        <v>121.7</v>
      </c>
      <c r="G1121" s="6">
        <v>56.7</v>
      </c>
      <c r="H1121" s="6">
        <v>15.7</v>
      </c>
      <c r="I1121" s="7" t="s">
        <v>4315</v>
      </c>
      <c r="J1121" s="3" t="s">
        <v>4317</v>
      </c>
      <c r="K1121" s="8" t="s">
        <v>4570</v>
      </c>
      <c r="L1121" s="9" t="s">
        <v>2267</v>
      </c>
      <c r="M1121" s="1" t="s">
        <v>2268</v>
      </c>
    </row>
    <row r="1122" spans="1:13" x14ac:dyDescent="0.3">
      <c r="A1122" s="3">
        <v>2720198</v>
      </c>
      <c r="B1122" s="4" t="s">
        <v>1898</v>
      </c>
      <c r="C1122" s="5">
        <v>1437015</v>
      </c>
      <c r="D1122" s="5" t="s">
        <v>264</v>
      </c>
      <c r="E1122" s="3" t="s">
        <v>2266</v>
      </c>
      <c r="F1122" s="6">
        <v>128.5</v>
      </c>
      <c r="G1122" s="6">
        <v>14.5</v>
      </c>
      <c r="H1122" s="6">
        <v>0</v>
      </c>
      <c r="I1122" s="7" t="s">
        <v>4315</v>
      </c>
      <c r="J1122" s="3" t="s">
        <v>4317</v>
      </c>
      <c r="K1122" s="8" t="s">
        <v>4671</v>
      </c>
      <c r="L1122" s="9" t="s">
        <v>2269</v>
      </c>
      <c r="M1122" s="1" t="s">
        <v>2270</v>
      </c>
    </row>
    <row r="1123" spans="1:13" x14ac:dyDescent="0.3">
      <c r="A1123" s="3">
        <v>2721199</v>
      </c>
      <c r="B1123" s="4" t="s">
        <v>1898</v>
      </c>
      <c r="C1123" s="5">
        <v>1437015</v>
      </c>
      <c r="D1123" s="5" t="s">
        <v>267</v>
      </c>
      <c r="E1123" s="3" t="s">
        <v>2266</v>
      </c>
      <c r="F1123" s="6">
        <v>55.5</v>
      </c>
      <c r="G1123" s="6">
        <v>14.5</v>
      </c>
      <c r="H1123" s="6">
        <v>0</v>
      </c>
      <c r="I1123" s="7" t="s">
        <v>4315</v>
      </c>
      <c r="J1123" s="3" t="s">
        <v>4317</v>
      </c>
      <c r="K1123" s="8" t="s">
        <v>4433</v>
      </c>
      <c r="L1123" s="9" t="s">
        <v>2271</v>
      </c>
      <c r="M1123" s="1" t="s">
        <v>2272</v>
      </c>
    </row>
    <row r="1124" spans="1:13" x14ac:dyDescent="0.3">
      <c r="A1124" s="3">
        <v>2714200</v>
      </c>
      <c r="B1124" s="4" t="s">
        <v>1898</v>
      </c>
      <c r="C1124" s="5">
        <v>1437013</v>
      </c>
      <c r="D1124" s="5" t="s">
        <v>392</v>
      </c>
      <c r="E1124" s="3" t="s">
        <v>2266</v>
      </c>
      <c r="F1124" s="6">
        <v>123.3</v>
      </c>
      <c r="G1124" s="6">
        <v>59.1</v>
      </c>
      <c r="H1124" s="6">
        <v>8.4</v>
      </c>
      <c r="I1124" s="7" t="s">
        <v>4315</v>
      </c>
      <c r="J1124" s="3" t="s">
        <v>4317</v>
      </c>
      <c r="K1124" s="8" t="s">
        <v>4542</v>
      </c>
      <c r="L1124" s="9" t="s">
        <v>2273</v>
      </c>
      <c r="M1124" s="1" t="s">
        <v>2274</v>
      </c>
    </row>
    <row r="1125" spans="1:13" x14ac:dyDescent="0.3">
      <c r="A1125" s="3">
        <v>2710201</v>
      </c>
      <c r="B1125" s="4" t="s">
        <v>1898</v>
      </c>
      <c r="C1125" s="5">
        <v>1068114</v>
      </c>
      <c r="D1125" s="5" t="s">
        <v>96</v>
      </c>
      <c r="E1125" s="3" t="s">
        <v>2275</v>
      </c>
      <c r="F1125" s="6">
        <v>101.5</v>
      </c>
      <c r="G1125" s="6">
        <v>30.4</v>
      </c>
      <c r="H1125" s="6">
        <v>30.8</v>
      </c>
      <c r="I1125" s="7" t="s">
        <v>4315</v>
      </c>
      <c r="J1125" s="3" t="s">
        <v>4317</v>
      </c>
      <c r="K1125" s="8" t="s">
        <v>4569</v>
      </c>
      <c r="L1125" s="9" t="s">
        <v>2276</v>
      </c>
      <c r="M1125" s="1" t="s">
        <v>2277</v>
      </c>
    </row>
    <row r="1126" spans="1:13" x14ac:dyDescent="0.3">
      <c r="A1126" s="3">
        <v>2720202</v>
      </c>
      <c r="B1126" s="4" t="s">
        <v>1898</v>
      </c>
      <c r="C1126" s="5">
        <v>1068115</v>
      </c>
      <c r="D1126" s="5" t="s">
        <v>264</v>
      </c>
      <c r="E1126" s="3" t="s">
        <v>2275</v>
      </c>
      <c r="F1126" s="6">
        <v>100.5</v>
      </c>
      <c r="G1126" s="6">
        <v>29.5</v>
      </c>
      <c r="H1126" s="6">
        <v>0</v>
      </c>
      <c r="I1126" s="7" t="s">
        <v>4315</v>
      </c>
      <c r="J1126" s="3" t="s">
        <v>4317</v>
      </c>
      <c r="K1126" s="8" t="s">
        <v>4541</v>
      </c>
      <c r="L1126" s="9" t="s">
        <v>2278</v>
      </c>
      <c r="M1126" s="1" t="s">
        <v>2279</v>
      </c>
    </row>
    <row r="1127" spans="1:13" x14ac:dyDescent="0.3">
      <c r="A1127" s="3">
        <v>2721203</v>
      </c>
      <c r="B1127" s="4" t="s">
        <v>1898</v>
      </c>
      <c r="C1127" s="5">
        <v>1068115</v>
      </c>
      <c r="D1127" s="5" t="s">
        <v>267</v>
      </c>
      <c r="E1127" s="3" t="s">
        <v>2275</v>
      </c>
      <c r="F1127" s="6">
        <v>29.5</v>
      </c>
      <c r="G1127" s="6">
        <v>29.5</v>
      </c>
      <c r="H1127" s="6">
        <v>0</v>
      </c>
      <c r="I1127" s="7" t="s">
        <v>4315</v>
      </c>
      <c r="J1127" s="3" t="s">
        <v>4317</v>
      </c>
      <c r="K1127" s="8" t="s">
        <v>4501</v>
      </c>
      <c r="L1127" s="9" t="s">
        <v>2280</v>
      </c>
      <c r="M1127" s="1" t="s">
        <v>2281</v>
      </c>
    </row>
    <row r="1128" spans="1:13" x14ac:dyDescent="0.3">
      <c r="A1128" s="3">
        <v>2710204</v>
      </c>
      <c r="B1128" s="4" t="s">
        <v>1898</v>
      </c>
      <c r="C1128" s="5">
        <v>1068013</v>
      </c>
      <c r="D1128" s="5" t="s">
        <v>96</v>
      </c>
      <c r="E1128" s="3" t="s">
        <v>2282</v>
      </c>
      <c r="F1128" s="6">
        <v>60.9</v>
      </c>
      <c r="G1128" s="6">
        <v>57.1</v>
      </c>
      <c r="H1128" s="6">
        <v>38.5</v>
      </c>
      <c r="I1128" s="7" t="s">
        <v>4315</v>
      </c>
      <c r="J1128" s="3" t="s">
        <v>4317</v>
      </c>
      <c r="K1128" s="8" t="s">
        <v>4672</v>
      </c>
      <c r="L1128" s="9" t="s">
        <v>2283</v>
      </c>
      <c r="M1128" s="1" t="s">
        <v>2284</v>
      </c>
    </row>
    <row r="1129" spans="1:13" x14ac:dyDescent="0.3">
      <c r="A1129" s="3">
        <v>2720205</v>
      </c>
      <c r="B1129" s="4" t="s">
        <v>1898</v>
      </c>
      <c r="C1129" s="5">
        <v>1068014</v>
      </c>
      <c r="D1129" s="5" t="s">
        <v>264</v>
      </c>
      <c r="E1129" s="3" t="s">
        <v>2282</v>
      </c>
      <c r="F1129" s="6">
        <v>60</v>
      </c>
      <c r="G1129" s="6">
        <v>18.5</v>
      </c>
      <c r="H1129" s="6">
        <v>0</v>
      </c>
      <c r="I1129" s="7" t="s">
        <v>4315</v>
      </c>
      <c r="J1129" s="3" t="s">
        <v>4317</v>
      </c>
      <c r="K1129" s="8" t="s">
        <v>4500</v>
      </c>
      <c r="L1129" s="9" t="s">
        <v>2285</v>
      </c>
      <c r="M1129" s="1" t="s">
        <v>2286</v>
      </c>
    </row>
    <row r="1130" spans="1:13" x14ac:dyDescent="0.3">
      <c r="A1130" s="3">
        <v>2721206</v>
      </c>
      <c r="B1130" s="4" t="s">
        <v>1898</v>
      </c>
      <c r="C1130" s="5">
        <v>1068014</v>
      </c>
      <c r="D1130" s="5" t="s">
        <v>267</v>
      </c>
      <c r="E1130" s="3" t="s">
        <v>2282</v>
      </c>
      <c r="F1130" s="6">
        <v>56</v>
      </c>
      <c r="G1130" s="6">
        <v>18.5</v>
      </c>
      <c r="H1130" s="6">
        <v>0</v>
      </c>
      <c r="I1130" s="7" t="s">
        <v>4315</v>
      </c>
      <c r="J1130" s="3" t="s">
        <v>4317</v>
      </c>
      <c r="K1130" s="8" t="s">
        <v>4578</v>
      </c>
      <c r="L1130" s="9" t="s">
        <v>2287</v>
      </c>
      <c r="M1130" s="1" t="s">
        <v>2288</v>
      </c>
    </row>
    <row r="1131" spans="1:13" x14ac:dyDescent="0.3">
      <c r="A1131" s="3">
        <v>2719207</v>
      </c>
      <c r="B1131" s="4" t="s">
        <v>1898</v>
      </c>
      <c r="C1131" s="5">
        <v>1068015</v>
      </c>
      <c r="D1131" s="5" t="s">
        <v>74</v>
      </c>
      <c r="E1131" s="3" t="s">
        <v>2282</v>
      </c>
      <c r="F1131" s="6">
        <v>60</v>
      </c>
      <c r="G1131" s="6">
        <v>56</v>
      </c>
      <c r="H1131" s="6">
        <v>0</v>
      </c>
      <c r="I1131" s="7" t="s">
        <v>4315</v>
      </c>
      <c r="J1131" s="3" t="s">
        <v>4317</v>
      </c>
      <c r="K1131" s="8" t="s">
        <v>4450</v>
      </c>
      <c r="L1131" s="9" t="s">
        <v>2289</v>
      </c>
      <c r="M1131" s="1" t="s">
        <v>2290</v>
      </c>
    </row>
    <row r="1132" spans="1:13" x14ac:dyDescent="0.3">
      <c r="A1132" s="3">
        <v>2710208</v>
      </c>
      <c r="B1132" s="4" t="s">
        <v>1898</v>
      </c>
      <c r="C1132" s="5">
        <v>1068016</v>
      </c>
      <c r="D1132" s="5" t="s">
        <v>96</v>
      </c>
      <c r="E1132" s="3" t="s">
        <v>2291</v>
      </c>
      <c r="F1132" s="6">
        <v>60.9</v>
      </c>
      <c r="G1132" s="6">
        <v>57.1</v>
      </c>
      <c r="H1132" s="6">
        <v>102</v>
      </c>
      <c r="I1132" s="7" t="s">
        <v>4315</v>
      </c>
      <c r="J1132" s="3" t="s">
        <v>4317</v>
      </c>
      <c r="K1132" s="8" t="s">
        <v>4673</v>
      </c>
      <c r="L1132" s="9" t="s">
        <v>2292</v>
      </c>
      <c r="M1132" s="1" t="s">
        <v>2293</v>
      </c>
    </row>
    <row r="1133" spans="1:13" x14ac:dyDescent="0.3">
      <c r="A1133" s="3">
        <v>2720209</v>
      </c>
      <c r="B1133" s="4" t="s">
        <v>1898</v>
      </c>
      <c r="C1133" s="5">
        <v>1068017</v>
      </c>
      <c r="D1133" s="5" t="s">
        <v>264</v>
      </c>
      <c r="E1133" s="3" t="s">
        <v>2291</v>
      </c>
      <c r="F1133" s="6">
        <v>60</v>
      </c>
      <c r="G1133" s="6">
        <v>100.5</v>
      </c>
      <c r="H1133" s="6">
        <v>0</v>
      </c>
      <c r="I1133" s="7" t="s">
        <v>4315</v>
      </c>
      <c r="J1133" s="3" t="s">
        <v>4317</v>
      </c>
      <c r="K1133" s="8" t="s">
        <v>4664</v>
      </c>
      <c r="L1133" s="9" t="s">
        <v>2294</v>
      </c>
      <c r="M1133" s="1" t="s">
        <v>2295</v>
      </c>
    </row>
    <row r="1134" spans="1:13" x14ac:dyDescent="0.3">
      <c r="A1134" s="3">
        <v>2721210</v>
      </c>
      <c r="B1134" s="4" t="s">
        <v>1898</v>
      </c>
      <c r="C1134" s="5">
        <v>1068017</v>
      </c>
      <c r="D1134" s="5" t="s">
        <v>267</v>
      </c>
      <c r="E1134" s="3" t="s">
        <v>2291</v>
      </c>
      <c r="F1134" s="6">
        <v>56</v>
      </c>
      <c r="G1134" s="6">
        <v>100.5</v>
      </c>
      <c r="H1134" s="6">
        <v>0</v>
      </c>
      <c r="I1134" s="7" t="s">
        <v>4315</v>
      </c>
      <c r="J1134" s="3" t="s">
        <v>4317</v>
      </c>
      <c r="K1134" s="8" t="s">
        <v>4569</v>
      </c>
      <c r="L1134" s="9" t="s">
        <v>2296</v>
      </c>
      <c r="M1134" s="1" t="s">
        <v>2297</v>
      </c>
    </row>
    <row r="1135" spans="1:13" x14ac:dyDescent="0.3">
      <c r="A1135" s="3">
        <v>2710211</v>
      </c>
      <c r="B1135" s="4" t="s">
        <v>1898</v>
      </c>
      <c r="C1135" s="5">
        <v>1074001</v>
      </c>
      <c r="D1135" s="5" t="s">
        <v>96</v>
      </c>
      <c r="E1135" s="3" t="s">
        <v>2298</v>
      </c>
      <c r="F1135" s="6">
        <v>66</v>
      </c>
      <c r="G1135" s="6">
        <v>55.9</v>
      </c>
      <c r="H1135" s="6">
        <v>57.5</v>
      </c>
      <c r="I1135" s="7" t="s">
        <v>4315</v>
      </c>
      <c r="J1135" s="3" t="s">
        <v>4317</v>
      </c>
      <c r="K1135" s="8" t="s">
        <v>4668</v>
      </c>
      <c r="L1135" s="9" t="s">
        <v>2299</v>
      </c>
      <c r="M1135" s="1" t="s">
        <v>2300</v>
      </c>
    </row>
    <row r="1136" spans="1:13" x14ac:dyDescent="0.3">
      <c r="A1136" s="3">
        <v>2720212</v>
      </c>
      <c r="B1136" s="4" t="s">
        <v>1898</v>
      </c>
      <c r="C1136" s="5">
        <v>1074002</v>
      </c>
      <c r="D1136" s="5" t="s">
        <v>264</v>
      </c>
      <c r="E1136" s="3" t="s">
        <v>2298</v>
      </c>
      <c r="F1136" s="6">
        <v>65</v>
      </c>
      <c r="G1136" s="6">
        <v>56</v>
      </c>
      <c r="H1136" s="6">
        <v>0</v>
      </c>
      <c r="I1136" s="7" t="s">
        <v>4315</v>
      </c>
      <c r="J1136" s="3" t="s">
        <v>4317</v>
      </c>
      <c r="K1136" s="8" t="s">
        <v>4484</v>
      </c>
      <c r="L1136" s="9" t="s">
        <v>2301</v>
      </c>
      <c r="M1136" s="1" t="s">
        <v>2302</v>
      </c>
    </row>
    <row r="1137" spans="1:14" x14ac:dyDescent="0.3">
      <c r="A1137" s="3">
        <v>2721213</v>
      </c>
      <c r="B1137" s="4" t="s">
        <v>1898</v>
      </c>
      <c r="C1137" s="5">
        <v>1074002</v>
      </c>
      <c r="D1137" s="5" t="s">
        <v>267</v>
      </c>
      <c r="E1137" s="3" t="s">
        <v>2298</v>
      </c>
      <c r="F1137" s="6">
        <v>55</v>
      </c>
      <c r="G1137" s="6">
        <v>56</v>
      </c>
      <c r="H1137" s="6">
        <v>0</v>
      </c>
      <c r="I1137" s="7" t="s">
        <v>4315</v>
      </c>
      <c r="J1137" s="3" t="s">
        <v>4317</v>
      </c>
      <c r="K1137" s="8" t="s">
        <v>4485</v>
      </c>
      <c r="L1137" s="9" t="s">
        <v>2303</v>
      </c>
      <c r="M1137" s="1" t="s">
        <v>2304</v>
      </c>
    </row>
    <row r="1138" spans="1:14" x14ac:dyDescent="0.3">
      <c r="A1138" s="3">
        <v>2710214</v>
      </c>
      <c r="B1138" s="4" t="s">
        <v>1898</v>
      </c>
      <c r="C1138" s="5">
        <v>1065016</v>
      </c>
      <c r="D1138" s="5" t="s">
        <v>96</v>
      </c>
      <c r="E1138" s="3" t="s">
        <v>2305</v>
      </c>
      <c r="F1138" s="6">
        <v>60.9</v>
      </c>
      <c r="G1138" s="6">
        <v>57.1</v>
      </c>
      <c r="H1138" s="6">
        <v>24.5</v>
      </c>
      <c r="I1138" s="7" t="s">
        <v>4315</v>
      </c>
      <c r="J1138" s="3" t="s">
        <v>4317</v>
      </c>
      <c r="K1138" s="8" t="s">
        <v>4481</v>
      </c>
      <c r="L1138" s="9" t="s">
        <v>2306</v>
      </c>
      <c r="M1138" s="1" t="s">
        <v>2307</v>
      </c>
    </row>
    <row r="1139" spans="1:14" x14ac:dyDescent="0.3">
      <c r="A1139" s="3">
        <v>2720215</v>
      </c>
      <c r="B1139" s="4" t="s">
        <v>1898</v>
      </c>
      <c r="C1139" s="5">
        <v>1065017</v>
      </c>
      <c r="D1139" s="5" t="s">
        <v>264</v>
      </c>
      <c r="E1139" s="3" t="s">
        <v>2308</v>
      </c>
      <c r="F1139" s="6">
        <v>60</v>
      </c>
      <c r="G1139" s="6">
        <v>23.2</v>
      </c>
      <c r="H1139" s="6">
        <v>0</v>
      </c>
      <c r="I1139" s="7" t="s">
        <v>4315</v>
      </c>
      <c r="J1139" s="3" t="s">
        <v>4317</v>
      </c>
      <c r="K1139" s="8" t="s">
        <v>4617</v>
      </c>
      <c r="L1139" s="9" t="s">
        <v>2309</v>
      </c>
      <c r="M1139" s="1" t="s">
        <v>2310</v>
      </c>
    </row>
    <row r="1140" spans="1:14" x14ac:dyDescent="0.3">
      <c r="A1140" s="3">
        <v>2721216</v>
      </c>
      <c r="B1140" s="4" t="s">
        <v>1898</v>
      </c>
      <c r="C1140" s="5">
        <v>1065017</v>
      </c>
      <c r="D1140" s="5" t="s">
        <v>267</v>
      </c>
      <c r="E1140" s="3" t="s">
        <v>2308</v>
      </c>
      <c r="F1140" s="6">
        <v>56</v>
      </c>
      <c r="G1140" s="6">
        <v>23.2</v>
      </c>
      <c r="H1140" s="6">
        <v>0</v>
      </c>
      <c r="I1140" s="7" t="s">
        <v>4315</v>
      </c>
      <c r="J1140" s="3" t="s">
        <v>4317</v>
      </c>
      <c r="K1140" s="8" t="s">
        <v>4476</v>
      </c>
      <c r="L1140" s="9" t="s">
        <v>2311</v>
      </c>
      <c r="M1140" s="1" t="s">
        <v>2312</v>
      </c>
    </row>
    <row r="1141" spans="1:14" x14ac:dyDescent="0.3">
      <c r="A1141" s="3">
        <v>2720217</v>
      </c>
      <c r="B1141" s="4" t="s">
        <v>1898</v>
      </c>
      <c r="C1141" s="5">
        <v>1488019</v>
      </c>
      <c r="D1141" s="5" t="s">
        <v>264</v>
      </c>
      <c r="E1141" s="3" t="s">
        <v>2313</v>
      </c>
      <c r="F1141" s="6">
        <v>111.8</v>
      </c>
      <c r="G1141" s="6">
        <v>63.5</v>
      </c>
      <c r="H1141" s="6">
        <v>0</v>
      </c>
      <c r="I1141" s="7" t="s">
        <v>4315</v>
      </c>
      <c r="J1141" s="3" t="s">
        <v>4317</v>
      </c>
      <c r="K1141" s="8" t="s">
        <v>4674</v>
      </c>
      <c r="L1141" s="9" t="s">
        <v>2314</v>
      </c>
      <c r="M1141" s="1" t="s">
        <v>2315</v>
      </c>
    </row>
    <row r="1142" spans="1:14" x14ac:dyDescent="0.3">
      <c r="A1142" s="3">
        <v>2721218</v>
      </c>
      <c r="B1142" s="4" t="s">
        <v>1898</v>
      </c>
      <c r="C1142" s="5">
        <v>1488019</v>
      </c>
      <c r="D1142" s="5" t="s">
        <v>267</v>
      </c>
      <c r="E1142" s="3" t="s">
        <v>2313</v>
      </c>
      <c r="F1142" s="6">
        <v>104.2</v>
      </c>
      <c r="G1142" s="6">
        <v>63.5</v>
      </c>
      <c r="H1142" s="6">
        <v>0</v>
      </c>
      <c r="I1142" s="7" t="s">
        <v>4315</v>
      </c>
      <c r="J1142" s="3" t="s">
        <v>4317</v>
      </c>
      <c r="K1142" s="8" t="s">
        <v>4675</v>
      </c>
      <c r="L1142" s="9" t="s">
        <v>2316</v>
      </c>
      <c r="M1142" s="1" t="s">
        <v>2317</v>
      </c>
    </row>
    <row r="1143" spans="1:14" x14ac:dyDescent="0.3">
      <c r="A1143" s="3">
        <v>2722219</v>
      </c>
      <c r="B1143" s="4" t="s">
        <v>1898</v>
      </c>
      <c r="C1143" s="5">
        <v>1678001</v>
      </c>
      <c r="D1143" s="5" t="s">
        <v>96</v>
      </c>
      <c r="E1143" s="3" t="s">
        <v>5334</v>
      </c>
      <c r="F1143" s="6">
        <v>60</v>
      </c>
      <c r="G1143" s="6">
        <v>56</v>
      </c>
      <c r="H1143" s="6">
        <v>25</v>
      </c>
      <c r="I1143" s="7">
        <v>32</v>
      </c>
      <c r="J1143" s="3" t="s">
        <v>4317</v>
      </c>
      <c r="K1143" s="8">
        <v>1.93</v>
      </c>
      <c r="L1143" s="9" t="s">
        <v>2318</v>
      </c>
      <c r="M1143" s="24" t="s">
        <v>5651</v>
      </c>
      <c r="N1143" t="s">
        <v>5548</v>
      </c>
    </row>
    <row r="1144" spans="1:14" x14ac:dyDescent="0.3">
      <c r="A1144" s="3">
        <v>2710220</v>
      </c>
      <c r="B1144" s="4" t="s">
        <v>1898</v>
      </c>
      <c r="C1144" s="5" t="s">
        <v>2319</v>
      </c>
      <c r="D1144" s="5" t="s">
        <v>14</v>
      </c>
      <c r="E1144" s="3" t="s">
        <v>2320</v>
      </c>
      <c r="F1144" s="6">
        <v>60.7</v>
      </c>
      <c r="G1144" s="6">
        <v>40.200000000000003</v>
      </c>
      <c r="H1144" s="6">
        <v>22.9</v>
      </c>
      <c r="I1144" s="7" t="s">
        <v>4446</v>
      </c>
      <c r="J1144" s="3" t="s">
        <v>4318</v>
      </c>
      <c r="K1144" s="8" t="s">
        <v>4677</v>
      </c>
      <c r="L1144" s="9" t="s">
        <v>2321</v>
      </c>
      <c r="M1144" s="1" t="s">
        <v>2322</v>
      </c>
    </row>
    <row r="1145" spans="1:14" x14ac:dyDescent="0.3">
      <c r="A1145" s="3">
        <v>2720221</v>
      </c>
      <c r="B1145" s="4" t="s">
        <v>1898</v>
      </c>
      <c r="C1145" s="5" t="s">
        <v>2319</v>
      </c>
      <c r="D1145" s="5" t="s">
        <v>264</v>
      </c>
      <c r="E1145" s="3" t="s">
        <v>2320</v>
      </c>
      <c r="F1145" s="6">
        <v>59.5</v>
      </c>
      <c r="G1145" s="6">
        <v>10</v>
      </c>
      <c r="H1145" s="6">
        <v>0</v>
      </c>
      <c r="I1145" s="7" t="s">
        <v>4315</v>
      </c>
      <c r="J1145" s="3" t="s">
        <v>4317</v>
      </c>
      <c r="K1145" s="8" t="s">
        <v>4425</v>
      </c>
      <c r="L1145" s="9" t="s">
        <v>2323</v>
      </c>
      <c r="M1145" s="1" t="s">
        <v>2324</v>
      </c>
    </row>
    <row r="1146" spans="1:14" x14ac:dyDescent="0.3">
      <c r="A1146" s="3">
        <v>2721222</v>
      </c>
      <c r="B1146" s="4" t="s">
        <v>1898</v>
      </c>
      <c r="C1146" s="5" t="s">
        <v>2319</v>
      </c>
      <c r="D1146" s="5" t="s">
        <v>267</v>
      </c>
      <c r="E1146" s="3" t="s">
        <v>2320</v>
      </c>
      <c r="F1146" s="6">
        <v>39</v>
      </c>
      <c r="G1146" s="6">
        <v>10</v>
      </c>
      <c r="H1146" s="6">
        <v>0</v>
      </c>
      <c r="I1146" s="7" t="s">
        <v>4315</v>
      </c>
      <c r="J1146" s="3" t="s">
        <v>4317</v>
      </c>
      <c r="K1146" s="8" t="s">
        <v>4428</v>
      </c>
      <c r="L1146" s="9" t="s">
        <v>2325</v>
      </c>
      <c r="M1146" s="1" t="s">
        <v>2326</v>
      </c>
    </row>
    <row r="1147" spans="1:14" x14ac:dyDescent="0.3">
      <c r="A1147" s="3">
        <v>2719223</v>
      </c>
      <c r="B1147" s="4" t="s">
        <v>1898</v>
      </c>
      <c r="C1147" s="5" t="s">
        <v>2319</v>
      </c>
      <c r="D1147" s="5" t="s">
        <v>74</v>
      </c>
      <c r="E1147" s="3" t="s">
        <v>2320</v>
      </c>
      <c r="F1147" s="6">
        <v>59.5</v>
      </c>
      <c r="G1147" s="6">
        <v>39</v>
      </c>
      <c r="H1147" s="6">
        <v>0</v>
      </c>
      <c r="I1147" s="7" t="s">
        <v>4315</v>
      </c>
      <c r="J1147" s="3" t="s">
        <v>4317</v>
      </c>
      <c r="K1147" s="8" t="s">
        <v>4427</v>
      </c>
      <c r="L1147" s="9" t="s">
        <v>2327</v>
      </c>
      <c r="M1147" s="24" t="s">
        <v>2328</v>
      </c>
    </row>
    <row r="1148" spans="1:14" x14ac:dyDescent="0.3">
      <c r="A1148" s="3">
        <v>2719224</v>
      </c>
      <c r="B1148" s="4" t="s">
        <v>1898</v>
      </c>
      <c r="C1148" s="5" t="s">
        <v>2319</v>
      </c>
      <c r="D1148" s="5" t="s">
        <v>74</v>
      </c>
      <c r="E1148" s="3" t="s">
        <v>2320</v>
      </c>
      <c r="F1148" s="6">
        <v>59.5</v>
      </c>
      <c r="G1148" s="6">
        <v>39</v>
      </c>
      <c r="H1148" s="6">
        <v>0</v>
      </c>
      <c r="I1148" s="7" t="s">
        <v>4676</v>
      </c>
      <c r="J1148" s="3" t="s">
        <v>14</v>
      </c>
      <c r="K1148" s="8" t="s">
        <v>4427</v>
      </c>
      <c r="L1148" s="9" t="s">
        <v>2329</v>
      </c>
      <c r="M1148" s="1" t="s">
        <v>2330</v>
      </c>
    </row>
    <row r="1149" spans="1:14" x14ac:dyDescent="0.3">
      <c r="A1149" s="3">
        <v>2710225</v>
      </c>
      <c r="B1149" s="4" t="s">
        <v>1898</v>
      </c>
      <c r="C1149" s="5" t="s">
        <v>2331</v>
      </c>
      <c r="D1149" s="5" t="s">
        <v>96</v>
      </c>
      <c r="E1149" s="3" t="s">
        <v>2331</v>
      </c>
      <c r="F1149" s="6">
        <v>81.2</v>
      </c>
      <c r="G1149" s="6">
        <v>37.799999999999997</v>
      </c>
      <c r="H1149" s="6">
        <v>20.9</v>
      </c>
      <c r="I1149" s="7" t="s">
        <v>4446</v>
      </c>
      <c r="J1149" s="3" t="s">
        <v>4318</v>
      </c>
      <c r="K1149" s="8" t="s">
        <v>4678</v>
      </c>
      <c r="L1149" s="9" t="s">
        <v>2332</v>
      </c>
      <c r="M1149" s="1" t="s">
        <v>2333</v>
      </c>
    </row>
    <row r="1150" spans="1:14" x14ac:dyDescent="0.3">
      <c r="A1150" s="3">
        <v>2720226</v>
      </c>
      <c r="B1150" s="4" t="s">
        <v>1898</v>
      </c>
      <c r="C1150" s="5" t="s">
        <v>2331</v>
      </c>
      <c r="D1150" s="5" t="s">
        <v>264</v>
      </c>
      <c r="E1150" s="3" t="s">
        <v>2331</v>
      </c>
      <c r="F1150" s="6">
        <v>80</v>
      </c>
      <c r="G1150" s="6">
        <v>9</v>
      </c>
      <c r="H1150" s="6">
        <v>0</v>
      </c>
      <c r="I1150" s="7" t="s">
        <v>4315</v>
      </c>
      <c r="J1150" s="3" t="s">
        <v>4317</v>
      </c>
      <c r="K1150" s="8" t="s">
        <v>4575</v>
      </c>
      <c r="L1150" s="9" t="s">
        <v>2334</v>
      </c>
      <c r="M1150" s="1" t="s">
        <v>2335</v>
      </c>
    </row>
    <row r="1151" spans="1:14" x14ac:dyDescent="0.3">
      <c r="A1151" s="3">
        <v>2721227</v>
      </c>
      <c r="B1151" s="4" t="s">
        <v>1898</v>
      </c>
      <c r="C1151" s="5" t="s">
        <v>2331</v>
      </c>
      <c r="D1151" s="5" t="s">
        <v>267</v>
      </c>
      <c r="E1151" s="3" t="s">
        <v>2331</v>
      </c>
      <c r="F1151" s="6">
        <v>36.5</v>
      </c>
      <c r="G1151" s="6">
        <v>9</v>
      </c>
      <c r="H1151" s="6">
        <v>0</v>
      </c>
      <c r="I1151" s="7" t="s">
        <v>4315</v>
      </c>
      <c r="J1151" s="3" t="s">
        <v>4317</v>
      </c>
      <c r="K1151" s="8" t="s">
        <v>4355</v>
      </c>
      <c r="L1151" s="9" t="s">
        <v>2336</v>
      </c>
      <c r="M1151" s="1" t="s">
        <v>2337</v>
      </c>
    </row>
    <row r="1152" spans="1:14" x14ac:dyDescent="0.3">
      <c r="A1152" s="3">
        <v>2719228</v>
      </c>
      <c r="B1152" s="4" t="s">
        <v>1898</v>
      </c>
      <c r="C1152" s="5" t="s">
        <v>2331</v>
      </c>
      <c r="D1152" s="5" t="s">
        <v>74</v>
      </c>
      <c r="E1152" s="3" t="s">
        <v>2331</v>
      </c>
      <c r="F1152" s="6">
        <v>80</v>
      </c>
      <c r="G1152" s="6">
        <v>36.5</v>
      </c>
      <c r="H1152" s="6">
        <v>0</v>
      </c>
      <c r="I1152" s="7" t="s">
        <v>4315</v>
      </c>
      <c r="J1152" s="3" t="s">
        <v>4317</v>
      </c>
      <c r="K1152" s="8" t="s">
        <v>4465</v>
      </c>
      <c r="L1152" s="9" t="s">
        <v>2338</v>
      </c>
      <c r="M1152" s="1" t="s">
        <v>2339</v>
      </c>
    </row>
    <row r="1153" spans="1:14" x14ac:dyDescent="0.3">
      <c r="A1153" s="3">
        <v>2719229</v>
      </c>
      <c r="B1153" s="4" t="s">
        <v>1898</v>
      </c>
      <c r="C1153" s="5" t="s">
        <v>2331</v>
      </c>
      <c r="D1153" s="5" t="s">
        <v>74</v>
      </c>
      <c r="E1153" s="3" t="s">
        <v>2331</v>
      </c>
      <c r="F1153" s="6">
        <v>80</v>
      </c>
      <c r="G1153" s="6">
        <v>36.5</v>
      </c>
      <c r="H1153" s="6">
        <v>0</v>
      </c>
      <c r="I1153" s="7" t="s">
        <v>4676</v>
      </c>
      <c r="J1153" s="3" t="s">
        <v>14</v>
      </c>
      <c r="K1153" s="8" t="s">
        <v>4465</v>
      </c>
      <c r="L1153" s="9" t="s">
        <v>2340</v>
      </c>
      <c r="M1153" s="1" t="s">
        <v>2341</v>
      </c>
    </row>
    <row r="1154" spans="1:14" x14ac:dyDescent="0.3">
      <c r="A1154" s="3">
        <v>2710230</v>
      </c>
      <c r="B1154" s="4" t="s">
        <v>1898</v>
      </c>
      <c r="C1154" s="5" t="s">
        <v>2342</v>
      </c>
      <c r="D1154" s="5" t="s">
        <v>96</v>
      </c>
      <c r="E1154" s="3" t="s">
        <v>2342</v>
      </c>
      <c r="F1154" s="6">
        <v>81.2</v>
      </c>
      <c r="G1154" s="6">
        <v>56.9</v>
      </c>
      <c r="H1154" s="6">
        <v>21.9</v>
      </c>
      <c r="I1154" s="7" t="s">
        <v>4446</v>
      </c>
      <c r="J1154" s="3" t="s">
        <v>4318</v>
      </c>
      <c r="K1154" s="8" t="s">
        <v>4679</v>
      </c>
      <c r="L1154" s="9" t="s">
        <v>2343</v>
      </c>
      <c r="M1154" s="1" t="s">
        <v>2344</v>
      </c>
    </row>
    <row r="1155" spans="1:14" x14ac:dyDescent="0.3">
      <c r="A1155" s="3">
        <v>2720231</v>
      </c>
      <c r="B1155" s="4" t="s">
        <v>1898</v>
      </c>
      <c r="C1155" s="5" t="s">
        <v>2342</v>
      </c>
      <c r="D1155" s="5" t="s">
        <v>264</v>
      </c>
      <c r="E1155" s="3" t="s">
        <v>2342</v>
      </c>
      <c r="F1155" s="6">
        <v>80</v>
      </c>
      <c r="G1155" s="6">
        <v>9.6</v>
      </c>
      <c r="H1155" s="6">
        <v>0</v>
      </c>
      <c r="I1155" s="7" t="s">
        <v>4315</v>
      </c>
      <c r="J1155" s="3" t="s">
        <v>4317</v>
      </c>
      <c r="K1155" s="8" t="s">
        <v>4482</v>
      </c>
      <c r="L1155" s="9" t="s">
        <v>2345</v>
      </c>
      <c r="M1155" s="1" t="s">
        <v>2346</v>
      </c>
    </row>
    <row r="1156" spans="1:14" x14ac:dyDescent="0.3">
      <c r="A1156" s="3">
        <v>2721232</v>
      </c>
      <c r="B1156" s="4" t="s">
        <v>1898</v>
      </c>
      <c r="C1156" s="5" t="s">
        <v>2342</v>
      </c>
      <c r="D1156" s="5" t="s">
        <v>267</v>
      </c>
      <c r="E1156" s="3" t="s">
        <v>2342</v>
      </c>
      <c r="F1156" s="6">
        <v>55.7</v>
      </c>
      <c r="G1156" s="6">
        <v>9.6</v>
      </c>
      <c r="H1156" s="6">
        <v>0</v>
      </c>
      <c r="I1156" s="7" t="s">
        <v>4315</v>
      </c>
      <c r="J1156" s="3" t="s">
        <v>4317</v>
      </c>
      <c r="K1156" s="8" t="s">
        <v>4433</v>
      </c>
      <c r="L1156" s="9" t="s">
        <v>2347</v>
      </c>
      <c r="M1156" s="1" t="s">
        <v>2348</v>
      </c>
    </row>
    <row r="1157" spans="1:14" x14ac:dyDescent="0.3">
      <c r="A1157" s="3">
        <v>2719233</v>
      </c>
      <c r="B1157" s="4" t="s">
        <v>1898</v>
      </c>
      <c r="C1157" s="5" t="s">
        <v>2342</v>
      </c>
      <c r="D1157" s="5" t="s">
        <v>74</v>
      </c>
      <c r="E1157" s="3" t="s">
        <v>2342</v>
      </c>
      <c r="F1157" s="6">
        <v>80</v>
      </c>
      <c r="G1157" s="6">
        <v>55.7</v>
      </c>
      <c r="H1157" s="6">
        <v>0</v>
      </c>
      <c r="I1157" s="7" t="s">
        <v>4315</v>
      </c>
      <c r="J1157" s="3" t="s">
        <v>4317</v>
      </c>
      <c r="K1157" s="8" t="s">
        <v>4567</v>
      </c>
      <c r="L1157" s="9" t="s">
        <v>2349</v>
      </c>
      <c r="M1157" s="1" t="s">
        <v>2350</v>
      </c>
    </row>
    <row r="1158" spans="1:14" x14ac:dyDescent="0.3">
      <c r="A1158" s="3">
        <v>2719234</v>
      </c>
      <c r="B1158" s="4" t="s">
        <v>1898</v>
      </c>
      <c r="C1158" s="5" t="s">
        <v>2342</v>
      </c>
      <c r="D1158" s="5" t="s">
        <v>74</v>
      </c>
      <c r="E1158" s="3" t="s">
        <v>2342</v>
      </c>
      <c r="F1158" s="6">
        <v>80</v>
      </c>
      <c r="G1158" s="6">
        <v>55.7</v>
      </c>
      <c r="H1158" s="6">
        <v>0</v>
      </c>
      <c r="I1158" s="7" t="s">
        <v>4676</v>
      </c>
      <c r="J1158" s="3" t="s">
        <v>14</v>
      </c>
      <c r="K1158" s="8" t="s">
        <v>4567</v>
      </c>
      <c r="L1158" s="9" t="s">
        <v>2351</v>
      </c>
      <c r="M1158" s="1" t="s">
        <v>2352</v>
      </c>
    </row>
    <row r="1159" spans="1:14" x14ac:dyDescent="0.3">
      <c r="A1159" s="3">
        <v>2719235</v>
      </c>
      <c r="B1159" s="4" t="s">
        <v>1898</v>
      </c>
      <c r="C1159" s="5">
        <v>1054039</v>
      </c>
      <c r="D1159" s="5" t="s">
        <v>5034</v>
      </c>
      <c r="E1159" s="3" t="s">
        <v>5035</v>
      </c>
      <c r="F1159" s="6">
        <v>61</v>
      </c>
      <c r="G1159" s="6">
        <v>43.2</v>
      </c>
      <c r="H1159" s="6">
        <v>30.5</v>
      </c>
      <c r="I1159" s="7">
        <v>42</v>
      </c>
      <c r="J1159" s="3" t="s">
        <v>4318</v>
      </c>
      <c r="K1159" s="8">
        <v>0.82</v>
      </c>
      <c r="L1159" s="9" t="s">
        <v>2353</v>
      </c>
      <c r="M1159" s="24" t="s">
        <v>5036</v>
      </c>
    </row>
    <row r="1160" spans="1:14" x14ac:dyDescent="0.3">
      <c r="A1160" s="3">
        <v>2719236</v>
      </c>
      <c r="B1160" s="4" t="s">
        <v>1898</v>
      </c>
      <c r="C1160" s="5">
        <v>1437011</v>
      </c>
      <c r="D1160" s="5" t="s">
        <v>23</v>
      </c>
      <c r="E1160" s="3" t="s">
        <v>5156</v>
      </c>
      <c r="F1160" s="6">
        <v>122</v>
      </c>
      <c r="G1160" s="6">
        <v>57</v>
      </c>
      <c r="H1160" s="6">
        <v>16</v>
      </c>
      <c r="I1160" s="7">
        <v>42</v>
      </c>
      <c r="J1160" s="3" t="s">
        <v>4318</v>
      </c>
      <c r="K1160" s="8">
        <v>1.63</v>
      </c>
      <c r="L1160" s="9" t="s">
        <v>2354</v>
      </c>
      <c r="M1160" s="24" t="s">
        <v>5623</v>
      </c>
      <c r="N1160" t="s">
        <v>5551</v>
      </c>
    </row>
    <row r="1161" spans="1:14" x14ac:dyDescent="0.3">
      <c r="A1161" s="3">
        <v>2719237</v>
      </c>
      <c r="B1161" s="4" t="s">
        <v>1898</v>
      </c>
      <c r="C1161" s="5">
        <v>1684028</v>
      </c>
      <c r="D1161" s="5" t="s">
        <v>96</v>
      </c>
      <c r="E1161" s="3" t="s">
        <v>5269</v>
      </c>
      <c r="F1161" s="6">
        <v>61</v>
      </c>
      <c r="G1161" s="6">
        <v>57.2</v>
      </c>
      <c r="H1161" s="6">
        <v>15.8</v>
      </c>
      <c r="I1161" s="7">
        <v>32</v>
      </c>
      <c r="J1161" s="3" t="s">
        <v>4317</v>
      </c>
      <c r="K1161" s="8">
        <v>1.77</v>
      </c>
      <c r="L1161" s="9" t="s">
        <v>2355</v>
      </c>
      <c r="M1161" s="24" t="s">
        <v>5612</v>
      </c>
    </row>
    <row r="1162" spans="1:14" x14ac:dyDescent="0.3">
      <c r="A1162" s="3">
        <v>2719238</v>
      </c>
      <c r="B1162" s="4" t="s">
        <v>1898</v>
      </c>
      <c r="C1162" s="5">
        <v>1652001</v>
      </c>
      <c r="D1162" s="5" t="s">
        <v>96</v>
      </c>
      <c r="E1162" s="3" t="s">
        <v>5333</v>
      </c>
      <c r="F1162" s="6">
        <v>60</v>
      </c>
      <c r="G1162" s="6">
        <v>56</v>
      </c>
      <c r="H1162" s="6">
        <v>35</v>
      </c>
      <c r="I1162" s="7">
        <v>32</v>
      </c>
      <c r="J1162" s="3" t="s">
        <v>4317</v>
      </c>
      <c r="K1162" s="8">
        <v>2.17</v>
      </c>
      <c r="L1162" s="9" t="s">
        <v>2356</v>
      </c>
      <c r="M1162" s="24" t="s">
        <v>5650</v>
      </c>
      <c r="N1162" t="s">
        <v>5548</v>
      </c>
    </row>
    <row r="1163" spans="1:14" x14ac:dyDescent="0.3">
      <c r="A1163" s="3">
        <v>2719239</v>
      </c>
      <c r="B1163" s="4" t="s">
        <v>1898</v>
      </c>
      <c r="C1163" s="5">
        <v>1652003</v>
      </c>
      <c r="D1163" s="5" t="s">
        <v>96</v>
      </c>
      <c r="E1163" s="3" t="s">
        <v>5333</v>
      </c>
      <c r="F1163" s="6">
        <v>60</v>
      </c>
      <c r="G1163" s="6">
        <v>56</v>
      </c>
      <c r="H1163" s="6">
        <v>30</v>
      </c>
      <c r="I1163" s="7">
        <v>32</v>
      </c>
      <c r="J1163" s="3" t="s">
        <v>4317</v>
      </c>
      <c r="K1163" s="8">
        <v>2.0499999999999998</v>
      </c>
      <c r="L1163" s="9" t="s">
        <v>2357</v>
      </c>
      <c r="M1163" s="9" t="s">
        <v>4974</v>
      </c>
    </row>
    <row r="1164" spans="1:14" x14ac:dyDescent="0.3">
      <c r="A1164" s="3">
        <v>2719240</v>
      </c>
      <c r="B1164" s="4" t="s">
        <v>1898</v>
      </c>
      <c r="C1164" s="5">
        <v>1683008</v>
      </c>
      <c r="D1164" s="5" t="s">
        <v>96</v>
      </c>
      <c r="E1164" s="3" t="s">
        <v>5336</v>
      </c>
      <c r="F1164" s="6">
        <v>60</v>
      </c>
      <c r="G1164" s="6">
        <v>56</v>
      </c>
      <c r="H1164" s="6">
        <v>55</v>
      </c>
      <c r="I1164" s="7">
        <v>32</v>
      </c>
      <c r="J1164" s="3" t="s">
        <v>4317</v>
      </c>
      <c r="K1164" s="8">
        <v>2.64</v>
      </c>
      <c r="L1164" s="9" t="s">
        <v>2358</v>
      </c>
      <c r="M1164" s="24" t="s">
        <v>5652</v>
      </c>
      <c r="N1164" t="s">
        <v>5548</v>
      </c>
    </row>
    <row r="1165" spans="1:14" x14ac:dyDescent="0.3">
      <c r="A1165" s="3">
        <v>2719241</v>
      </c>
      <c r="B1165" s="4" t="s">
        <v>1898</v>
      </c>
      <c r="C1165" s="5">
        <v>1684025</v>
      </c>
      <c r="D1165" s="5" t="s">
        <v>96</v>
      </c>
      <c r="E1165" s="3" t="s">
        <v>5335</v>
      </c>
      <c r="F1165" s="6">
        <v>60</v>
      </c>
      <c r="G1165" s="6">
        <v>56</v>
      </c>
      <c r="H1165" s="6">
        <v>25</v>
      </c>
      <c r="I1165" s="7">
        <v>32</v>
      </c>
      <c r="J1165" s="3" t="s">
        <v>4317</v>
      </c>
      <c r="K1165" s="8">
        <v>1.93</v>
      </c>
      <c r="L1165" s="9" t="s">
        <v>2359</v>
      </c>
      <c r="M1165" s="24" t="s">
        <v>5653</v>
      </c>
      <c r="N1165" t="s">
        <v>5548</v>
      </c>
    </row>
    <row r="1166" spans="1:14" x14ac:dyDescent="0.3">
      <c r="A1166" s="3">
        <v>2719242</v>
      </c>
      <c r="B1166" s="4" t="s">
        <v>1898</v>
      </c>
      <c r="C1166" s="5">
        <v>1075014</v>
      </c>
      <c r="D1166" s="5" t="s">
        <v>3893</v>
      </c>
      <c r="E1166" s="3" t="s">
        <v>14</v>
      </c>
      <c r="F1166" s="6" t="s">
        <v>5384</v>
      </c>
      <c r="G1166" s="6" t="s">
        <v>5387</v>
      </c>
      <c r="H1166" s="6" t="s">
        <v>14</v>
      </c>
      <c r="I1166" s="7" t="s">
        <v>5382</v>
      </c>
      <c r="J1166" s="3" t="s">
        <v>14</v>
      </c>
      <c r="K1166" s="8" t="s">
        <v>14</v>
      </c>
      <c r="L1166" s="9" t="s">
        <v>2360</v>
      </c>
      <c r="M1166" s="24" t="s">
        <v>5657</v>
      </c>
      <c r="N1166" t="s">
        <v>5548</v>
      </c>
    </row>
    <row r="1167" spans="1:14" x14ac:dyDescent="0.3">
      <c r="A1167" s="3">
        <v>2719243</v>
      </c>
      <c r="B1167" s="4" t="s">
        <v>1898</v>
      </c>
      <c r="C1167" s="5">
        <v>1148036</v>
      </c>
      <c r="D1167" s="5" t="s">
        <v>264</v>
      </c>
      <c r="E1167" s="3" t="s">
        <v>5706</v>
      </c>
      <c r="F1167" s="6">
        <v>60</v>
      </c>
      <c r="G1167" s="6">
        <v>48</v>
      </c>
      <c r="H1167" s="6">
        <v>0</v>
      </c>
      <c r="I1167" s="7" t="s">
        <v>4315</v>
      </c>
      <c r="J1167" s="3" t="s">
        <v>4317</v>
      </c>
      <c r="K1167" s="8" t="s">
        <v>4404</v>
      </c>
      <c r="L1167" s="9" t="s">
        <v>2361</v>
      </c>
      <c r="M1167" s="1" t="s">
        <v>5707</v>
      </c>
    </row>
    <row r="1168" spans="1:14" x14ac:dyDescent="0.3">
      <c r="A1168" s="3">
        <v>2719244</v>
      </c>
      <c r="B1168" s="4" t="s">
        <v>1898</v>
      </c>
      <c r="C1168" s="5">
        <v>1148036</v>
      </c>
      <c r="D1168" s="5" t="s">
        <v>267</v>
      </c>
      <c r="E1168" s="3" t="s">
        <v>5706</v>
      </c>
      <c r="F1168" s="6">
        <v>60</v>
      </c>
      <c r="G1168" s="6">
        <v>48</v>
      </c>
      <c r="H1168" s="6">
        <v>0</v>
      </c>
      <c r="I1168" s="7" t="s">
        <v>4315</v>
      </c>
      <c r="J1168" s="3" t="s">
        <v>4317</v>
      </c>
      <c r="K1168" s="8" t="s">
        <v>4598</v>
      </c>
      <c r="L1168" s="9" t="s">
        <v>2362</v>
      </c>
      <c r="M1168" s="1" t="s">
        <v>5707</v>
      </c>
    </row>
    <row r="1169" spans="1:14" x14ac:dyDescent="0.3">
      <c r="A1169" s="3">
        <v>2719245</v>
      </c>
      <c r="B1169" s="4" t="s">
        <v>1898</v>
      </c>
      <c r="C1169" s="5">
        <v>1014122</v>
      </c>
      <c r="D1169" s="5" t="s">
        <v>3893</v>
      </c>
      <c r="E1169" s="3" t="s">
        <v>14</v>
      </c>
      <c r="F1169" s="6" t="s">
        <v>5376</v>
      </c>
      <c r="G1169" s="6" t="s">
        <v>5381</v>
      </c>
      <c r="H1169" s="6" t="s">
        <v>14</v>
      </c>
      <c r="I1169" s="7" t="s">
        <v>5372</v>
      </c>
      <c r="J1169" s="3" t="s">
        <v>14</v>
      </c>
      <c r="K1169" s="8" t="s">
        <v>14</v>
      </c>
      <c r="L1169" s="9" t="s">
        <v>5388</v>
      </c>
      <c r="M1169" s="1" t="s">
        <v>5658</v>
      </c>
      <c r="N1169" t="s">
        <v>5548</v>
      </c>
    </row>
    <row r="1170" spans="1:14" x14ac:dyDescent="0.3">
      <c r="A1170" s="3">
        <v>2719246</v>
      </c>
      <c r="B1170" s="4" t="s">
        <v>1898</v>
      </c>
      <c r="C1170" s="5">
        <v>1291006</v>
      </c>
      <c r="D1170" s="5" t="s">
        <v>3893</v>
      </c>
      <c r="E1170" s="3" t="s">
        <v>14</v>
      </c>
      <c r="F1170" s="6" t="s">
        <v>5373</v>
      </c>
      <c r="G1170" s="6" t="s">
        <v>5659</v>
      </c>
      <c r="H1170" s="6" t="s">
        <v>14</v>
      </c>
      <c r="I1170" s="7" t="s">
        <v>5372</v>
      </c>
      <c r="J1170" s="3" t="s">
        <v>5519</v>
      </c>
      <c r="K1170" s="8" t="s">
        <v>14</v>
      </c>
      <c r="L1170" s="9" t="s">
        <v>5389</v>
      </c>
      <c r="M1170" s="1" t="s">
        <v>5660</v>
      </c>
      <c r="N1170" t="s">
        <v>5548</v>
      </c>
    </row>
    <row r="1171" spans="1:14" x14ac:dyDescent="0.3">
      <c r="A1171" s="3">
        <v>2719247</v>
      </c>
      <c r="B1171" s="4" t="s">
        <v>1898</v>
      </c>
      <c r="C1171" s="5">
        <v>1624005</v>
      </c>
      <c r="D1171" s="5" t="s">
        <v>3893</v>
      </c>
      <c r="E1171" s="3" t="s">
        <v>6044</v>
      </c>
      <c r="F1171" s="6" t="s">
        <v>5661</v>
      </c>
      <c r="G1171" s="6" t="s">
        <v>5518</v>
      </c>
      <c r="H1171" s="6" t="s">
        <v>14</v>
      </c>
      <c r="I1171" s="7" t="s">
        <v>5525</v>
      </c>
      <c r="J1171" s="3" t="s">
        <v>5519</v>
      </c>
      <c r="K1171" s="8" t="s">
        <v>14</v>
      </c>
      <c r="L1171" s="9" t="s">
        <v>5390</v>
      </c>
      <c r="M1171" s="1" t="s">
        <v>5662</v>
      </c>
      <c r="N1171" t="s">
        <v>5548</v>
      </c>
    </row>
    <row r="1172" spans="1:14" x14ac:dyDescent="0.3">
      <c r="A1172" s="3">
        <v>2719248</v>
      </c>
      <c r="B1172" s="4" t="s">
        <v>1898</v>
      </c>
      <c r="C1172" s="5">
        <v>1683010</v>
      </c>
      <c r="D1172" s="5" t="s">
        <v>3893</v>
      </c>
      <c r="E1172" s="3" t="s">
        <v>14</v>
      </c>
      <c r="F1172" s="6" t="s">
        <v>5376</v>
      </c>
      <c r="G1172" s="6" t="s">
        <v>5387</v>
      </c>
      <c r="H1172" s="6" t="s">
        <v>14</v>
      </c>
      <c r="I1172" s="7" t="s">
        <v>5382</v>
      </c>
      <c r="J1172" s="3" t="s">
        <v>14</v>
      </c>
      <c r="K1172" s="8" t="s">
        <v>14</v>
      </c>
      <c r="L1172" s="9" t="s">
        <v>5391</v>
      </c>
      <c r="M1172" s="1" t="s">
        <v>5663</v>
      </c>
      <c r="N1172" t="s">
        <v>5548</v>
      </c>
    </row>
    <row r="1173" spans="1:14" x14ac:dyDescent="0.3">
      <c r="A1173" s="3">
        <v>2719249</v>
      </c>
      <c r="B1173" s="4" t="s">
        <v>1898</v>
      </c>
      <c r="C1173" s="5">
        <v>1126066</v>
      </c>
      <c r="D1173" s="5" t="s">
        <v>74</v>
      </c>
      <c r="E1173" s="3" t="s">
        <v>14</v>
      </c>
      <c r="F1173" s="6">
        <v>80</v>
      </c>
      <c r="G1173" s="6">
        <v>39</v>
      </c>
      <c r="H1173" s="6" t="s">
        <v>14</v>
      </c>
      <c r="I1173" s="7">
        <v>32</v>
      </c>
      <c r="J1173" s="3" t="s">
        <v>4317</v>
      </c>
      <c r="K1173" s="8">
        <v>0.31</v>
      </c>
      <c r="L1173" s="9" t="s">
        <v>5392</v>
      </c>
      <c r="M1173" s="1" t="s">
        <v>5664</v>
      </c>
      <c r="N1173" t="s">
        <v>5548</v>
      </c>
    </row>
    <row r="1174" spans="1:14" x14ac:dyDescent="0.3">
      <c r="A1174" s="3">
        <v>2719250</v>
      </c>
      <c r="B1174" s="4" t="s">
        <v>1898</v>
      </c>
      <c r="C1174" s="5">
        <v>1201033</v>
      </c>
      <c r="D1174" s="5" t="s">
        <v>78</v>
      </c>
      <c r="E1174" s="3" t="s">
        <v>14</v>
      </c>
      <c r="F1174" s="6">
        <v>60</v>
      </c>
      <c r="G1174" s="6">
        <v>45.5</v>
      </c>
      <c r="H1174" s="6">
        <v>13.5</v>
      </c>
      <c r="I1174" s="7">
        <v>32</v>
      </c>
      <c r="J1174" s="3" t="s">
        <v>4317</v>
      </c>
      <c r="K1174" s="8">
        <v>1.3</v>
      </c>
      <c r="L1174" s="9" t="s">
        <v>5439</v>
      </c>
      <c r="M1174" s="1" t="s">
        <v>6049</v>
      </c>
    </row>
    <row r="1175" spans="1:14" x14ac:dyDescent="0.3">
      <c r="A1175" s="3">
        <v>2719251</v>
      </c>
      <c r="B1175" s="4" t="s">
        <v>1898</v>
      </c>
      <c r="C1175" s="5">
        <v>1201034</v>
      </c>
      <c r="D1175" s="5" t="s">
        <v>4792</v>
      </c>
      <c r="E1175" s="3" t="s">
        <v>14</v>
      </c>
      <c r="F1175" s="6">
        <v>59.5</v>
      </c>
      <c r="G1175" s="6">
        <v>45</v>
      </c>
      <c r="H1175" s="6">
        <v>11.5</v>
      </c>
      <c r="I1175" s="7">
        <v>32</v>
      </c>
      <c r="J1175" s="3" t="s">
        <v>4317</v>
      </c>
      <c r="K1175" s="8">
        <v>7.0000000000000007E-2</v>
      </c>
      <c r="L1175" s="9" t="s">
        <v>5440</v>
      </c>
      <c r="M1175" s="1" t="s">
        <v>6050</v>
      </c>
    </row>
    <row r="1176" spans="1:14" x14ac:dyDescent="0.3">
      <c r="A1176" s="3">
        <v>2719252</v>
      </c>
      <c r="B1176" s="4" t="s">
        <v>1898</v>
      </c>
      <c r="C1176" s="5">
        <v>1201035</v>
      </c>
      <c r="D1176" s="5" t="s">
        <v>74</v>
      </c>
      <c r="E1176" s="3" t="s">
        <v>14</v>
      </c>
      <c r="F1176" s="6">
        <v>59</v>
      </c>
      <c r="G1176" s="6">
        <v>45</v>
      </c>
      <c r="H1176" s="6"/>
      <c r="I1176" s="7" t="s">
        <v>6052</v>
      </c>
      <c r="J1176" s="3" t="s">
        <v>4731</v>
      </c>
      <c r="K1176" s="8" t="s">
        <v>14</v>
      </c>
      <c r="L1176" s="9" t="s">
        <v>5441</v>
      </c>
      <c r="M1176" s="1" t="s">
        <v>6051</v>
      </c>
    </row>
    <row r="1177" spans="1:14" x14ac:dyDescent="0.3">
      <c r="A1177" s="3">
        <v>2719253</v>
      </c>
      <c r="B1177" s="4" t="s">
        <v>1898</v>
      </c>
      <c r="C1177" s="5">
        <v>1629006</v>
      </c>
      <c r="D1177" s="5" t="s">
        <v>23</v>
      </c>
      <c r="E1177" s="3" t="s">
        <v>5442</v>
      </c>
      <c r="F1177" s="6">
        <v>66</v>
      </c>
      <c r="G1177" s="6">
        <v>38.1</v>
      </c>
      <c r="H1177" s="6">
        <v>39.5</v>
      </c>
      <c r="I1177" s="7">
        <v>32</v>
      </c>
      <c r="J1177" s="3" t="s">
        <v>4317</v>
      </c>
      <c r="K1177" s="8">
        <v>1.25</v>
      </c>
      <c r="L1177" s="9" t="s">
        <v>5443</v>
      </c>
      <c r="M1177" s="1" t="s">
        <v>5447</v>
      </c>
    </row>
    <row r="1178" spans="1:14" x14ac:dyDescent="0.3">
      <c r="A1178" s="3">
        <v>2719254</v>
      </c>
      <c r="B1178" s="4" t="s">
        <v>1898</v>
      </c>
      <c r="C1178" s="5">
        <v>1629007</v>
      </c>
      <c r="D1178" s="5" t="s">
        <v>4792</v>
      </c>
      <c r="E1178" s="3" t="s">
        <v>5442</v>
      </c>
      <c r="F1178" s="6">
        <v>65</v>
      </c>
      <c r="G1178" s="6">
        <v>37</v>
      </c>
      <c r="H1178" s="6">
        <v>12.5</v>
      </c>
      <c r="I1178" s="7">
        <v>32</v>
      </c>
      <c r="J1178" s="3" t="s">
        <v>4317</v>
      </c>
      <c r="K1178" s="8">
        <v>0.08</v>
      </c>
      <c r="L1178" s="9" t="s">
        <v>5444</v>
      </c>
      <c r="M1178" s="1" t="s">
        <v>5448</v>
      </c>
    </row>
    <row r="1179" spans="1:14" x14ac:dyDescent="0.3">
      <c r="A1179" s="3">
        <v>2719255</v>
      </c>
      <c r="B1179" s="4" t="s">
        <v>1898</v>
      </c>
      <c r="C1179" s="5">
        <v>1629009</v>
      </c>
      <c r="D1179" s="5" t="s">
        <v>74</v>
      </c>
      <c r="E1179" s="3" t="s">
        <v>5442</v>
      </c>
      <c r="F1179" s="6">
        <v>65</v>
      </c>
      <c r="G1179" s="6">
        <v>37</v>
      </c>
      <c r="H1179" s="6" t="s">
        <v>14</v>
      </c>
      <c r="I1179" s="7">
        <v>32</v>
      </c>
      <c r="J1179" s="3" t="s">
        <v>4317</v>
      </c>
      <c r="K1179" s="8">
        <v>0.24</v>
      </c>
      <c r="L1179" s="9" t="s">
        <v>5445</v>
      </c>
      <c r="M1179" s="1" t="s">
        <v>5449</v>
      </c>
    </row>
    <row r="1180" spans="1:14" x14ac:dyDescent="0.3">
      <c r="A1180" s="3">
        <v>2719256</v>
      </c>
      <c r="B1180" s="4" t="s">
        <v>1898</v>
      </c>
      <c r="C1180" s="5">
        <v>1629010</v>
      </c>
      <c r="D1180" s="5" t="s">
        <v>13</v>
      </c>
      <c r="E1180" s="3" t="s">
        <v>5442</v>
      </c>
      <c r="F1180" s="6">
        <v>67.5</v>
      </c>
      <c r="G1180" s="6">
        <v>39.5</v>
      </c>
      <c r="H1180" s="6">
        <v>8</v>
      </c>
      <c r="I1180" s="7">
        <v>32</v>
      </c>
      <c r="J1180" s="3" t="s">
        <v>4317</v>
      </c>
      <c r="K1180" s="8">
        <v>0.46</v>
      </c>
      <c r="L1180" s="9" t="s">
        <v>5446</v>
      </c>
      <c r="M1180" s="1" t="s">
        <v>5450</v>
      </c>
    </row>
    <row r="1181" spans="1:14" x14ac:dyDescent="0.3">
      <c r="A1181" s="3">
        <v>2719257</v>
      </c>
      <c r="B1181" s="4" t="s">
        <v>1898</v>
      </c>
      <c r="C1181" s="5">
        <v>1020090</v>
      </c>
      <c r="D1181" s="5" t="s">
        <v>13</v>
      </c>
      <c r="E1181" s="3" t="s">
        <v>1949</v>
      </c>
      <c r="F1181" s="6">
        <v>85.5</v>
      </c>
      <c r="G1181" s="6">
        <v>60</v>
      </c>
      <c r="H1181" s="6">
        <v>6.5</v>
      </c>
      <c r="I1181" s="7">
        <v>32</v>
      </c>
      <c r="J1181" s="3" t="s">
        <v>4317</v>
      </c>
      <c r="K1181" s="8">
        <v>1.7</v>
      </c>
      <c r="L1181" s="9" t="s">
        <v>5555</v>
      </c>
      <c r="M1181" s="1" t="s">
        <v>5554</v>
      </c>
      <c r="N1181" t="s">
        <v>5548</v>
      </c>
    </row>
    <row r="1182" spans="1:14" x14ac:dyDescent="0.3">
      <c r="A1182" s="3">
        <v>2719258</v>
      </c>
      <c r="B1182" s="4" t="s">
        <v>1898</v>
      </c>
      <c r="C1182" s="5">
        <v>1020091</v>
      </c>
      <c r="D1182" s="5" t="s">
        <v>90</v>
      </c>
      <c r="E1182" s="3" t="s">
        <v>5043</v>
      </c>
      <c r="F1182" s="6">
        <v>60</v>
      </c>
      <c r="G1182" s="6">
        <v>92</v>
      </c>
      <c r="H1182" s="6">
        <v>30</v>
      </c>
      <c r="I1182" s="7">
        <v>32</v>
      </c>
      <c r="J1182" s="3" t="s">
        <v>4317</v>
      </c>
      <c r="K1182" s="8">
        <v>1.2</v>
      </c>
      <c r="L1182" s="9" t="s">
        <v>5556</v>
      </c>
      <c r="M1182" s="1" t="s">
        <v>5562</v>
      </c>
      <c r="N1182" t="s">
        <v>5548</v>
      </c>
    </row>
    <row r="1183" spans="1:14" x14ac:dyDescent="0.3">
      <c r="A1183" s="3">
        <v>2719259</v>
      </c>
      <c r="B1183" s="4" t="s">
        <v>1898</v>
      </c>
      <c r="C1183" s="5">
        <v>1022036</v>
      </c>
      <c r="D1183" s="5" t="s">
        <v>23</v>
      </c>
      <c r="E1183" s="3" t="s">
        <v>5563</v>
      </c>
      <c r="F1183" s="6">
        <v>56.5</v>
      </c>
      <c r="G1183" s="6">
        <v>41</v>
      </c>
      <c r="H1183" s="6">
        <v>31.5</v>
      </c>
      <c r="I1183" s="7">
        <v>32</v>
      </c>
      <c r="J1183" s="3" t="s">
        <v>4317</v>
      </c>
      <c r="K1183" s="8">
        <v>1</v>
      </c>
      <c r="L1183" s="9" t="s">
        <v>5557</v>
      </c>
      <c r="M1183" s="1" t="s">
        <v>5564</v>
      </c>
      <c r="N1183" t="s">
        <v>5548</v>
      </c>
    </row>
    <row r="1184" spans="1:14" x14ac:dyDescent="0.3">
      <c r="A1184" s="3">
        <v>2719260</v>
      </c>
      <c r="B1184" s="4" t="s">
        <v>1898</v>
      </c>
      <c r="C1184" s="5">
        <v>1022037</v>
      </c>
      <c r="D1184" s="5" t="s">
        <v>13</v>
      </c>
      <c r="E1184" s="3" t="s">
        <v>5565</v>
      </c>
      <c r="F1184" s="6">
        <v>58</v>
      </c>
      <c r="G1184" s="6">
        <v>42.5</v>
      </c>
      <c r="H1184" s="6">
        <v>8</v>
      </c>
      <c r="I1184" s="7">
        <v>32</v>
      </c>
      <c r="J1184" s="3" t="s">
        <v>4317</v>
      </c>
      <c r="K1184" s="8">
        <v>1.3</v>
      </c>
      <c r="L1184" s="9" t="s">
        <v>5558</v>
      </c>
      <c r="M1184" s="1" t="s">
        <v>5566</v>
      </c>
      <c r="N1184" t="s">
        <v>5548</v>
      </c>
    </row>
    <row r="1185" spans="1:14" x14ac:dyDescent="0.3">
      <c r="A1185" s="3">
        <v>2719261</v>
      </c>
      <c r="B1185" s="4" t="s">
        <v>1898</v>
      </c>
      <c r="C1185" s="5">
        <v>1022038</v>
      </c>
      <c r="D1185" s="5" t="s">
        <v>4792</v>
      </c>
      <c r="E1185" s="3" t="s">
        <v>5567</v>
      </c>
      <c r="F1185" s="6">
        <v>55.5</v>
      </c>
      <c r="G1185" s="6">
        <v>65</v>
      </c>
      <c r="H1185" s="6">
        <v>46.5</v>
      </c>
      <c r="I1185" s="7">
        <v>32</v>
      </c>
      <c r="J1185" s="3" t="s">
        <v>4317</v>
      </c>
      <c r="K1185" s="8">
        <v>5.0999999999999996</v>
      </c>
      <c r="L1185" s="9" t="s">
        <v>5559</v>
      </c>
      <c r="M1185" s="1" t="s">
        <v>5568</v>
      </c>
      <c r="N1185" t="s">
        <v>5548</v>
      </c>
    </row>
    <row r="1186" spans="1:14" x14ac:dyDescent="0.3">
      <c r="A1186" s="3">
        <v>2719262</v>
      </c>
      <c r="B1186" s="4" t="s">
        <v>1898</v>
      </c>
      <c r="C1186" s="5">
        <v>1103012</v>
      </c>
      <c r="D1186" s="5" t="s">
        <v>96</v>
      </c>
      <c r="E1186" s="3" t="s">
        <v>1770</v>
      </c>
      <c r="F1186" s="6">
        <v>41</v>
      </c>
      <c r="G1186" s="6">
        <v>24</v>
      </c>
      <c r="H1186" s="6">
        <v>38</v>
      </c>
      <c r="I1186" s="7">
        <v>32</v>
      </c>
      <c r="J1186" s="3" t="s">
        <v>4317</v>
      </c>
      <c r="K1186" s="8">
        <v>0.9</v>
      </c>
      <c r="L1186" s="9" t="s">
        <v>5560</v>
      </c>
      <c r="M1186" s="1" t="s">
        <v>5569</v>
      </c>
      <c r="N1186" t="s">
        <v>5548</v>
      </c>
    </row>
    <row r="1187" spans="1:14" x14ac:dyDescent="0.3">
      <c r="A1187" s="3">
        <v>2719263</v>
      </c>
      <c r="B1187" s="4" t="s">
        <v>1898</v>
      </c>
      <c r="C1187" s="5">
        <v>1219032</v>
      </c>
      <c r="D1187" s="5" t="s">
        <v>96</v>
      </c>
      <c r="E1187" s="3" t="s">
        <v>5048</v>
      </c>
      <c r="F1187" s="6">
        <v>61.5</v>
      </c>
      <c r="G1187" s="6">
        <v>61.5</v>
      </c>
      <c r="H1187" s="6">
        <v>32</v>
      </c>
      <c r="I1187" s="7">
        <v>32</v>
      </c>
      <c r="J1187" s="3" t="s">
        <v>4317</v>
      </c>
      <c r="K1187" s="8">
        <v>2.4</v>
      </c>
      <c r="L1187" s="9" t="s">
        <v>5561</v>
      </c>
      <c r="M1187" s="1" t="s">
        <v>5571</v>
      </c>
      <c r="N1187" t="s">
        <v>5548</v>
      </c>
    </row>
    <row r="1188" spans="1:14" x14ac:dyDescent="0.3">
      <c r="A1188" s="3">
        <v>2719264</v>
      </c>
      <c r="B1188" s="4" t="s">
        <v>1898</v>
      </c>
      <c r="C1188" s="5">
        <v>1219033</v>
      </c>
      <c r="D1188" s="5" t="s">
        <v>74</v>
      </c>
      <c r="E1188" s="3" t="s">
        <v>5048</v>
      </c>
      <c r="F1188" s="6">
        <v>60</v>
      </c>
      <c r="G1188" s="6">
        <v>60</v>
      </c>
      <c r="H1188" s="6" t="s">
        <v>14</v>
      </c>
      <c r="I1188" s="7">
        <v>32</v>
      </c>
      <c r="J1188" s="3" t="s">
        <v>4317</v>
      </c>
      <c r="K1188" s="8">
        <v>1.2</v>
      </c>
      <c r="L1188" s="9" t="s">
        <v>5572</v>
      </c>
      <c r="M1188" s="1" t="s">
        <v>5576</v>
      </c>
      <c r="N1188" t="s">
        <v>5548</v>
      </c>
    </row>
    <row r="1189" spans="1:14" x14ac:dyDescent="0.3">
      <c r="A1189" s="3">
        <v>2719265</v>
      </c>
      <c r="B1189" s="4" t="s">
        <v>1898</v>
      </c>
      <c r="C1189" s="5">
        <v>1219034</v>
      </c>
      <c r="D1189" s="5" t="s">
        <v>90</v>
      </c>
      <c r="E1189" s="3" t="s">
        <v>5048</v>
      </c>
      <c r="F1189" s="6">
        <v>60.6</v>
      </c>
      <c r="G1189" s="6">
        <v>60.6</v>
      </c>
      <c r="H1189" s="6">
        <v>14</v>
      </c>
      <c r="I1189" s="7">
        <v>32</v>
      </c>
      <c r="J1189" s="3" t="s">
        <v>4317</v>
      </c>
      <c r="K1189" s="8">
        <v>1.7</v>
      </c>
      <c r="L1189" s="9" t="s">
        <v>5573</v>
      </c>
      <c r="M1189" s="1" t="s">
        <v>5577</v>
      </c>
      <c r="N1189" t="s">
        <v>5548</v>
      </c>
    </row>
    <row r="1190" spans="1:14" x14ac:dyDescent="0.3">
      <c r="A1190" s="3">
        <v>2719266</v>
      </c>
      <c r="B1190" s="4" t="s">
        <v>1898</v>
      </c>
      <c r="C1190" s="5">
        <v>1232094</v>
      </c>
      <c r="D1190" s="5" t="s">
        <v>96</v>
      </c>
      <c r="E1190" s="3" t="s">
        <v>5043</v>
      </c>
      <c r="F1190" s="6">
        <v>56.4</v>
      </c>
      <c r="G1190" s="6">
        <v>31</v>
      </c>
      <c r="H1190" s="6">
        <v>56.4</v>
      </c>
      <c r="I1190" s="7">
        <v>32</v>
      </c>
      <c r="J1190" s="3" t="s">
        <v>4317</v>
      </c>
      <c r="K1190" s="8">
        <v>1.4</v>
      </c>
      <c r="L1190" s="9" t="s">
        <v>5574</v>
      </c>
      <c r="M1190" s="1" t="s">
        <v>5578</v>
      </c>
      <c r="N1190" t="s">
        <v>5548</v>
      </c>
    </row>
    <row r="1191" spans="1:14" x14ac:dyDescent="0.3">
      <c r="A1191" s="3">
        <v>2719267</v>
      </c>
      <c r="B1191" s="4" t="s">
        <v>1898</v>
      </c>
      <c r="C1191" s="5">
        <v>1232095</v>
      </c>
      <c r="D1191" s="5" t="s">
        <v>90</v>
      </c>
      <c r="E1191" s="3" t="s">
        <v>5043</v>
      </c>
      <c r="F1191" s="6">
        <v>55.5</v>
      </c>
      <c r="G1191" s="6">
        <v>30</v>
      </c>
      <c r="H1191" s="6">
        <v>48</v>
      </c>
      <c r="I1191" s="7">
        <v>32</v>
      </c>
      <c r="J1191" s="3" t="s">
        <v>4317</v>
      </c>
      <c r="K1191" s="8">
        <v>1.4</v>
      </c>
      <c r="L1191" s="9" t="s">
        <v>5575</v>
      </c>
      <c r="M1191" s="1" t="s">
        <v>5584</v>
      </c>
      <c r="N1191" t="s">
        <v>5548</v>
      </c>
    </row>
    <row r="1192" spans="1:14" x14ac:dyDescent="0.3">
      <c r="A1192" s="3">
        <v>2719268</v>
      </c>
      <c r="B1192" s="4" t="s">
        <v>1898</v>
      </c>
      <c r="C1192" s="5">
        <v>126907</v>
      </c>
      <c r="D1192" s="5" t="s">
        <v>96</v>
      </c>
      <c r="E1192" s="3" t="s">
        <v>5585</v>
      </c>
      <c r="F1192" s="6">
        <v>30.5</v>
      </c>
      <c r="G1192" s="6">
        <v>19</v>
      </c>
      <c r="H1192" s="6">
        <v>30.5</v>
      </c>
      <c r="I1192" s="7">
        <v>32</v>
      </c>
      <c r="J1192" s="3" t="s">
        <v>4317</v>
      </c>
      <c r="K1192" s="8">
        <v>0.3</v>
      </c>
      <c r="L1192" s="9" t="s">
        <v>5579</v>
      </c>
      <c r="M1192" s="1" t="s">
        <v>5586</v>
      </c>
      <c r="N1192" t="s">
        <v>5548</v>
      </c>
    </row>
    <row r="1193" spans="1:14" x14ac:dyDescent="0.3">
      <c r="A1193" s="3">
        <v>2719269</v>
      </c>
      <c r="B1193" s="4" t="s">
        <v>1898</v>
      </c>
      <c r="C1193" s="5">
        <v>1307015</v>
      </c>
      <c r="D1193" s="5" t="s">
        <v>96</v>
      </c>
      <c r="E1193" s="3" t="s">
        <v>5587</v>
      </c>
      <c r="F1193" s="6">
        <v>60.9</v>
      </c>
      <c r="G1193" s="6">
        <v>60.9</v>
      </c>
      <c r="H1193" s="6">
        <v>30.8</v>
      </c>
      <c r="I1193" s="7">
        <v>32</v>
      </c>
      <c r="J1193" s="3" t="s">
        <v>4317</v>
      </c>
      <c r="K1193" s="8">
        <v>2.29</v>
      </c>
      <c r="L1193" s="9" t="s">
        <v>5580</v>
      </c>
      <c r="M1193" s="1" t="s">
        <v>5588</v>
      </c>
      <c r="N1193" t="s">
        <v>5548</v>
      </c>
    </row>
    <row r="1194" spans="1:14" x14ac:dyDescent="0.3">
      <c r="A1194" s="3">
        <v>2719270</v>
      </c>
      <c r="B1194" s="4" t="s">
        <v>1898</v>
      </c>
      <c r="C1194" s="5">
        <v>1307016</v>
      </c>
      <c r="D1194" s="5" t="s">
        <v>90</v>
      </c>
      <c r="E1194" s="3" t="s">
        <v>5587</v>
      </c>
      <c r="F1194" s="6">
        <v>60</v>
      </c>
      <c r="G1194" s="6">
        <v>60</v>
      </c>
      <c r="H1194" s="6">
        <v>29.5</v>
      </c>
      <c r="I1194" s="7">
        <v>32</v>
      </c>
      <c r="J1194" s="3" t="s">
        <v>4317</v>
      </c>
      <c r="K1194" s="8">
        <v>0.18</v>
      </c>
      <c r="L1194" s="9" t="s">
        <v>5581</v>
      </c>
      <c r="M1194" s="1" t="s">
        <v>5589</v>
      </c>
      <c r="N1194" t="s">
        <v>5548</v>
      </c>
    </row>
    <row r="1195" spans="1:14" x14ac:dyDescent="0.3">
      <c r="A1195" s="3">
        <v>2719271</v>
      </c>
      <c r="B1195" s="4" t="s">
        <v>1898</v>
      </c>
      <c r="C1195" s="5">
        <v>1389003</v>
      </c>
      <c r="D1195" s="5" t="s">
        <v>96</v>
      </c>
      <c r="E1195" s="3" t="s">
        <v>5590</v>
      </c>
      <c r="F1195" s="6">
        <v>60.5</v>
      </c>
      <c r="G1195" s="6">
        <v>60.5</v>
      </c>
      <c r="H1195" s="6">
        <v>31</v>
      </c>
      <c r="I1195" s="7">
        <v>32</v>
      </c>
      <c r="J1195" s="3" t="s">
        <v>4317</v>
      </c>
      <c r="K1195" s="8">
        <v>2.2999999999999998</v>
      </c>
      <c r="L1195" s="9" t="s">
        <v>5582</v>
      </c>
      <c r="M1195" s="1" t="s">
        <v>5591</v>
      </c>
      <c r="N1195" t="s">
        <v>5548</v>
      </c>
    </row>
    <row r="1196" spans="1:14" x14ac:dyDescent="0.3">
      <c r="A1196" s="3">
        <v>2719272</v>
      </c>
      <c r="B1196" s="4" t="s">
        <v>1898</v>
      </c>
      <c r="C1196" s="5">
        <v>1389004</v>
      </c>
      <c r="D1196" s="5" t="s">
        <v>90</v>
      </c>
      <c r="E1196" s="3" t="s">
        <v>5590</v>
      </c>
      <c r="F1196" s="6">
        <v>59.4</v>
      </c>
      <c r="G1196" s="6">
        <v>59.4</v>
      </c>
      <c r="H1196" s="6">
        <v>30</v>
      </c>
      <c r="I1196" s="7">
        <v>44</v>
      </c>
      <c r="J1196" s="3" t="s">
        <v>4318</v>
      </c>
      <c r="K1196" s="8">
        <v>1.2</v>
      </c>
      <c r="L1196" s="9" t="s">
        <v>5583</v>
      </c>
      <c r="M1196" s="1" t="s">
        <v>5592</v>
      </c>
      <c r="N1196" t="s">
        <v>5548</v>
      </c>
    </row>
    <row r="1197" spans="1:14" x14ac:dyDescent="0.3">
      <c r="A1197" s="3">
        <v>2719273</v>
      </c>
      <c r="B1197" s="4" t="s">
        <v>1898</v>
      </c>
      <c r="C1197" s="5">
        <v>1432009</v>
      </c>
      <c r="D1197" s="5" t="s">
        <v>13</v>
      </c>
      <c r="E1197" s="3" t="s">
        <v>5593</v>
      </c>
      <c r="F1197" s="6">
        <v>62.5</v>
      </c>
      <c r="G1197" s="6">
        <v>58.5</v>
      </c>
      <c r="H1197" s="6">
        <v>8</v>
      </c>
      <c r="I1197" s="7">
        <v>32</v>
      </c>
      <c r="J1197" s="3" t="s">
        <v>4317</v>
      </c>
      <c r="K1197" s="8">
        <v>0.57999999999999996</v>
      </c>
      <c r="L1197" s="9" t="s">
        <v>5594</v>
      </c>
      <c r="M1197" s="1" t="s">
        <v>5602</v>
      </c>
      <c r="N1197" t="s">
        <v>5548</v>
      </c>
    </row>
    <row r="1198" spans="1:14" x14ac:dyDescent="0.3">
      <c r="A1198" s="3">
        <v>2719274</v>
      </c>
      <c r="B1198" s="4" t="s">
        <v>1898</v>
      </c>
      <c r="C1198" s="5">
        <v>1581017</v>
      </c>
      <c r="D1198" s="5" t="s">
        <v>90</v>
      </c>
      <c r="E1198" s="3" t="s">
        <v>5603</v>
      </c>
      <c r="F1198" s="6">
        <v>60</v>
      </c>
      <c r="G1198" s="6">
        <v>56</v>
      </c>
      <c r="H1198" s="6">
        <v>34.5</v>
      </c>
      <c r="I1198" s="7">
        <v>32</v>
      </c>
      <c r="J1198" s="3" t="s">
        <v>4317</v>
      </c>
      <c r="K1198" s="8">
        <v>0.19</v>
      </c>
      <c r="L1198" s="9" t="s">
        <v>5595</v>
      </c>
      <c r="M1198" s="1" t="s">
        <v>5604</v>
      </c>
      <c r="N1198" t="s">
        <v>5548</v>
      </c>
    </row>
    <row r="1199" spans="1:14" x14ac:dyDescent="0.3">
      <c r="A1199" s="3">
        <v>2719275</v>
      </c>
      <c r="B1199" s="4" t="s">
        <v>1898</v>
      </c>
      <c r="C1199" s="5">
        <v>1611000</v>
      </c>
      <c r="D1199" s="5" t="s">
        <v>5605</v>
      </c>
      <c r="E1199" s="3" t="s">
        <v>14</v>
      </c>
      <c r="F1199" s="6" t="s">
        <v>14</v>
      </c>
      <c r="G1199" s="6" t="s">
        <v>14</v>
      </c>
      <c r="H1199" s="6" t="s">
        <v>14</v>
      </c>
      <c r="I1199" s="7" t="s">
        <v>14</v>
      </c>
      <c r="J1199" s="3" t="s">
        <v>14</v>
      </c>
      <c r="K1199" s="8" t="s">
        <v>14</v>
      </c>
      <c r="L1199" s="9" t="s">
        <v>5596</v>
      </c>
      <c r="M1199" s="1" t="s">
        <v>5606</v>
      </c>
      <c r="N1199" t="s">
        <v>5548</v>
      </c>
    </row>
    <row r="1200" spans="1:14" x14ac:dyDescent="0.3">
      <c r="A1200" s="3">
        <v>2719276</v>
      </c>
      <c r="B1200" s="4" t="s">
        <v>1898</v>
      </c>
      <c r="C1200" s="5">
        <v>1665005</v>
      </c>
      <c r="D1200" s="5" t="s">
        <v>96</v>
      </c>
      <c r="E1200" s="3" t="s">
        <v>5607</v>
      </c>
      <c r="F1200" s="6">
        <v>61</v>
      </c>
      <c r="G1200" s="6">
        <v>57</v>
      </c>
      <c r="H1200" s="6">
        <v>21</v>
      </c>
      <c r="I1200" s="7">
        <v>32</v>
      </c>
      <c r="J1200" s="3" t="s">
        <v>4317</v>
      </c>
      <c r="K1200" s="8">
        <v>1.89</v>
      </c>
      <c r="L1200" s="9" t="s">
        <v>5597</v>
      </c>
      <c r="M1200" s="1" t="s">
        <v>5608</v>
      </c>
      <c r="N1200" t="s">
        <v>5548</v>
      </c>
    </row>
    <row r="1201" spans="1:14" x14ac:dyDescent="0.3">
      <c r="A1201" s="3">
        <v>2719277</v>
      </c>
      <c r="B1201" s="4" t="s">
        <v>1898</v>
      </c>
      <c r="C1201" s="5">
        <v>1665006</v>
      </c>
      <c r="D1201" s="5" t="s">
        <v>4792</v>
      </c>
      <c r="E1201" s="3" t="s">
        <v>5607</v>
      </c>
      <c r="F1201" s="6">
        <v>60</v>
      </c>
      <c r="G1201" s="6">
        <v>56</v>
      </c>
      <c r="H1201" s="6">
        <v>19.5</v>
      </c>
      <c r="I1201" s="7">
        <v>32</v>
      </c>
      <c r="J1201" s="3" t="s">
        <v>4317</v>
      </c>
      <c r="K1201" s="8">
        <v>0.12</v>
      </c>
      <c r="L1201" s="9" t="s">
        <v>5598</v>
      </c>
      <c r="M1201" s="1" t="s">
        <v>5609</v>
      </c>
      <c r="N1201" t="s">
        <v>5548</v>
      </c>
    </row>
    <row r="1202" spans="1:14" x14ac:dyDescent="0.3">
      <c r="A1202" s="3">
        <v>2719278</v>
      </c>
      <c r="B1202" s="4" t="s">
        <v>1898</v>
      </c>
      <c r="C1202" s="5">
        <v>1581015</v>
      </c>
      <c r="D1202" s="5" t="s">
        <v>96</v>
      </c>
      <c r="E1202" s="3" t="s">
        <v>5610</v>
      </c>
      <c r="F1202" s="6">
        <v>61</v>
      </c>
      <c r="G1202" s="6">
        <v>57</v>
      </c>
      <c r="H1202" s="6">
        <v>51</v>
      </c>
      <c r="I1202" s="7">
        <v>32</v>
      </c>
      <c r="J1202" s="3" t="s">
        <v>4317</v>
      </c>
      <c r="K1202" s="8">
        <v>2.2400000000000002</v>
      </c>
      <c r="L1202" s="9" t="s">
        <v>5599</v>
      </c>
      <c r="M1202" s="1" t="s">
        <v>5611</v>
      </c>
      <c r="N1202" t="s">
        <v>5548</v>
      </c>
    </row>
    <row r="1203" spans="1:14" x14ac:dyDescent="0.3">
      <c r="A1203" s="3">
        <v>2719279</v>
      </c>
      <c r="B1203" s="4" t="s">
        <v>1898</v>
      </c>
      <c r="C1203" s="5">
        <v>1049036</v>
      </c>
      <c r="D1203" s="5" t="s">
        <v>96</v>
      </c>
      <c r="E1203" s="3" t="s">
        <v>5613</v>
      </c>
      <c r="F1203" s="6">
        <v>53.5</v>
      </c>
      <c r="G1203" s="6">
        <v>40.5</v>
      </c>
      <c r="H1203" s="6">
        <v>41.7</v>
      </c>
      <c r="I1203" s="7">
        <v>42</v>
      </c>
      <c r="J1203" s="3" t="s">
        <v>4318</v>
      </c>
      <c r="K1203" s="8">
        <v>1.6</v>
      </c>
      <c r="L1203" s="9" t="s">
        <v>5600</v>
      </c>
      <c r="M1203" s="1" t="s">
        <v>5614</v>
      </c>
      <c r="N1203" t="s">
        <v>5548</v>
      </c>
    </row>
    <row r="1204" spans="1:14" x14ac:dyDescent="0.3">
      <c r="A1204" s="3">
        <v>2719280</v>
      </c>
      <c r="B1204" s="4" t="s">
        <v>1898</v>
      </c>
      <c r="C1204" s="5">
        <v>1049037</v>
      </c>
      <c r="D1204" s="5" t="s">
        <v>90</v>
      </c>
      <c r="E1204" s="3" t="s">
        <v>5613</v>
      </c>
      <c r="F1204" s="6">
        <v>52</v>
      </c>
      <c r="G1204" s="6">
        <v>39</v>
      </c>
      <c r="H1204" s="6">
        <v>39.5</v>
      </c>
      <c r="I1204" s="7">
        <v>32</v>
      </c>
      <c r="J1204" s="3" t="s">
        <v>4317</v>
      </c>
      <c r="K1204" s="8">
        <v>0.21</v>
      </c>
      <c r="L1204" s="9" t="s">
        <v>5601</v>
      </c>
      <c r="M1204" s="1" t="s">
        <v>5620</v>
      </c>
      <c r="N1204" t="s">
        <v>5548</v>
      </c>
    </row>
    <row r="1205" spans="1:14" x14ac:dyDescent="0.3">
      <c r="A1205" s="3">
        <v>2719281</v>
      </c>
      <c r="B1205" s="4" t="s">
        <v>1898</v>
      </c>
      <c r="C1205" s="5">
        <v>1436011</v>
      </c>
      <c r="D1205" s="5" t="s">
        <v>13</v>
      </c>
      <c r="E1205" s="3" t="s">
        <v>5593</v>
      </c>
      <c r="F1205" s="6">
        <v>62.5</v>
      </c>
      <c r="G1205" s="6">
        <v>58.5</v>
      </c>
      <c r="H1205" s="6">
        <v>8</v>
      </c>
      <c r="I1205" s="7">
        <v>32</v>
      </c>
      <c r="J1205" s="3" t="s">
        <v>4317</v>
      </c>
      <c r="K1205" s="8">
        <v>0.57999999999999996</v>
      </c>
      <c r="L1205" s="9" t="s">
        <v>5615</v>
      </c>
      <c r="M1205" s="1" t="s">
        <v>5621</v>
      </c>
      <c r="N1205" t="s">
        <v>5548</v>
      </c>
    </row>
    <row r="1206" spans="1:14" x14ac:dyDescent="0.3">
      <c r="A1206" s="3">
        <v>2719282</v>
      </c>
      <c r="B1206" s="4" t="s">
        <v>1898</v>
      </c>
      <c r="C1206" s="5">
        <v>1624004</v>
      </c>
      <c r="D1206" s="5" t="s">
        <v>13</v>
      </c>
      <c r="E1206" s="3" t="s">
        <v>6044</v>
      </c>
      <c r="F1206" s="6">
        <v>62.5</v>
      </c>
      <c r="G1206" s="6">
        <v>58.5</v>
      </c>
      <c r="H1206" s="6">
        <v>8</v>
      </c>
      <c r="I1206" s="7">
        <v>32</v>
      </c>
      <c r="J1206" s="3" t="s">
        <v>4317</v>
      </c>
      <c r="K1206" s="8">
        <v>0.57999999999999996</v>
      </c>
      <c r="L1206" s="9" t="s">
        <v>5616</v>
      </c>
      <c r="M1206" s="1" t="s">
        <v>5622</v>
      </c>
      <c r="N1206" t="s">
        <v>5548</v>
      </c>
    </row>
    <row r="1207" spans="1:14" x14ac:dyDescent="0.3">
      <c r="A1207" s="3">
        <v>2719283</v>
      </c>
      <c r="B1207" s="4" t="s">
        <v>1898</v>
      </c>
      <c r="C1207" s="5">
        <v>1437013</v>
      </c>
      <c r="D1207" s="5" t="s">
        <v>13</v>
      </c>
      <c r="E1207" s="3" t="s">
        <v>5156</v>
      </c>
      <c r="F1207" s="6">
        <v>113</v>
      </c>
      <c r="G1207" s="6">
        <v>58</v>
      </c>
      <c r="H1207" s="6">
        <v>8</v>
      </c>
      <c r="I1207" s="7">
        <v>32</v>
      </c>
      <c r="J1207" s="3" t="s">
        <v>4317</v>
      </c>
      <c r="K1207" s="8">
        <v>0.95</v>
      </c>
      <c r="L1207" s="9" t="s">
        <v>5617</v>
      </c>
      <c r="M1207" s="1" t="s">
        <v>5624</v>
      </c>
      <c r="N1207" t="s">
        <v>5548</v>
      </c>
    </row>
    <row r="1208" spans="1:14" x14ac:dyDescent="0.3">
      <c r="A1208" s="3">
        <v>2719284</v>
      </c>
      <c r="B1208" s="4" t="s">
        <v>1898</v>
      </c>
      <c r="C1208" s="5">
        <v>1014041</v>
      </c>
      <c r="D1208" s="5" t="s">
        <v>74</v>
      </c>
      <c r="E1208" s="3" t="s">
        <v>5625</v>
      </c>
      <c r="F1208" s="6">
        <v>60</v>
      </c>
      <c r="G1208" s="6">
        <v>56</v>
      </c>
      <c r="H1208" s="6" t="s">
        <v>14</v>
      </c>
      <c r="I1208" s="7" t="s">
        <v>4731</v>
      </c>
      <c r="J1208" s="3" t="s">
        <v>5312</v>
      </c>
      <c r="K1208" s="8" t="s">
        <v>14</v>
      </c>
      <c r="L1208" s="9" t="s">
        <v>5618</v>
      </c>
      <c r="M1208" s="1" t="s">
        <v>5626</v>
      </c>
      <c r="N1208" t="s">
        <v>5548</v>
      </c>
    </row>
    <row r="1209" spans="1:14" x14ac:dyDescent="0.3">
      <c r="A1209" s="3">
        <v>2719285</v>
      </c>
      <c r="B1209" s="4" t="s">
        <v>1898</v>
      </c>
      <c r="C1209" s="5">
        <v>1569002</v>
      </c>
      <c r="D1209" s="5" t="s">
        <v>23</v>
      </c>
      <c r="E1209" s="3" t="s">
        <v>5627</v>
      </c>
      <c r="F1209" s="6">
        <v>66</v>
      </c>
      <c r="G1209" s="6">
        <v>48.3</v>
      </c>
      <c r="H1209" s="6">
        <v>30.3</v>
      </c>
      <c r="I1209" s="7">
        <v>32</v>
      </c>
      <c r="J1209" s="3" t="s">
        <v>4317</v>
      </c>
      <c r="K1209" s="8">
        <v>1.28</v>
      </c>
      <c r="L1209" s="9" t="s">
        <v>5619</v>
      </c>
      <c r="M1209" s="1" t="s">
        <v>5628</v>
      </c>
      <c r="N1209" t="s">
        <v>5548</v>
      </c>
    </row>
    <row r="1210" spans="1:14" x14ac:dyDescent="0.3">
      <c r="A1210" s="3">
        <v>2719286</v>
      </c>
      <c r="B1210" s="4" t="s">
        <v>1898</v>
      </c>
      <c r="C1210" s="5">
        <v>1562039</v>
      </c>
      <c r="D1210" s="5" t="s">
        <v>96</v>
      </c>
      <c r="E1210" s="3" t="s">
        <v>6594</v>
      </c>
      <c r="F1210" s="6">
        <v>38</v>
      </c>
      <c r="G1210" s="6">
        <v>30.5</v>
      </c>
      <c r="H1210" s="6">
        <v>13</v>
      </c>
      <c r="I1210" s="7">
        <v>42</v>
      </c>
      <c r="J1210" s="3" t="s">
        <v>4318</v>
      </c>
      <c r="K1210" s="8">
        <v>0.63</v>
      </c>
      <c r="L1210" s="9" t="s">
        <v>6597</v>
      </c>
      <c r="M1210" s="1" t="s">
        <v>6601</v>
      </c>
    </row>
    <row r="1211" spans="1:14" x14ac:dyDescent="0.3">
      <c r="A1211" s="3">
        <v>2719287</v>
      </c>
      <c r="B1211" s="4" t="s">
        <v>1898</v>
      </c>
      <c r="C1211" s="5" t="s">
        <v>6592</v>
      </c>
      <c r="D1211" s="5" t="s">
        <v>90</v>
      </c>
      <c r="E1211" s="3" t="s">
        <v>6594</v>
      </c>
      <c r="F1211" s="6">
        <v>36.5</v>
      </c>
      <c r="G1211" s="6">
        <v>29</v>
      </c>
      <c r="H1211" s="6">
        <v>11.7</v>
      </c>
      <c r="I1211" s="7">
        <v>32</v>
      </c>
      <c r="J1211" s="3" t="s">
        <v>4317</v>
      </c>
      <c r="K1211" s="8">
        <f>0.04+0.03</f>
        <v>7.0000000000000007E-2</v>
      </c>
      <c r="L1211" s="9" t="s">
        <v>6598</v>
      </c>
      <c r="M1211" s="1" t="s">
        <v>6602</v>
      </c>
    </row>
    <row r="1212" spans="1:14" x14ac:dyDescent="0.3">
      <c r="A1212" s="3">
        <v>2719288</v>
      </c>
      <c r="B1212" s="4" t="s">
        <v>1898</v>
      </c>
      <c r="C1212" s="5" t="s">
        <v>6593</v>
      </c>
      <c r="D1212" s="5" t="s">
        <v>74</v>
      </c>
      <c r="E1212" s="3" t="s">
        <v>6594</v>
      </c>
      <c r="F1212" s="6">
        <v>36.5</v>
      </c>
      <c r="G1212" s="6">
        <v>29</v>
      </c>
      <c r="H1212" s="6" t="s">
        <v>14</v>
      </c>
      <c r="I1212" s="7" t="s">
        <v>6600</v>
      </c>
      <c r="J1212" s="3" t="s">
        <v>4870</v>
      </c>
      <c r="K1212" s="8">
        <v>0.11</v>
      </c>
      <c r="L1212" s="9" t="s">
        <v>6599</v>
      </c>
      <c r="M1212" s="1" t="s">
        <v>6603</v>
      </c>
    </row>
    <row r="1213" spans="1:14" x14ac:dyDescent="0.3">
      <c r="A1213" s="3">
        <v>2819286</v>
      </c>
      <c r="B1213" s="4" t="s">
        <v>1898</v>
      </c>
      <c r="C1213" s="5" t="s">
        <v>6802</v>
      </c>
      <c r="D1213" s="5" t="s">
        <v>23</v>
      </c>
      <c r="E1213" s="3" t="s">
        <v>6653</v>
      </c>
      <c r="F1213" s="6">
        <v>61</v>
      </c>
      <c r="G1213" s="6">
        <v>56</v>
      </c>
      <c r="H1213" s="6">
        <v>18</v>
      </c>
      <c r="I1213" s="7">
        <v>42</v>
      </c>
      <c r="J1213" s="3" t="s">
        <v>4318</v>
      </c>
      <c r="K1213" s="8">
        <v>1.1100000000000001</v>
      </c>
      <c r="L1213" s="9" t="s">
        <v>6597</v>
      </c>
      <c r="M1213" s="1" t="s">
        <v>6851</v>
      </c>
    </row>
    <row r="1214" spans="1:14" x14ac:dyDescent="0.3">
      <c r="A1214" s="3">
        <v>2819287</v>
      </c>
      <c r="B1214" s="4" t="s">
        <v>1898</v>
      </c>
      <c r="C1214" s="5" t="s">
        <v>6802</v>
      </c>
      <c r="D1214" s="5" t="s">
        <v>90</v>
      </c>
      <c r="E1214" s="3" t="s">
        <v>6653</v>
      </c>
      <c r="F1214" s="6">
        <v>59.5</v>
      </c>
      <c r="G1214" s="6">
        <v>55</v>
      </c>
      <c r="H1214" s="6">
        <v>16.5</v>
      </c>
      <c r="I1214" s="7" t="s">
        <v>6324</v>
      </c>
      <c r="J1214" s="3" t="s">
        <v>4422</v>
      </c>
      <c r="K1214" s="8">
        <f>0.1+0.09</f>
        <v>0.19</v>
      </c>
      <c r="L1214" s="9" t="s">
        <v>6598</v>
      </c>
      <c r="M1214" s="1" t="s">
        <v>6852</v>
      </c>
    </row>
    <row r="1215" spans="1:14" x14ac:dyDescent="0.3">
      <c r="A1215" s="3">
        <v>2819288</v>
      </c>
      <c r="B1215" s="4" t="s">
        <v>1898</v>
      </c>
      <c r="C1215" s="5" t="s">
        <v>6802</v>
      </c>
      <c r="D1215" s="5" t="s">
        <v>6801</v>
      </c>
      <c r="E1215" s="3" t="s">
        <v>6653</v>
      </c>
      <c r="F1215" s="6">
        <v>59.5</v>
      </c>
      <c r="G1215" s="6">
        <v>54.5</v>
      </c>
      <c r="H1215" s="6" t="s">
        <v>14</v>
      </c>
      <c r="I1215" s="7" t="s">
        <v>6803</v>
      </c>
      <c r="J1215" s="3" t="s">
        <v>4731</v>
      </c>
      <c r="K1215" s="8" t="s">
        <v>14</v>
      </c>
      <c r="L1215" s="9" t="s">
        <v>6599</v>
      </c>
      <c r="M1215" s="1" t="s">
        <v>6853</v>
      </c>
    </row>
    <row r="1216" spans="1:14" x14ac:dyDescent="0.3">
      <c r="A1216" s="3">
        <v>2719289</v>
      </c>
      <c r="B1216" s="4" t="s">
        <v>1898</v>
      </c>
      <c r="C1216" s="5" t="s">
        <v>6802</v>
      </c>
      <c r="D1216" s="5" t="s">
        <v>13</v>
      </c>
      <c r="E1216" s="3" t="s">
        <v>6653</v>
      </c>
      <c r="F1216" s="6">
        <v>62</v>
      </c>
      <c r="G1216" s="6">
        <v>58</v>
      </c>
      <c r="H1216" s="6">
        <v>8.5</v>
      </c>
      <c r="I1216" s="7">
        <v>32</v>
      </c>
      <c r="J1216" s="3" t="s">
        <v>4317</v>
      </c>
      <c r="K1216" s="8">
        <v>0.59</v>
      </c>
      <c r="L1216" s="9" t="s">
        <v>6654</v>
      </c>
      <c r="M1216" s="1" t="s">
        <v>6854</v>
      </c>
    </row>
    <row r="1217" spans="1:15" x14ac:dyDescent="0.3">
      <c r="A1217" s="3">
        <v>2719290</v>
      </c>
      <c r="B1217" s="4" t="s">
        <v>1898</v>
      </c>
      <c r="C1217" s="5" t="s">
        <v>6804</v>
      </c>
      <c r="D1217" s="5" t="s">
        <v>23</v>
      </c>
      <c r="E1217" s="3" t="s">
        <v>6805</v>
      </c>
      <c r="F1217" s="6">
        <v>61</v>
      </c>
      <c r="G1217" s="6">
        <v>56</v>
      </c>
      <c r="H1217" s="6">
        <v>23</v>
      </c>
      <c r="I1217" s="7">
        <v>42</v>
      </c>
      <c r="J1217" s="3" t="s">
        <v>4318</v>
      </c>
      <c r="K1217" s="8">
        <v>1.54</v>
      </c>
      <c r="L1217" s="9" t="s">
        <v>6655</v>
      </c>
      <c r="M1217" s="1" t="s">
        <v>6855</v>
      </c>
    </row>
    <row r="1218" spans="1:15" x14ac:dyDescent="0.3">
      <c r="A1218" s="3">
        <v>2719291</v>
      </c>
      <c r="B1218" s="4" t="s">
        <v>1898</v>
      </c>
      <c r="C1218" s="5" t="s">
        <v>6804</v>
      </c>
      <c r="D1218" s="5" t="s">
        <v>90</v>
      </c>
      <c r="E1218" s="3" t="s">
        <v>6805</v>
      </c>
      <c r="F1218" s="6">
        <v>59.5</v>
      </c>
      <c r="G1218" s="6">
        <v>55</v>
      </c>
      <c r="H1218" s="6">
        <v>34.5</v>
      </c>
      <c r="I1218" s="7">
        <v>32</v>
      </c>
      <c r="J1218" s="3" t="s">
        <v>6806</v>
      </c>
      <c r="K1218" s="8">
        <f>0.21+0.19</f>
        <v>0.4</v>
      </c>
      <c r="L1218" s="9" t="s">
        <v>6656</v>
      </c>
      <c r="M1218" s="1" t="s">
        <v>6856</v>
      </c>
    </row>
    <row r="1219" spans="1:15" x14ac:dyDescent="0.3">
      <c r="A1219" s="3">
        <v>2719292</v>
      </c>
      <c r="B1219" s="4" t="s">
        <v>1898</v>
      </c>
      <c r="C1219" s="5" t="s">
        <v>6804</v>
      </c>
      <c r="D1219" s="5" t="s">
        <v>74</v>
      </c>
      <c r="E1219" s="3" t="s">
        <v>6805</v>
      </c>
      <c r="F1219" s="6">
        <v>59.5</v>
      </c>
      <c r="G1219" s="6">
        <v>55</v>
      </c>
      <c r="H1219" s="6" t="s">
        <v>14</v>
      </c>
      <c r="I1219" s="7" t="s">
        <v>5780</v>
      </c>
      <c r="J1219" s="3" t="s">
        <v>4731</v>
      </c>
      <c r="K1219" s="8">
        <v>0.33</v>
      </c>
      <c r="L1219" s="9" t="s">
        <v>6657</v>
      </c>
      <c r="M1219" s="1" t="s">
        <v>6857</v>
      </c>
    </row>
    <row r="1220" spans="1:15" x14ac:dyDescent="0.3">
      <c r="A1220" s="3">
        <v>2719293</v>
      </c>
      <c r="B1220" s="4" t="s">
        <v>1898</v>
      </c>
      <c r="C1220" s="5" t="s">
        <v>6804</v>
      </c>
      <c r="D1220" s="5" t="s">
        <v>13</v>
      </c>
      <c r="E1220" s="3" t="s">
        <v>6805</v>
      </c>
      <c r="F1220" s="6">
        <v>62</v>
      </c>
      <c r="G1220" s="6">
        <v>58</v>
      </c>
      <c r="H1220" s="6">
        <v>8.5</v>
      </c>
      <c r="I1220" s="7">
        <v>32</v>
      </c>
      <c r="J1220" s="3" t="s">
        <v>4317</v>
      </c>
      <c r="K1220" s="8">
        <v>0.59</v>
      </c>
      <c r="L1220" s="9" t="s">
        <v>6658</v>
      </c>
      <c r="M1220" s="1" t="s">
        <v>6858</v>
      </c>
    </row>
    <row r="1221" spans="1:15" x14ac:dyDescent="0.3">
      <c r="A1221" s="3">
        <v>2719294</v>
      </c>
      <c r="B1221" s="4" t="s">
        <v>1898</v>
      </c>
      <c r="C1221" s="5" t="s">
        <v>6807</v>
      </c>
      <c r="D1221" s="5" t="s">
        <v>23</v>
      </c>
      <c r="E1221" s="3" t="s">
        <v>6670</v>
      </c>
      <c r="F1221" s="6">
        <v>121</v>
      </c>
      <c r="G1221" s="6">
        <v>112.5</v>
      </c>
      <c r="H1221" s="6">
        <v>53.5</v>
      </c>
      <c r="I1221" s="7">
        <v>42</v>
      </c>
      <c r="J1221" s="3" t="s">
        <v>4318</v>
      </c>
      <c r="K1221" s="8">
        <f>7.86/2</f>
        <v>3.93</v>
      </c>
      <c r="L1221" s="9" t="s">
        <v>6659</v>
      </c>
      <c r="M1221" s="1" t="s">
        <v>6859</v>
      </c>
    </row>
    <row r="1222" spans="1:15" x14ac:dyDescent="0.3">
      <c r="A1222" s="3">
        <v>2719295</v>
      </c>
      <c r="B1222" s="4" t="s">
        <v>1898</v>
      </c>
      <c r="C1222" s="5" t="s">
        <v>6807</v>
      </c>
      <c r="D1222" s="5" t="s">
        <v>90</v>
      </c>
      <c r="E1222" s="3" t="s">
        <v>6670</v>
      </c>
      <c r="F1222" s="6">
        <v>119</v>
      </c>
      <c r="G1222" s="6">
        <v>111</v>
      </c>
      <c r="H1222" s="6">
        <v>43</v>
      </c>
      <c r="I1222" s="7">
        <v>51</v>
      </c>
      <c r="J1222" s="3" t="s">
        <v>4318</v>
      </c>
      <c r="K1222" s="8">
        <f>0.51+0.36+0.58</f>
        <v>1.45</v>
      </c>
      <c r="L1222" s="9" t="s">
        <v>6660</v>
      </c>
      <c r="M1222" s="1" t="s">
        <v>6860</v>
      </c>
    </row>
    <row r="1223" spans="1:15" x14ac:dyDescent="0.3">
      <c r="A1223" s="3">
        <v>2719296</v>
      </c>
      <c r="B1223" s="4" t="s">
        <v>1898</v>
      </c>
      <c r="C1223" s="5" t="s">
        <v>6807</v>
      </c>
      <c r="D1223" s="5" t="s">
        <v>261</v>
      </c>
      <c r="E1223" s="3" t="s">
        <v>6670</v>
      </c>
      <c r="F1223" s="6">
        <v>80</v>
      </c>
      <c r="G1223" s="6">
        <v>5.5</v>
      </c>
      <c r="H1223" s="6" t="s">
        <v>14</v>
      </c>
      <c r="I1223" s="7" t="s">
        <v>4959</v>
      </c>
      <c r="J1223" s="3" t="s">
        <v>4731</v>
      </c>
      <c r="K1223" s="8">
        <v>0.04</v>
      </c>
      <c r="L1223" s="9" t="s">
        <v>6661</v>
      </c>
      <c r="M1223" s="1" t="s">
        <v>6861</v>
      </c>
      <c r="O1223">
        <v>27</v>
      </c>
    </row>
    <row r="1224" spans="1:15" x14ac:dyDescent="0.3">
      <c r="A1224" s="3">
        <v>2719297</v>
      </c>
      <c r="B1224" s="4" t="s">
        <v>1898</v>
      </c>
      <c r="C1224" s="5" t="s">
        <v>6807</v>
      </c>
      <c r="D1224" s="5" t="s">
        <v>13</v>
      </c>
      <c r="E1224" s="3" t="s">
        <v>6670</v>
      </c>
      <c r="F1224" s="6">
        <v>123</v>
      </c>
      <c r="G1224" s="6">
        <v>115</v>
      </c>
      <c r="H1224" s="6">
        <v>8.5</v>
      </c>
      <c r="I1224" s="7">
        <v>32</v>
      </c>
      <c r="J1224" s="3" t="s">
        <v>4317</v>
      </c>
      <c r="K1224" s="8">
        <v>1.84</v>
      </c>
      <c r="L1224" s="9" t="s">
        <v>6662</v>
      </c>
      <c r="M1224" s="1" t="s">
        <v>6890</v>
      </c>
    </row>
    <row r="1225" spans="1:15" x14ac:dyDescent="0.3">
      <c r="A1225" s="3">
        <v>2719298</v>
      </c>
      <c r="B1225" s="4" t="s">
        <v>1898</v>
      </c>
      <c r="C1225" s="5" t="s">
        <v>6999</v>
      </c>
      <c r="D1225" s="5" t="s">
        <v>23</v>
      </c>
      <c r="E1225" s="3" t="s">
        <v>7000</v>
      </c>
      <c r="F1225" s="6">
        <v>141</v>
      </c>
      <c r="G1225" s="6">
        <v>114.5</v>
      </c>
      <c r="H1225" s="6">
        <v>69</v>
      </c>
      <c r="I1225" s="7">
        <v>48</v>
      </c>
      <c r="J1225" s="3" t="s">
        <v>4318</v>
      </c>
      <c r="K1225" s="8">
        <v>3.72</v>
      </c>
      <c r="L1225" s="9" t="s">
        <v>6663</v>
      </c>
      <c r="M1225" s="1" t="s">
        <v>6862</v>
      </c>
    </row>
    <row r="1226" spans="1:15" x14ac:dyDescent="0.3">
      <c r="A1226" s="3">
        <v>2719299</v>
      </c>
      <c r="B1226" s="4" t="s">
        <v>1898</v>
      </c>
      <c r="C1226" s="5" t="s">
        <v>6999</v>
      </c>
      <c r="D1226" s="5" t="s">
        <v>90</v>
      </c>
      <c r="E1226" s="3" t="s">
        <v>7000</v>
      </c>
      <c r="F1226" s="6">
        <v>139.5</v>
      </c>
      <c r="G1226" s="6" t="s">
        <v>6811</v>
      </c>
      <c r="H1226" s="6">
        <v>13.5</v>
      </c>
      <c r="I1226" s="7">
        <v>32</v>
      </c>
      <c r="J1226" s="3" t="s">
        <v>6806</v>
      </c>
      <c r="K1226" s="8">
        <f>0.19+0.09+0.09+0.07</f>
        <v>0.44</v>
      </c>
      <c r="L1226" s="9" t="s">
        <v>6664</v>
      </c>
      <c r="M1226" s="1" t="s">
        <v>6863</v>
      </c>
    </row>
    <row r="1227" spans="1:15" x14ac:dyDescent="0.3">
      <c r="A1227" s="3">
        <v>2719300</v>
      </c>
      <c r="B1227" s="4" t="s">
        <v>1898</v>
      </c>
      <c r="C1227" s="5" t="s">
        <v>6999</v>
      </c>
      <c r="D1227" s="5" t="s">
        <v>6810</v>
      </c>
      <c r="E1227" s="3" t="s">
        <v>7000</v>
      </c>
      <c r="F1227" s="6">
        <v>139.5</v>
      </c>
      <c r="G1227" s="6">
        <v>87</v>
      </c>
      <c r="H1227" s="6">
        <v>72.8</v>
      </c>
      <c r="I1227" s="7">
        <v>32</v>
      </c>
      <c r="J1227" s="3" t="s">
        <v>6806</v>
      </c>
      <c r="K1227" s="8">
        <f>0.9+1.22</f>
        <v>2.12</v>
      </c>
      <c r="L1227" s="9" t="s">
        <v>6665</v>
      </c>
      <c r="M1227" s="1" t="s">
        <v>6864</v>
      </c>
    </row>
    <row r="1228" spans="1:15" x14ac:dyDescent="0.3">
      <c r="A1228" s="3">
        <v>2719301</v>
      </c>
      <c r="B1228" s="4" t="s">
        <v>1898</v>
      </c>
      <c r="C1228" s="5" t="s">
        <v>6999</v>
      </c>
      <c r="D1228" s="5" t="s">
        <v>74</v>
      </c>
      <c r="E1228" s="3" t="s">
        <v>7000</v>
      </c>
      <c r="F1228" s="6">
        <v>139.5</v>
      </c>
      <c r="G1228" s="6">
        <v>68</v>
      </c>
      <c r="H1228" s="6" t="s">
        <v>14</v>
      </c>
      <c r="I1228" s="7">
        <v>32</v>
      </c>
      <c r="J1228" s="3" t="s">
        <v>4317</v>
      </c>
      <c r="K1228" s="8">
        <v>0.95</v>
      </c>
      <c r="L1228" s="9" t="s">
        <v>6666</v>
      </c>
      <c r="M1228" s="1" t="s">
        <v>6865</v>
      </c>
    </row>
    <row r="1229" spans="1:15" x14ac:dyDescent="0.3">
      <c r="A1229" s="3">
        <v>2719302</v>
      </c>
      <c r="B1229" s="4" t="s">
        <v>1898</v>
      </c>
      <c r="C1229" s="5" t="s">
        <v>6999</v>
      </c>
      <c r="D1229" s="5" t="s">
        <v>13</v>
      </c>
      <c r="E1229" s="3" t="s">
        <v>7000</v>
      </c>
      <c r="F1229" s="6">
        <v>142</v>
      </c>
      <c r="G1229" s="6">
        <v>116.5</v>
      </c>
      <c r="H1229" s="6">
        <v>8.5</v>
      </c>
      <c r="I1229" s="7">
        <v>32</v>
      </c>
      <c r="J1229" s="3" t="s">
        <v>4317</v>
      </c>
      <c r="K1229" s="8"/>
      <c r="L1229" s="9" t="s">
        <v>6667</v>
      </c>
      <c r="M1229" s="1" t="s">
        <v>6866</v>
      </c>
    </row>
    <row r="1230" spans="1:15" x14ac:dyDescent="0.3">
      <c r="A1230" s="3">
        <v>2719303</v>
      </c>
      <c r="B1230" s="4" t="s">
        <v>1898</v>
      </c>
      <c r="C1230" s="5">
        <v>1432019</v>
      </c>
      <c r="D1230" s="5" t="s">
        <v>96</v>
      </c>
      <c r="E1230" s="3" t="s">
        <v>6595</v>
      </c>
      <c r="F1230" s="6">
        <v>66</v>
      </c>
      <c r="G1230" s="6">
        <v>38</v>
      </c>
      <c r="H1230" s="6">
        <v>17</v>
      </c>
      <c r="I1230" s="7">
        <v>42</v>
      </c>
      <c r="J1230" s="3" t="s">
        <v>4318</v>
      </c>
      <c r="K1230" s="8">
        <v>1.19</v>
      </c>
      <c r="L1230" s="9" t="s">
        <v>6668</v>
      </c>
      <c r="M1230" s="1" t="s">
        <v>6675</v>
      </c>
    </row>
    <row r="1231" spans="1:15" x14ac:dyDescent="0.3">
      <c r="A1231" s="3">
        <v>2719304</v>
      </c>
      <c r="B1231" s="4" t="s">
        <v>1898</v>
      </c>
      <c r="C1231" s="5">
        <v>1432019</v>
      </c>
      <c r="D1231" s="5" t="s">
        <v>90</v>
      </c>
      <c r="E1231" s="3" t="s">
        <v>6595</v>
      </c>
      <c r="F1231" s="6">
        <v>64.5</v>
      </c>
      <c r="G1231" s="6">
        <v>36.5</v>
      </c>
      <c r="H1231" s="6">
        <v>15.5</v>
      </c>
      <c r="I1231" s="7">
        <v>32</v>
      </c>
      <c r="J1231" s="3" t="s">
        <v>4317</v>
      </c>
      <c r="K1231" s="8">
        <f>0.1+0.06</f>
        <v>0.16</v>
      </c>
      <c r="L1231" s="9" t="s">
        <v>6669</v>
      </c>
      <c r="M1231" s="1" t="s">
        <v>6676</v>
      </c>
    </row>
    <row r="1232" spans="1:15" x14ac:dyDescent="0.3">
      <c r="A1232" s="3">
        <v>2719305</v>
      </c>
      <c r="B1232" s="4" t="s">
        <v>1898</v>
      </c>
      <c r="C1232" s="5">
        <v>1432019</v>
      </c>
      <c r="D1232" s="5" t="s">
        <v>74</v>
      </c>
      <c r="E1232" s="3" t="s">
        <v>6595</v>
      </c>
      <c r="F1232" s="6">
        <v>64.5</v>
      </c>
      <c r="G1232" s="6">
        <v>36.5</v>
      </c>
      <c r="H1232" s="6" t="s">
        <v>14</v>
      </c>
      <c r="I1232" s="7" t="s">
        <v>6600</v>
      </c>
      <c r="J1232" s="3" t="s">
        <v>4870</v>
      </c>
      <c r="K1232" s="8">
        <v>0.24</v>
      </c>
      <c r="L1232" s="9" t="s">
        <v>6671</v>
      </c>
      <c r="M1232" s="1" t="s">
        <v>6677</v>
      </c>
    </row>
    <row r="1233" spans="1:13" x14ac:dyDescent="0.3">
      <c r="A1233" s="3">
        <v>2719306</v>
      </c>
      <c r="B1233" s="4" t="s">
        <v>1898</v>
      </c>
      <c r="C1233" s="5">
        <v>1622002</v>
      </c>
      <c r="D1233" s="5" t="s">
        <v>96</v>
      </c>
      <c r="E1233" s="3" t="s">
        <v>6596</v>
      </c>
      <c r="F1233" s="6">
        <v>122</v>
      </c>
      <c r="G1233" s="6">
        <v>20</v>
      </c>
      <c r="H1233" s="6">
        <v>12</v>
      </c>
      <c r="I1233" s="7">
        <v>42</v>
      </c>
      <c r="J1233" s="3" t="s">
        <v>4318</v>
      </c>
      <c r="K1233" s="8">
        <v>0.95</v>
      </c>
      <c r="L1233" s="9" t="s">
        <v>6672</v>
      </c>
      <c r="M1233" s="1" t="s">
        <v>6678</v>
      </c>
    </row>
    <row r="1234" spans="1:13" x14ac:dyDescent="0.3">
      <c r="A1234" s="3">
        <v>2719307</v>
      </c>
      <c r="B1234" s="4" t="s">
        <v>1898</v>
      </c>
      <c r="C1234" s="5">
        <v>1622002</v>
      </c>
      <c r="D1234" s="5" t="s">
        <v>90</v>
      </c>
      <c r="E1234" s="3" t="s">
        <v>6596</v>
      </c>
      <c r="F1234" s="6">
        <v>121</v>
      </c>
      <c r="G1234" s="6">
        <v>19</v>
      </c>
      <c r="H1234" s="6">
        <v>11</v>
      </c>
      <c r="I1234" s="7">
        <v>32</v>
      </c>
      <c r="J1234" s="3" t="s">
        <v>4317</v>
      </c>
      <c r="K1234" s="8">
        <f>0.13+0.02</f>
        <v>0.15</v>
      </c>
      <c r="L1234" s="9" t="s">
        <v>6673</v>
      </c>
      <c r="M1234" s="1" t="s">
        <v>6679</v>
      </c>
    </row>
    <row r="1235" spans="1:13" x14ac:dyDescent="0.3">
      <c r="A1235" s="3">
        <v>2719308</v>
      </c>
      <c r="B1235" s="4" t="s">
        <v>1898</v>
      </c>
      <c r="C1235" s="5">
        <v>1622002</v>
      </c>
      <c r="D1235" s="5" t="s">
        <v>74</v>
      </c>
      <c r="E1235" s="3" t="s">
        <v>6596</v>
      </c>
      <c r="F1235" s="6">
        <v>120.5</v>
      </c>
      <c r="G1235" s="6">
        <v>19</v>
      </c>
      <c r="H1235" s="6" t="s">
        <v>14</v>
      </c>
      <c r="I1235" s="7" t="s">
        <v>6817</v>
      </c>
      <c r="J1235" s="3" t="s">
        <v>4870</v>
      </c>
      <c r="K1235" s="8">
        <v>0.23</v>
      </c>
      <c r="L1235" s="9" t="s">
        <v>6674</v>
      </c>
      <c r="M1235" s="1" t="s">
        <v>6680</v>
      </c>
    </row>
    <row r="1236" spans="1:13" x14ac:dyDescent="0.3">
      <c r="A1236" s="3">
        <v>2719309</v>
      </c>
      <c r="B1236" s="4" t="s">
        <v>1898</v>
      </c>
      <c r="C1236" s="5" t="s">
        <v>6818</v>
      </c>
      <c r="D1236" s="5" t="s">
        <v>23</v>
      </c>
      <c r="E1236" s="3" t="s">
        <v>6812</v>
      </c>
      <c r="F1236" s="6">
        <v>60.5</v>
      </c>
      <c r="G1236" s="6">
        <v>37.5</v>
      </c>
      <c r="H1236" s="6">
        <v>23.8</v>
      </c>
      <c r="I1236" s="7">
        <v>32</v>
      </c>
      <c r="J1236" s="3" t="s">
        <v>4317</v>
      </c>
      <c r="K1236" s="8">
        <v>0.86</v>
      </c>
      <c r="L1236" s="9" t="s">
        <v>6813</v>
      </c>
      <c r="M1236" s="1" t="s">
        <v>6847</v>
      </c>
    </row>
    <row r="1237" spans="1:13" x14ac:dyDescent="0.3">
      <c r="A1237" s="3">
        <v>2719310</v>
      </c>
      <c r="B1237" s="4" t="s">
        <v>1898</v>
      </c>
      <c r="C1237" s="5" t="s">
        <v>6818</v>
      </c>
      <c r="D1237" s="5" t="s">
        <v>90</v>
      </c>
      <c r="E1237" s="3" t="s">
        <v>6812</v>
      </c>
      <c r="F1237" s="6">
        <v>59.5</v>
      </c>
      <c r="G1237" s="6">
        <v>37</v>
      </c>
      <c r="H1237" s="6">
        <v>22.5</v>
      </c>
      <c r="I1237" s="7" t="s">
        <v>6324</v>
      </c>
      <c r="J1237" s="3" t="s">
        <v>4422</v>
      </c>
      <c r="K1237" s="8">
        <f>0.13+0.08</f>
        <v>0.21000000000000002</v>
      </c>
      <c r="L1237" s="9" t="s">
        <v>6814</v>
      </c>
      <c r="M1237" s="1" t="s">
        <v>6848</v>
      </c>
    </row>
    <row r="1238" spans="1:13" x14ac:dyDescent="0.3">
      <c r="A1238" s="3">
        <v>2719311</v>
      </c>
      <c r="B1238" s="4" t="s">
        <v>1898</v>
      </c>
      <c r="C1238" s="5" t="s">
        <v>6818</v>
      </c>
      <c r="D1238" s="5" t="s">
        <v>74</v>
      </c>
      <c r="E1238" s="3" t="s">
        <v>6812</v>
      </c>
      <c r="F1238" s="6">
        <v>30</v>
      </c>
      <c r="G1238" s="6">
        <v>22.5</v>
      </c>
      <c r="H1238" s="6" t="s">
        <v>14</v>
      </c>
      <c r="I1238" s="7" t="s">
        <v>6817</v>
      </c>
      <c r="J1238" s="3" t="s">
        <v>4870</v>
      </c>
      <c r="K1238" s="8">
        <v>7.0000000000000007E-2</v>
      </c>
      <c r="L1238" s="9" t="s">
        <v>6815</v>
      </c>
      <c r="M1238" s="1" t="s">
        <v>6849</v>
      </c>
    </row>
    <row r="1239" spans="1:13" x14ac:dyDescent="0.3">
      <c r="A1239" s="3">
        <v>2719312</v>
      </c>
      <c r="B1239" s="4" t="s">
        <v>1898</v>
      </c>
      <c r="C1239" s="5" t="s">
        <v>6818</v>
      </c>
      <c r="D1239" s="5" t="s">
        <v>13</v>
      </c>
      <c r="E1239" s="3" t="s">
        <v>6812</v>
      </c>
      <c r="F1239" s="6">
        <v>62</v>
      </c>
      <c r="G1239" s="6">
        <v>40</v>
      </c>
      <c r="H1239" s="6">
        <v>8.5</v>
      </c>
      <c r="I1239" s="7">
        <v>32</v>
      </c>
      <c r="J1239" s="3" t="s">
        <v>4317</v>
      </c>
      <c r="K1239" s="8">
        <v>0.45</v>
      </c>
      <c r="L1239" s="9" t="s">
        <v>6816</v>
      </c>
      <c r="M1239" s="1" t="s">
        <v>6850</v>
      </c>
    </row>
    <row r="1240" spans="1:13" x14ac:dyDescent="0.3">
      <c r="A1240" s="3">
        <v>2719313</v>
      </c>
      <c r="B1240" s="4" t="s">
        <v>1898</v>
      </c>
      <c r="C1240" s="5" t="s">
        <v>6819</v>
      </c>
      <c r="D1240" s="5" t="s">
        <v>23</v>
      </c>
      <c r="E1240" s="3" t="s">
        <v>6820</v>
      </c>
      <c r="F1240" s="6">
        <v>121</v>
      </c>
      <c r="G1240" s="6">
        <v>114</v>
      </c>
      <c r="H1240" s="6">
        <v>65.5</v>
      </c>
      <c r="I1240" s="7">
        <v>42</v>
      </c>
      <c r="J1240" s="3" t="s">
        <v>4318</v>
      </c>
      <c r="K1240" s="8">
        <v>2.95</v>
      </c>
      <c r="L1240" s="9" t="s">
        <v>6821</v>
      </c>
      <c r="M1240" s="1" t="s">
        <v>6867</v>
      </c>
    </row>
    <row r="1241" spans="1:13" x14ac:dyDescent="0.3">
      <c r="A1241" s="3">
        <v>2719314</v>
      </c>
      <c r="B1241" s="4" t="s">
        <v>1898</v>
      </c>
      <c r="C1241" s="5" t="s">
        <v>6819</v>
      </c>
      <c r="D1241" s="5" t="s">
        <v>90</v>
      </c>
      <c r="E1241" s="3" t="s">
        <v>6820</v>
      </c>
      <c r="F1241" s="6">
        <v>119</v>
      </c>
      <c r="G1241" s="6">
        <v>55</v>
      </c>
      <c r="H1241" s="6">
        <v>20</v>
      </c>
      <c r="I1241" s="7">
        <v>32</v>
      </c>
      <c r="J1241" s="3" t="s">
        <v>4317</v>
      </c>
      <c r="K1241" s="8">
        <v>0.24</v>
      </c>
      <c r="L1241" s="9" t="s">
        <v>6822</v>
      </c>
      <c r="M1241" s="1" t="s">
        <v>6868</v>
      </c>
    </row>
    <row r="1242" spans="1:13" x14ac:dyDescent="0.3">
      <c r="A1242" s="3">
        <v>2719315</v>
      </c>
      <c r="B1242" s="4" t="s">
        <v>1898</v>
      </c>
      <c r="C1242" s="5" t="s">
        <v>6819</v>
      </c>
      <c r="D1242" s="5" t="s">
        <v>261</v>
      </c>
      <c r="E1242" s="3" t="s">
        <v>6820</v>
      </c>
      <c r="F1242" s="6">
        <v>55</v>
      </c>
      <c r="G1242" s="6">
        <v>29</v>
      </c>
      <c r="H1242" s="6" t="s">
        <v>14</v>
      </c>
      <c r="I1242" s="7">
        <v>32</v>
      </c>
      <c r="J1242" s="3" t="s">
        <v>4317</v>
      </c>
      <c r="K1242" s="8">
        <v>0.16</v>
      </c>
      <c r="L1242" s="9" t="s">
        <v>6823</v>
      </c>
      <c r="M1242" s="1" t="s">
        <v>6998</v>
      </c>
    </row>
    <row r="1243" spans="1:13" x14ac:dyDescent="0.3">
      <c r="A1243" s="3">
        <v>2719316</v>
      </c>
      <c r="B1243" s="4" t="s">
        <v>1898</v>
      </c>
      <c r="C1243" s="5" t="s">
        <v>6819</v>
      </c>
      <c r="D1243" s="5" t="s">
        <v>6810</v>
      </c>
      <c r="E1243" s="3" t="s">
        <v>6820</v>
      </c>
      <c r="F1243" s="6">
        <v>119</v>
      </c>
      <c r="G1243" s="6">
        <v>91</v>
      </c>
      <c r="H1243" s="6" t="s">
        <v>14</v>
      </c>
      <c r="I1243" s="7">
        <v>32</v>
      </c>
      <c r="J1243" s="3" t="s">
        <v>4317</v>
      </c>
      <c r="K1243" s="8">
        <v>1.08</v>
      </c>
      <c r="L1243" s="9" t="s">
        <v>6824</v>
      </c>
      <c r="M1243" s="1" t="s">
        <v>6869</v>
      </c>
    </row>
    <row r="1244" spans="1:13" x14ac:dyDescent="0.3">
      <c r="A1244" s="3">
        <v>2719317</v>
      </c>
      <c r="B1244" s="4" t="s">
        <v>1898</v>
      </c>
      <c r="C1244" s="5" t="s">
        <v>6819</v>
      </c>
      <c r="D1244" s="5" t="s">
        <v>13</v>
      </c>
      <c r="E1244" s="3" t="s">
        <v>6820</v>
      </c>
      <c r="F1244" s="6">
        <v>122</v>
      </c>
      <c r="G1244" s="6">
        <v>116</v>
      </c>
      <c r="H1244" s="6">
        <v>8.5</v>
      </c>
      <c r="I1244" s="7">
        <v>32</v>
      </c>
      <c r="J1244" s="3" t="s">
        <v>4317</v>
      </c>
      <c r="K1244" s="8">
        <v>1.85</v>
      </c>
      <c r="L1244" s="9" t="s">
        <v>6825</v>
      </c>
      <c r="M1244" s="1" t="s">
        <v>6870</v>
      </c>
    </row>
    <row r="1245" spans="1:13" x14ac:dyDescent="0.3">
      <c r="A1245" s="3">
        <v>2719318</v>
      </c>
      <c r="B1245" s="4" t="s">
        <v>1898</v>
      </c>
      <c r="C1245" s="5" t="s">
        <v>6833</v>
      </c>
      <c r="D1245" s="5" t="s">
        <v>23</v>
      </c>
      <c r="E1245" s="3" t="s">
        <v>6834</v>
      </c>
      <c r="F1245" s="6">
        <v>60.5</v>
      </c>
      <c r="G1245" s="6">
        <v>37.5</v>
      </c>
      <c r="H1245" s="6">
        <v>22.8</v>
      </c>
      <c r="I1245" s="7">
        <v>32</v>
      </c>
      <c r="J1245" s="3" t="s">
        <v>4317</v>
      </c>
      <c r="K1245" s="8">
        <v>0.84</v>
      </c>
      <c r="L1245" s="9" t="s">
        <v>6826</v>
      </c>
      <c r="M1245" s="1" t="s">
        <v>6871</v>
      </c>
    </row>
    <row r="1246" spans="1:13" x14ac:dyDescent="0.3">
      <c r="A1246" s="3">
        <v>2719319</v>
      </c>
      <c r="B1246" s="4" t="s">
        <v>1898</v>
      </c>
      <c r="C1246" s="5" t="s">
        <v>6833</v>
      </c>
      <c r="D1246" s="5" t="s">
        <v>90</v>
      </c>
      <c r="E1246" s="3" t="s">
        <v>6834</v>
      </c>
      <c r="F1246" s="6">
        <v>59.5</v>
      </c>
      <c r="G1246" s="6">
        <v>36.5</v>
      </c>
      <c r="H1246" s="6">
        <v>11</v>
      </c>
      <c r="I1246" s="7">
        <v>32</v>
      </c>
      <c r="J1246" s="3" t="s">
        <v>6806</v>
      </c>
      <c r="K1246" s="8">
        <f>0.07+0.04</f>
        <v>0.11000000000000001</v>
      </c>
      <c r="L1246" s="9" t="s">
        <v>6827</v>
      </c>
      <c r="M1246" s="1" t="s">
        <v>6872</v>
      </c>
    </row>
    <row r="1247" spans="1:13" x14ac:dyDescent="0.3">
      <c r="A1247" s="3">
        <v>2719320</v>
      </c>
      <c r="B1247" s="4" t="s">
        <v>1898</v>
      </c>
      <c r="C1247" s="5" t="s">
        <v>6833</v>
      </c>
      <c r="D1247" s="5" t="s">
        <v>74</v>
      </c>
      <c r="E1247" s="3" t="s">
        <v>6834</v>
      </c>
      <c r="F1247" s="6">
        <v>59.5</v>
      </c>
      <c r="G1247" s="6">
        <v>36.5</v>
      </c>
      <c r="H1247" s="6" t="s">
        <v>14</v>
      </c>
      <c r="I1247" s="7">
        <v>32</v>
      </c>
      <c r="J1247" s="3" t="s">
        <v>6806</v>
      </c>
      <c r="K1247" s="8">
        <v>0.22</v>
      </c>
      <c r="L1247" s="9" t="s">
        <v>6828</v>
      </c>
      <c r="M1247" s="1" t="s">
        <v>6873</v>
      </c>
    </row>
    <row r="1248" spans="1:13" x14ac:dyDescent="0.3">
      <c r="A1248" s="3">
        <v>2719321</v>
      </c>
      <c r="B1248" s="4" t="s">
        <v>1898</v>
      </c>
      <c r="C1248" s="5" t="s">
        <v>6833</v>
      </c>
      <c r="D1248" s="5" t="s">
        <v>26</v>
      </c>
      <c r="E1248" s="3" t="s">
        <v>6834</v>
      </c>
      <c r="F1248" s="6">
        <v>62</v>
      </c>
      <c r="G1248" s="6">
        <v>40</v>
      </c>
      <c r="H1248" s="6">
        <v>8.5</v>
      </c>
      <c r="I1248" s="7">
        <v>32</v>
      </c>
      <c r="J1248" s="3" t="s">
        <v>4317</v>
      </c>
      <c r="K1248" s="8">
        <v>0.45</v>
      </c>
      <c r="L1248" s="9" t="s">
        <v>6829</v>
      </c>
      <c r="M1248" s="1" t="s">
        <v>6874</v>
      </c>
    </row>
    <row r="1249" spans="1:13" x14ac:dyDescent="0.3">
      <c r="A1249" s="3">
        <v>2719322</v>
      </c>
      <c r="B1249" s="4" t="s">
        <v>1898</v>
      </c>
      <c r="C1249" s="5" t="s">
        <v>6843</v>
      </c>
      <c r="D1249" s="5" t="s">
        <v>23</v>
      </c>
      <c r="E1249" s="3" t="s">
        <v>6844</v>
      </c>
      <c r="F1249" s="6">
        <v>60.5</v>
      </c>
      <c r="G1249" s="6">
        <v>56</v>
      </c>
      <c r="H1249" s="6">
        <v>26.4</v>
      </c>
      <c r="I1249" s="7">
        <v>32</v>
      </c>
      <c r="J1249" s="3" t="s">
        <v>4317</v>
      </c>
      <c r="K1249" s="8">
        <v>1.3</v>
      </c>
      <c r="L1249" s="9" t="s">
        <v>6830</v>
      </c>
      <c r="M1249" s="1" t="s">
        <v>6875</v>
      </c>
    </row>
    <row r="1250" spans="1:13" x14ac:dyDescent="0.3">
      <c r="A1250" s="3">
        <v>2719323</v>
      </c>
      <c r="B1250" s="4" t="s">
        <v>1898</v>
      </c>
      <c r="C1250" s="5" t="s">
        <v>6843</v>
      </c>
      <c r="D1250" s="5" t="s">
        <v>90</v>
      </c>
      <c r="E1250" s="3" t="s">
        <v>6844</v>
      </c>
      <c r="F1250" s="6">
        <v>59.5</v>
      </c>
      <c r="G1250" s="6">
        <v>55</v>
      </c>
      <c r="H1250" s="6">
        <v>25.6</v>
      </c>
      <c r="I1250" s="7">
        <v>32</v>
      </c>
      <c r="J1250" s="3" t="s">
        <v>6806</v>
      </c>
      <c r="K1250" s="8">
        <v>0.28999999999999998</v>
      </c>
      <c r="L1250" s="9" t="s">
        <v>6831</v>
      </c>
      <c r="M1250" s="1" t="s">
        <v>6876</v>
      </c>
    </row>
    <row r="1251" spans="1:13" x14ac:dyDescent="0.3">
      <c r="A1251" s="3">
        <v>2719324</v>
      </c>
      <c r="B1251" s="4" t="s">
        <v>1898</v>
      </c>
      <c r="C1251" s="5" t="s">
        <v>6843</v>
      </c>
      <c r="D1251" s="5" t="s">
        <v>74</v>
      </c>
      <c r="E1251" s="3" t="s">
        <v>6844</v>
      </c>
      <c r="F1251" s="6">
        <v>59.5</v>
      </c>
      <c r="G1251" s="6">
        <v>55</v>
      </c>
      <c r="H1251" s="6" t="s">
        <v>14</v>
      </c>
      <c r="I1251" s="7">
        <v>32</v>
      </c>
      <c r="J1251" s="3" t="s">
        <v>4317</v>
      </c>
      <c r="K1251" s="8">
        <v>0.33</v>
      </c>
      <c r="L1251" s="9" t="s">
        <v>6832</v>
      </c>
      <c r="M1251" s="1" t="s">
        <v>6877</v>
      </c>
    </row>
    <row r="1252" spans="1:13" x14ac:dyDescent="0.3">
      <c r="A1252" s="3">
        <v>2719325</v>
      </c>
      <c r="B1252" s="4" t="s">
        <v>1898</v>
      </c>
      <c r="C1252" s="5" t="s">
        <v>6843</v>
      </c>
      <c r="D1252" s="5" t="s">
        <v>13</v>
      </c>
      <c r="E1252" s="3" t="s">
        <v>6844</v>
      </c>
      <c r="F1252" s="6">
        <v>62</v>
      </c>
      <c r="G1252" s="6">
        <v>58.5</v>
      </c>
      <c r="H1252" s="6">
        <v>8.5</v>
      </c>
      <c r="I1252" s="7">
        <v>32</v>
      </c>
      <c r="J1252" s="3" t="s">
        <v>4317</v>
      </c>
      <c r="K1252" s="8">
        <v>0.6</v>
      </c>
      <c r="L1252" s="9" t="s">
        <v>6835</v>
      </c>
      <c r="M1252" s="1" t="s">
        <v>6878</v>
      </c>
    </row>
    <row r="1253" spans="1:13" x14ac:dyDescent="0.3">
      <c r="A1253" s="3">
        <v>2719326</v>
      </c>
      <c r="B1253" s="4" t="s">
        <v>1898</v>
      </c>
      <c r="C1253" s="5" t="s">
        <v>6845</v>
      </c>
      <c r="D1253" s="5" t="s">
        <v>161</v>
      </c>
      <c r="E1253" s="3" t="s">
        <v>6846</v>
      </c>
      <c r="F1253" s="6">
        <v>120.5</v>
      </c>
      <c r="G1253" s="6">
        <v>35.5</v>
      </c>
      <c r="H1253" s="6">
        <v>13</v>
      </c>
      <c r="I1253" s="7">
        <v>32</v>
      </c>
      <c r="J1253" s="3" t="s">
        <v>4317</v>
      </c>
      <c r="K1253" s="8">
        <v>0.9</v>
      </c>
      <c r="L1253" s="9" t="s">
        <v>6836</v>
      </c>
      <c r="M1253" s="1" t="s">
        <v>6879</v>
      </c>
    </row>
    <row r="1254" spans="1:13" x14ac:dyDescent="0.3">
      <c r="A1254" s="3">
        <v>2719327</v>
      </c>
      <c r="B1254" s="4" t="s">
        <v>1898</v>
      </c>
      <c r="C1254" s="5" t="s">
        <v>6845</v>
      </c>
      <c r="D1254" s="5" t="s">
        <v>90</v>
      </c>
      <c r="E1254" s="3" t="s">
        <v>6846</v>
      </c>
      <c r="F1254" s="6">
        <v>121.5</v>
      </c>
      <c r="G1254" s="6">
        <v>37.5</v>
      </c>
      <c r="H1254" s="6">
        <v>7.5</v>
      </c>
      <c r="I1254" s="7">
        <v>32</v>
      </c>
      <c r="J1254" s="3" t="s">
        <v>4317</v>
      </c>
      <c r="K1254" s="8">
        <v>0.72</v>
      </c>
      <c r="L1254" s="9" t="s">
        <v>6837</v>
      </c>
      <c r="M1254" s="1" t="s">
        <v>6880</v>
      </c>
    </row>
    <row r="1255" spans="1:13" x14ac:dyDescent="0.3">
      <c r="A1255" s="3">
        <v>2719328</v>
      </c>
      <c r="B1255" s="4" t="s">
        <v>1898</v>
      </c>
      <c r="C1255" s="5" t="s">
        <v>6845</v>
      </c>
      <c r="D1255" s="5" t="s">
        <v>13</v>
      </c>
      <c r="E1255" s="3" t="s">
        <v>6846</v>
      </c>
      <c r="F1255" s="6">
        <v>119.5</v>
      </c>
      <c r="G1255" s="6">
        <v>35</v>
      </c>
      <c r="H1255" s="6">
        <v>12.5</v>
      </c>
      <c r="I1255" s="7">
        <v>32</v>
      </c>
      <c r="J1255" s="3" t="s">
        <v>4317</v>
      </c>
      <c r="K1255" s="8">
        <f>0.03+0.17+0.17</f>
        <v>0.37</v>
      </c>
      <c r="L1255" s="9" t="s">
        <v>6838</v>
      </c>
      <c r="M1255" s="1" t="s">
        <v>6881</v>
      </c>
    </row>
    <row r="1256" spans="1:13" x14ac:dyDescent="0.3">
      <c r="A1256" s="3">
        <v>2719329</v>
      </c>
      <c r="B1256" s="4" t="s">
        <v>1898</v>
      </c>
      <c r="C1256" s="5" t="s">
        <v>6889</v>
      </c>
      <c r="D1256" s="5" t="s">
        <v>23</v>
      </c>
      <c r="E1256" s="3" t="s">
        <v>6888</v>
      </c>
      <c r="F1256" s="6">
        <v>121</v>
      </c>
      <c r="G1256" s="6">
        <v>112.5</v>
      </c>
      <c r="H1256" s="6">
        <v>65.5</v>
      </c>
      <c r="I1256" s="7">
        <v>42</v>
      </c>
      <c r="J1256" s="3" t="s">
        <v>4318</v>
      </c>
      <c r="K1256" s="8">
        <v>2.91</v>
      </c>
      <c r="L1256" s="9" t="s">
        <v>6839</v>
      </c>
      <c r="M1256" s="1" t="s">
        <v>6892</v>
      </c>
    </row>
    <row r="1257" spans="1:13" x14ac:dyDescent="0.3">
      <c r="A1257" s="3">
        <v>2719330</v>
      </c>
      <c r="B1257" s="4" t="s">
        <v>1898</v>
      </c>
      <c r="C1257" s="5" t="s">
        <v>6889</v>
      </c>
      <c r="D1257" s="5" t="s">
        <v>90</v>
      </c>
      <c r="E1257" s="3" t="s">
        <v>6888</v>
      </c>
      <c r="F1257" s="6">
        <v>59</v>
      </c>
      <c r="G1257" s="6">
        <v>55</v>
      </c>
      <c r="H1257" s="6">
        <v>64</v>
      </c>
      <c r="I1257" s="7" t="s">
        <v>6324</v>
      </c>
      <c r="J1257" s="3" t="s">
        <v>4422</v>
      </c>
      <c r="K1257" s="8">
        <v>0.38</v>
      </c>
      <c r="L1257" s="9" t="s">
        <v>6840</v>
      </c>
      <c r="M1257" s="1" t="s">
        <v>6893</v>
      </c>
    </row>
    <row r="1258" spans="1:13" x14ac:dyDescent="0.3">
      <c r="A1258" s="3">
        <v>2719331</v>
      </c>
      <c r="B1258" s="4" t="s">
        <v>1898</v>
      </c>
      <c r="C1258" s="5" t="s">
        <v>6889</v>
      </c>
      <c r="D1258" s="5" t="s">
        <v>74</v>
      </c>
      <c r="E1258" s="3" t="s">
        <v>6888</v>
      </c>
      <c r="F1258" s="6">
        <v>111</v>
      </c>
      <c r="G1258" s="6">
        <v>119</v>
      </c>
      <c r="H1258" s="6" t="s">
        <v>14</v>
      </c>
      <c r="I1258" s="7" t="s">
        <v>5780</v>
      </c>
      <c r="J1258" s="3" t="s">
        <v>4731</v>
      </c>
      <c r="K1258" s="8">
        <v>1.32</v>
      </c>
      <c r="L1258" s="9" t="s">
        <v>6841</v>
      </c>
      <c r="M1258" s="1" t="s">
        <v>6894</v>
      </c>
    </row>
    <row r="1259" spans="1:13" x14ac:dyDescent="0.3">
      <c r="A1259" s="3">
        <v>2719332</v>
      </c>
      <c r="B1259" s="4" t="s">
        <v>1898</v>
      </c>
      <c r="C1259" s="5" t="s">
        <v>6889</v>
      </c>
      <c r="D1259" s="5" t="s">
        <v>13</v>
      </c>
      <c r="E1259" s="3" t="s">
        <v>6888</v>
      </c>
      <c r="F1259" s="6">
        <v>122</v>
      </c>
      <c r="G1259" s="6">
        <v>114</v>
      </c>
      <c r="H1259" s="6">
        <v>8.5</v>
      </c>
      <c r="I1259" s="7">
        <v>32</v>
      </c>
      <c r="J1259" s="3" t="s">
        <v>4317</v>
      </c>
      <c r="K1259" s="8">
        <v>1.81</v>
      </c>
      <c r="L1259" s="9" t="s">
        <v>6842</v>
      </c>
      <c r="M1259" s="1" t="s">
        <v>6895</v>
      </c>
    </row>
    <row r="1260" spans="1:13" x14ac:dyDescent="0.3">
      <c r="A1260" s="3">
        <v>2719333</v>
      </c>
      <c r="B1260" s="4" t="s">
        <v>1898</v>
      </c>
      <c r="C1260" s="5" t="s">
        <v>6902</v>
      </c>
      <c r="D1260" s="5" t="s">
        <v>23</v>
      </c>
      <c r="E1260" s="3" t="s">
        <v>6891</v>
      </c>
      <c r="F1260" s="6">
        <v>62</v>
      </c>
      <c r="G1260" s="6">
        <v>56.5</v>
      </c>
      <c r="H1260" s="6">
        <v>17.3</v>
      </c>
      <c r="I1260" s="7">
        <v>32</v>
      </c>
      <c r="J1260" s="3" t="s">
        <v>4317</v>
      </c>
      <c r="K1260" s="8">
        <v>1.0900000000000001</v>
      </c>
      <c r="L1260" s="9" t="s">
        <v>6882</v>
      </c>
      <c r="M1260" s="1" t="s">
        <v>6896</v>
      </c>
    </row>
    <row r="1261" spans="1:13" x14ac:dyDescent="0.3">
      <c r="A1261" s="3">
        <v>2719334</v>
      </c>
      <c r="B1261" s="4" t="s">
        <v>1898</v>
      </c>
      <c r="C1261" s="5" t="s">
        <v>6902</v>
      </c>
      <c r="D1261" s="5" t="s">
        <v>90</v>
      </c>
      <c r="E1261" s="3" t="s">
        <v>6891</v>
      </c>
      <c r="F1261" s="6">
        <v>59.5</v>
      </c>
      <c r="G1261" s="6" t="s">
        <v>6900</v>
      </c>
      <c r="H1261" s="6">
        <v>16.5</v>
      </c>
      <c r="I1261" s="7" t="s">
        <v>6324</v>
      </c>
      <c r="J1261" s="3" t="s">
        <v>4422</v>
      </c>
      <c r="K1261" s="8">
        <f>0.1+0.06+0.1+0.06</f>
        <v>0.32</v>
      </c>
      <c r="L1261" s="9" t="s">
        <v>6883</v>
      </c>
      <c r="M1261" s="1" t="s">
        <v>6897</v>
      </c>
    </row>
    <row r="1262" spans="1:13" x14ac:dyDescent="0.3">
      <c r="A1262" s="3">
        <v>2719335</v>
      </c>
      <c r="B1262" s="4" t="s">
        <v>1898</v>
      </c>
      <c r="C1262" s="5" t="s">
        <v>6902</v>
      </c>
      <c r="D1262" s="5" t="s">
        <v>74</v>
      </c>
      <c r="E1262" s="3" t="s">
        <v>6891</v>
      </c>
      <c r="F1262" s="6">
        <v>59.5</v>
      </c>
      <c r="G1262" s="6">
        <v>55</v>
      </c>
      <c r="H1262" s="6" t="s">
        <v>14</v>
      </c>
      <c r="I1262" s="7" t="s">
        <v>6901</v>
      </c>
      <c r="J1262" s="3" t="s">
        <v>7060</v>
      </c>
      <c r="K1262" s="8">
        <v>0.34</v>
      </c>
      <c r="L1262" s="9" t="s">
        <v>6884</v>
      </c>
      <c r="M1262" s="1" t="s">
        <v>6898</v>
      </c>
    </row>
    <row r="1263" spans="1:13" x14ac:dyDescent="0.3">
      <c r="A1263" s="3">
        <v>2719336</v>
      </c>
      <c r="B1263" s="4" t="s">
        <v>1898</v>
      </c>
      <c r="C1263" s="5" t="s">
        <v>6902</v>
      </c>
      <c r="D1263" s="5" t="s">
        <v>13</v>
      </c>
      <c r="E1263" s="3" t="s">
        <v>6891</v>
      </c>
      <c r="F1263" s="6">
        <v>62</v>
      </c>
      <c r="G1263" s="6">
        <v>59</v>
      </c>
      <c r="H1263" s="6">
        <v>8.5</v>
      </c>
      <c r="I1263" s="7">
        <v>32</v>
      </c>
      <c r="J1263" s="3" t="s">
        <v>4317</v>
      </c>
      <c r="K1263" s="8">
        <v>0.6</v>
      </c>
      <c r="L1263" s="9" t="s">
        <v>6885</v>
      </c>
      <c r="M1263" s="1" t="s">
        <v>6899</v>
      </c>
    </row>
    <row r="1264" spans="1:13" x14ac:dyDescent="0.3">
      <c r="A1264" s="3">
        <v>2719337</v>
      </c>
      <c r="B1264" s="4" t="s">
        <v>1898</v>
      </c>
      <c r="C1264" s="5" t="s">
        <v>6903</v>
      </c>
      <c r="D1264" s="5" t="s">
        <v>23</v>
      </c>
      <c r="E1264" s="3" t="s">
        <v>6904</v>
      </c>
      <c r="F1264" s="6">
        <v>81.099999999999994</v>
      </c>
      <c r="G1264" s="6">
        <v>75.5</v>
      </c>
      <c r="H1264" s="6">
        <v>56.5</v>
      </c>
      <c r="I1264" s="7">
        <v>42</v>
      </c>
      <c r="J1264" s="3" t="s">
        <v>4318</v>
      </c>
      <c r="K1264" s="8">
        <v>1.53</v>
      </c>
      <c r="L1264" s="9" t="s">
        <v>6886</v>
      </c>
      <c r="M1264" s="1" t="s">
        <v>6914</v>
      </c>
    </row>
    <row r="1265" spans="1:13" x14ac:dyDescent="0.3">
      <c r="A1265" s="3">
        <v>2719338</v>
      </c>
      <c r="B1265" s="4" t="s">
        <v>1898</v>
      </c>
      <c r="C1265" s="5" t="s">
        <v>6903</v>
      </c>
      <c r="D1265" s="5" t="s">
        <v>90</v>
      </c>
      <c r="E1265" s="3" t="s">
        <v>6904</v>
      </c>
      <c r="F1265" s="6" t="s">
        <v>14</v>
      </c>
      <c r="G1265" s="6" t="s">
        <v>14</v>
      </c>
      <c r="H1265" s="6" t="s">
        <v>14</v>
      </c>
      <c r="I1265" s="7">
        <v>42</v>
      </c>
      <c r="J1265" s="3" t="s">
        <v>4318</v>
      </c>
      <c r="K1265" s="8">
        <f>0.36+0.41+0.44+0.44</f>
        <v>1.65</v>
      </c>
      <c r="L1265" s="9" t="s">
        <v>6887</v>
      </c>
      <c r="M1265" s="1" t="s">
        <v>6915</v>
      </c>
    </row>
    <row r="1266" spans="1:13" x14ac:dyDescent="0.3">
      <c r="A1266" s="3">
        <v>2719339</v>
      </c>
      <c r="B1266" s="4" t="s">
        <v>1898</v>
      </c>
      <c r="C1266" s="5" t="s">
        <v>6903</v>
      </c>
      <c r="D1266" s="5" t="s">
        <v>6905</v>
      </c>
      <c r="E1266" s="3" t="s">
        <v>6904</v>
      </c>
      <c r="F1266" s="6">
        <v>80</v>
      </c>
      <c r="G1266" s="6">
        <v>24.5</v>
      </c>
      <c r="H1266" s="6" t="s">
        <v>14</v>
      </c>
      <c r="I1266" s="7">
        <v>42</v>
      </c>
      <c r="J1266" s="3" t="s">
        <v>4318</v>
      </c>
      <c r="K1266" s="8">
        <v>0.2</v>
      </c>
      <c r="L1266" s="9" t="s">
        <v>6906</v>
      </c>
      <c r="M1266" s="1" t="s">
        <v>6916</v>
      </c>
    </row>
    <row r="1267" spans="1:13" x14ac:dyDescent="0.3">
      <c r="A1267" s="3">
        <v>2719340</v>
      </c>
      <c r="B1267" s="4" t="s">
        <v>1898</v>
      </c>
      <c r="C1267" s="5" t="s">
        <v>6903</v>
      </c>
      <c r="D1267" s="5" t="s">
        <v>261</v>
      </c>
      <c r="E1267" s="3" t="s">
        <v>6904</v>
      </c>
      <c r="F1267" s="6">
        <v>80</v>
      </c>
      <c r="G1267" s="6">
        <v>55</v>
      </c>
      <c r="H1267" s="6" t="s">
        <v>14</v>
      </c>
      <c r="I1267" s="7" t="s">
        <v>4783</v>
      </c>
      <c r="J1267" s="3" t="s">
        <v>4731</v>
      </c>
      <c r="K1267" s="8">
        <v>0.4</v>
      </c>
      <c r="L1267" s="9" t="s">
        <v>6907</v>
      </c>
      <c r="M1267" s="1" t="s">
        <v>6917</v>
      </c>
    </row>
    <row r="1268" spans="1:13" x14ac:dyDescent="0.3">
      <c r="A1268" s="3">
        <v>2719341</v>
      </c>
      <c r="B1268" s="4" t="s">
        <v>1898</v>
      </c>
      <c r="C1268" s="5" t="s">
        <v>6903</v>
      </c>
      <c r="D1268" s="5" t="s">
        <v>13</v>
      </c>
      <c r="E1268" s="3" t="s">
        <v>6904</v>
      </c>
      <c r="F1268" s="6">
        <v>82.1</v>
      </c>
      <c r="G1268" s="6">
        <v>77.5</v>
      </c>
      <c r="H1268" s="6">
        <v>9.5</v>
      </c>
      <c r="I1268" s="7">
        <v>32</v>
      </c>
      <c r="J1268" s="3" t="s">
        <v>4317</v>
      </c>
      <c r="K1268" s="8">
        <v>0.98</v>
      </c>
      <c r="L1268" s="9" t="s">
        <v>6908</v>
      </c>
      <c r="M1268" s="1" t="s">
        <v>6918</v>
      </c>
    </row>
    <row r="1269" spans="1:13" x14ac:dyDescent="0.3">
      <c r="A1269" s="3">
        <v>2719342</v>
      </c>
      <c r="B1269" s="4" t="s">
        <v>1898</v>
      </c>
      <c r="C1269" s="5" t="s">
        <v>6920</v>
      </c>
      <c r="D1269" s="5" t="s">
        <v>23</v>
      </c>
      <c r="E1269" s="3" t="s">
        <v>6919</v>
      </c>
      <c r="F1269" s="6">
        <v>141</v>
      </c>
      <c r="G1269" s="6">
        <v>121.5</v>
      </c>
      <c r="H1269" s="6">
        <v>66</v>
      </c>
      <c r="I1269" s="7">
        <v>42</v>
      </c>
      <c r="J1269" s="3" t="s">
        <v>4318</v>
      </c>
      <c r="K1269" s="8">
        <v>3.4</v>
      </c>
      <c r="L1269" s="9" t="s">
        <v>6909</v>
      </c>
      <c r="M1269" s="1" t="s">
        <v>6923</v>
      </c>
    </row>
    <row r="1270" spans="1:13" x14ac:dyDescent="0.3">
      <c r="A1270" s="3">
        <v>2719343</v>
      </c>
      <c r="B1270" s="4" t="s">
        <v>1898</v>
      </c>
      <c r="C1270" s="5" t="s">
        <v>6920</v>
      </c>
      <c r="D1270" s="5" t="s">
        <v>4792</v>
      </c>
      <c r="E1270" s="3" t="s">
        <v>6919</v>
      </c>
      <c r="F1270" s="6" t="s">
        <v>6921</v>
      </c>
      <c r="G1270" s="6">
        <v>56</v>
      </c>
      <c r="H1270" s="6">
        <v>16</v>
      </c>
      <c r="I1270" s="7">
        <v>32</v>
      </c>
      <c r="J1270" s="3" t="s">
        <v>6806</v>
      </c>
      <c r="K1270" s="8">
        <f>0.1+0.09+0.22</f>
        <v>0.41000000000000003</v>
      </c>
      <c r="L1270" s="9" t="s">
        <v>6910</v>
      </c>
      <c r="M1270" s="1" t="s">
        <v>6924</v>
      </c>
    </row>
    <row r="1271" spans="1:13" x14ac:dyDescent="0.3">
      <c r="A1271" s="3">
        <v>2719344</v>
      </c>
      <c r="B1271" s="4" t="s">
        <v>1898</v>
      </c>
      <c r="C1271" s="5" t="s">
        <v>6920</v>
      </c>
      <c r="D1271" s="5" t="s">
        <v>6810</v>
      </c>
      <c r="E1271" s="3" t="s">
        <v>6919</v>
      </c>
      <c r="F1271" s="6">
        <v>139.5</v>
      </c>
      <c r="G1271" s="6" t="s">
        <v>6922</v>
      </c>
      <c r="H1271" s="6">
        <v>16</v>
      </c>
      <c r="I1271" s="7">
        <v>32</v>
      </c>
      <c r="J1271" s="3" t="s">
        <v>6806</v>
      </c>
      <c r="K1271" s="8">
        <f>1.18+1.18</f>
        <v>2.36</v>
      </c>
      <c r="L1271" s="9" t="s">
        <v>6911</v>
      </c>
      <c r="M1271" s="1" t="s">
        <v>6925</v>
      </c>
    </row>
    <row r="1272" spans="1:13" x14ac:dyDescent="0.3">
      <c r="A1272" s="3">
        <v>2719345</v>
      </c>
      <c r="B1272" s="4" t="s">
        <v>1898</v>
      </c>
      <c r="C1272" s="5" t="s">
        <v>6920</v>
      </c>
      <c r="D1272" s="5" t="s">
        <v>13</v>
      </c>
      <c r="E1272" s="3" t="s">
        <v>6919</v>
      </c>
      <c r="F1272" s="6">
        <v>142</v>
      </c>
      <c r="G1272" s="6">
        <v>123.5</v>
      </c>
      <c r="H1272" s="6">
        <v>8.5</v>
      </c>
      <c r="I1272" s="7">
        <v>32</v>
      </c>
      <c r="J1272" s="3" t="s">
        <v>4317</v>
      </c>
      <c r="K1272" s="8">
        <v>2.23</v>
      </c>
      <c r="L1272" s="9" t="s">
        <v>6912</v>
      </c>
      <c r="M1272" s="1" t="s">
        <v>6926</v>
      </c>
    </row>
    <row r="1273" spans="1:13" x14ac:dyDescent="0.3">
      <c r="A1273" s="3">
        <v>2719346</v>
      </c>
      <c r="B1273" s="4" t="s">
        <v>1898</v>
      </c>
      <c r="C1273" s="5" t="s">
        <v>6927</v>
      </c>
      <c r="D1273" s="5" t="s">
        <v>23</v>
      </c>
      <c r="E1273" s="3" t="s">
        <v>6928</v>
      </c>
      <c r="F1273" s="6">
        <v>60.5</v>
      </c>
      <c r="G1273" s="6">
        <v>38.5</v>
      </c>
      <c r="H1273" s="6">
        <v>30.8</v>
      </c>
      <c r="I1273" s="7">
        <v>32</v>
      </c>
      <c r="J1273" s="3" t="s">
        <v>4317</v>
      </c>
      <c r="K1273" s="8">
        <v>1.02</v>
      </c>
      <c r="L1273" s="9" t="s">
        <v>6913</v>
      </c>
      <c r="M1273" s="1" t="s">
        <v>6935</v>
      </c>
    </row>
    <row r="1274" spans="1:13" x14ac:dyDescent="0.3">
      <c r="A1274" s="3">
        <v>2719347</v>
      </c>
      <c r="B1274" s="4" t="s">
        <v>1898</v>
      </c>
      <c r="C1274" s="5" t="s">
        <v>6927</v>
      </c>
      <c r="D1274" s="5" t="s">
        <v>4792</v>
      </c>
      <c r="E1274" s="3" t="s">
        <v>6928</v>
      </c>
      <c r="F1274" s="6">
        <v>59.5</v>
      </c>
      <c r="G1274" s="6">
        <v>37</v>
      </c>
      <c r="H1274" s="6">
        <v>30</v>
      </c>
      <c r="I1274" s="7">
        <v>32</v>
      </c>
      <c r="J1274" s="3" t="s">
        <v>6806</v>
      </c>
      <c r="K1274" s="8">
        <f>0.18+0.11</f>
        <v>0.28999999999999998</v>
      </c>
      <c r="L1274" s="9" t="s">
        <v>6929</v>
      </c>
      <c r="M1274" s="1" t="s">
        <v>6936</v>
      </c>
    </row>
    <row r="1275" spans="1:13" x14ac:dyDescent="0.3">
      <c r="A1275" s="3">
        <v>2719348</v>
      </c>
      <c r="B1275" s="4" t="s">
        <v>1898</v>
      </c>
      <c r="C1275" s="5" t="s">
        <v>6927</v>
      </c>
      <c r="D1275" s="5" t="s">
        <v>74</v>
      </c>
      <c r="E1275" s="3" t="s">
        <v>6928</v>
      </c>
      <c r="F1275" s="6">
        <v>59.5</v>
      </c>
      <c r="G1275" s="6">
        <v>36.5</v>
      </c>
      <c r="H1275" s="6" t="s">
        <v>14</v>
      </c>
      <c r="I1275" s="7" t="s">
        <v>6324</v>
      </c>
      <c r="J1275" s="3" t="s">
        <v>4422</v>
      </c>
      <c r="K1275" s="8">
        <v>0.22</v>
      </c>
      <c r="L1275" s="9" t="s">
        <v>6930</v>
      </c>
      <c r="M1275" s="1" t="s">
        <v>6937</v>
      </c>
    </row>
    <row r="1276" spans="1:13" x14ac:dyDescent="0.3">
      <c r="A1276" s="3">
        <v>2719349</v>
      </c>
      <c r="B1276" s="4" t="s">
        <v>1898</v>
      </c>
      <c r="C1276" s="5" t="s">
        <v>6927</v>
      </c>
      <c r="D1276" s="5" t="s">
        <v>13</v>
      </c>
      <c r="E1276" s="3" t="s">
        <v>6928</v>
      </c>
      <c r="F1276" s="6">
        <v>62</v>
      </c>
      <c r="G1276" s="6">
        <v>41</v>
      </c>
      <c r="H1276" s="6">
        <v>8.5</v>
      </c>
      <c r="I1276" s="7">
        <v>32</v>
      </c>
      <c r="J1276" s="3" t="s">
        <v>4317</v>
      </c>
      <c r="K1276" s="8">
        <v>0.46</v>
      </c>
      <c r="L1276" s="9" t="s">
        <v>6931</v>
      </c>
      <c r="M1276" s="1" t="s">
        <v>6938</v>
      </c>
    </row>
    <row r="1277" spans="1:13" x14ac:dyDescent="0.3">
      <c r="A1277" s="3">
        <v>2719350</v>
      </c>
      <c r="B1277" s="4" t="s">
        <v>1898</v>
      </c>
      <c r="C1277" s="5" t="s">
        <v>6939</v>
      </c>
      <c r="D1277" s="5" t="s">
        <v>23</v>
      </c>
      <c r="E1277" s="3" t="s">
        <v>6650</v>
      </c>
      <c r="F1277" s="6">
        <v>82</v>
      </c>
      <c r="G1277" s="6">
        <v>77.3</v>
      </c>
      <c r="H1277" s="6">
        <v>68</v>
      </c>
      <c r="I1277" s="7">
        <v>42</v>
      </c>
      <c r="J1277" s="3" t="s">
        <v>4318</v>
      </c>
      <c r="K1277" s="8">
        <v>1.76</v>
      </c>
      <c r="L1277" s="9" t="s">
        <v>6932</v>
      </c>
      <c r="M1277" s="1" t="s">
        <v>6941</v>
      </c>
    </row>
    <row r="1278" spans="1:13" x14ac:dyDescent="0.3">
      <c r="A1278" s="3">
        <v>2719351</v>
      </c>
      <c r="B1278" s="4" t="s">
        <v>1898</v>
      </c>
      <c r="C1278" s="5" t="s">
        <v>6939</v>
      </c>
      <c r="D1278" s="5" t="s">
        <v>4792</v>
      </c>
      <c r="E1278" s="3" t="s">
        <v>6650</v>
      </c>
      <c r="F1278" s="6">
        <v>76.3</v>
      </c>
      <c r="G1278" s="6">
        <v>81</v>
      </c>
      <c r="H1278" s="6">
        <v>66.5</v>
      </c>
      <c r="I1278" s="7" t="s">
        <v>6324</v>
      </c>
      <c r="J1278" s="3" t="s">
        <v>4422</v>
      </c>
      <c r="K1278" s="8">
        <f>0.54+0.51</f>
        <v>1.05</v>
      </c>
      <c r="L1278" s="9" t="s">
        <v>6933</v>
      </c>
      <c r="M1278" s="1" t="s">
        <v>6942</v>
      </c>
    </row>
    <row r="1279" spans="1:13" x14ac:dyDescent="0.3">
      <c r="A1279" s="3">
        <v>2719352</v>
      </c>
      <c r="B1279" s="4" t="s">
        <v>1898</v>
      </c>
      <c r="C1279" s="5" t="s">
        <v>6939</v>
      </c>
      <c r="D1279" s="5" t="s">
        <v>74</v>
      </c>
      <c r="E1279" s="3" t="s">
        <v>6650</v>
      </c>
      <c r="F1279" s="6">
        <v>81</v>
      </c>
      <c r="G1279" s="6">
        <v>76.3</v>
      </c>
      <c r="H1279" s="6" t="s">
        <v>14</v>
      </c>
      <c r="I1279" s="7" t="s">
        <v>5979</v>
      </c>
      <c r="J1279" s="3" t="s">
        <v>4731</v>
      </c>
      <c r="K1279" s="8">
        <v>0.62</v>
      </c>
      <c r="L1279" s="9" t="s">
        <v>6934</v>
      </c>
      <c r="M1279" s="1" t="s">
        <v>6943</v>
      </c>
    </row>
    <row r="1280" spans="1:13" x14ac:dyDescent="0.3">
      <c r="A1280" s="3">
        <v>2719353</v>
      </c>
      <c r="B1280" s="4" t="s">
        <v>1898</v>
      </c>
      <c r="C1280" s="5" t="s">
        <v>6939</v>
      </c>
      <c r="D1280" s="5" t="s">
        <v>13</v>
      </c>
      <c r="E1280" s="3" t="s">
        <v>6650</v>
      </c>
      <c r="F1280" s="6">
        <v>83</v>
      </c>
      <c r="G1280" s="6">
        <v>79.3</v>
      </c>
      <c r="H1280" s="6">
        <v>8.5</v>
      </c>
      <c r="I1280" s="7">
        <v>32</v>
      </c>
      <c r="J1280" s="3" t="s">
        <v>4317</v>
      </c>
      <c r="K1280" s="8">
        <v>0.96</v>
      </c>
      <c r="L1280" s="9" t="s">
        <v>6940</v>
      </c>
      <c r="M1280" s="1" t="s">
        <v>6944</v>
      </c>
    </row>
    <row r="1281" spans="1:14" x14ac:dyDescent="0.3">
      <c r="A1281" s="3">
        <v>2719354</v>
      </c>
      <c r="B1281" s="4" t="s">
        <v>1898</v>
      </c>
      <c r="C1281" s="5" t="s">
        <v>6988</v>
      </c>
      <c r="D1281" s="5" t="s">
        <v>23</v>
      </c>
      <c r="E1281" s="3" t="s">
        <v>6989</v>
      </c>
      <c r="F1281" s="6">
        <v>60.5</v>
      </c>
      <c r="G1281" s="6">
        <v>37.5</v>
      </c>
      <c r="H1281" s="6">
        <v>17.8</v>
      </c>
      <c r="I1281" s="7">
        <v>32</v>
      </c>
      <c r="J1281" s="3" t="s">
        <v>4317</v>
      </c>
      <c r="K1281" s="8">
        <v>0.74</v>
      </c>
      <c r="L1281" s="9" t="s">
        <v>6990</v>
      </c>
      <c r="M1281" s="1" t="s">
        <v>6994</v>
      </c>
    </row>
    <row r="1282" spans="1:14" x14ac:dyDescent="0.3">
      <c r="A1282" s="3">
        <v>2719355</v>
      </c>
      <c r="B1282" s="4" t="s">
        <v>1898</v>
      </c>
      <c r="C1282" s="5" t="s">
        <v>6988</v>
      </c>
      <c r="D1282" s="5" t="s">
        <v>90</v>
      </c>
      <c r="E1282" s="3" t="s">
        <v>6989</v>
      </c>
      <c r="F1282" s="6">
        <v>59.5</v>
      </c>
      <c r="G1282" s="6">
        <v>36.5</v>
      </c>
      <c r="H1282" s="6">
        <v>8</v>
      </c>
      <c r="I1282" s="7" t="s">
        <v>6324</v>
      </c>
      <c r="J1282" s="3" t="s">
        <v>4422</v>
      </c>
      <c r="K1282" s="8">
        <f>0.05+0.03</f>
        <v>0.08</v>
      </c>
      <c r="L1282" s="9" t="s">
        <v>6991</v>
      </c>
      <c r="M1282" s="1" t="s">
        <v>6995</v>
      </c>
    </row>
    <row r="1283" spans="1:14" x14ac:dyDescent="0.3">
      <c r="A1283" s="3">
        <v>2719356</v>
      </c>
      <c r="B1283" s="4" t="s">
        <v>1898</v>
      </c>
      <c r="C1283" s="5" t="s">
        <v>6988</v>
      </c>
      <c r="D1283" s="5" t="s">
        <v>74</v>
      </c>
      <c r="E1283" s="3" t="s">
        <v>6989</v>
      </c>
      <c r="F1283" s="6">
        <v>59.5</v>
      </c>
      <c r="G1283" s="6">
        <v>36.5</v>
      </c>
      <c r="H1283" s="6" t="s">
        <v>14</v>
      </c>
      <c r="I1283" s="7" t="s">
        <v>6324</v>
      </c>
      <c r="J1283" s="3" t="s">
        <v>4422</v>
      </c>
      <c r="K1283" s="8">
        <v>0.22</v>
      </c>
      <c r="L1283" s="9" t="s">
        <v>6992</v>
      </c>
      <c r="M1283" s="1" t="s">
        <v>6996</v>
      </c>
    </row>
    <row r="1284" spans="1:14" x14ac:dyDescent="0.3">
      <c r="A1284" s="3">
        <v>2719357</v>
      </c>
      <c r="B1284" s="4" t="s">
        <v>1898</v>
      </c>
      <c r="C1284" s="5" t="s">
        <v>6988</v>
      </c>
      <c r="D1284" s="5" t="s">
        <v>13</v>
      </c>
      <c r="E1284" s="3" t="s">
        <v>6989</v>
      </c>
      <c r="F1284" s="6">
        <v>62</v>
      </c>
      <c r="G1284" s="6">
        <v>40</v>
      </c>
      <c r="H1284" s="6">
        <v>8.5</v>
      </c>
      <c r="I1284" s="7">
        <v>32</v>
      </c>
      <c r="J1284" s="3" t="s">
        <v>4317</v>
      </c>
      <c r="K1284" s="8">
        <v>0.45</v>
      </c>
      <c r="L1284" s="9" t="s">
        <v>6993</v>
      </c>
      <c r="M1284" s="1" t="s">
        <v>6997</v>
      </c>
    </row>
    <row r="1285" spans="1:14" x14ac:dyDescent="0.3">
      <c r="A1285" s="3">
        <v>2719358</v>
      </c>
      <c r="B1285" s="4" t="s">
        <v>1898</v>
      </c>
      <c r="C1285" s="5" t="s">
        <v>7200</v>
      </c>
      <c r="D1285" s="5" t="s">
        <v>96</v>
      </c>
      <c r="E1285" s="3" t="s">
        <v>7204</v>
      </c>
      <c r="F1285" s="6">
        <v>56.3</v>
      </c>
      <c r="G1285" s="6">
        <v>40</v>
      </c>
      <c r="H1285" s="6">
        <v>22.5</v>
      </c>
      <c r="I1285" s="7">
        <v>42</v>
      </c>
      <c r="J1285" s="3" t="s">
        <v>4318</v>
      </c>
      <c r="K1285" s="8">
        <v>1.25</v>
      </c>
      <c r="L1285" s="9" t="s">
        <v>7205</v>
      </c>
      <c r="M1285" s="1"/>
    </row>
    <row r="1286" spans="1:14" x14ac:dyDescent="0.3">
      <c r="A1286" s="3">
        <v>2719359</v>
      </c>
      <c r="B1286" s="4" t="s">
        <v>1898</v>
      </c>
      <c r="C1286" s="5" t="s">
        <v>7201</v>
      </c>
      <c r="D1286" s="5" t="s">
        <v>4792</v>
      </c>
      <c r="E1286" s="3" t="s">
        <v>7204</v>
      </c>
      <c r="F1286" s="6">
        <v>54.8</v>
      </c>
      <c r="G1286" s="6">
        <v>38.5</v>
      </c>
      <c r="H1286" s="6">
        <v>10</v>
      </c>
      <c r="I1286" s="7">
        <v>32</v>
      </c>
      <c r="J1286" s="3" t="s">
        <v>4317</v>
      </c>
      <c r="K1286" s="8">
        <f>0.05+0.04</f>
        <v>0.09</v>
      </c>
      <c r="L1286" s="9" t="s">
        <v>7206</v>
      </c>
      <c r="M1286" s="1"/>
    </row>
    <row r="1287" spans="1:14" x14ac:dyDescent="0.3">
      <c r="A1287" s="3">
        <v>2719360</v>
      </c>
      <c r="B1287" s="4" t="s">
        <v>1898</v>
      </c>
      <c r="C1287" s="5" t="s">
        <v>7202</v>
      </c>
      <c r="D1287" s="5" t="s">
        <v>74</v>
      </c>
      <c r="E1287" s="3" t="s">
        <v>7204</v>
      </c>
      <c r="F1287" s="6">
        <v>54.8</v>
      </c>
      <c r="G1287" s="6">
        <v>38.5</v>
      </c>
      <c r="H1287" s="6" t="s">
        <v>14</v>
      </c>
      <c r="I1287" s="7">
        <v>32</v>
      </c>
      <c r="J1287" s="3" t="s">
        <v>4317</v>
      </c>
      <c r="K1287" s="8">
        <v>0.21</v>
      </c>
      <c r="L1287" s="9" t="s">
        <v>7207</v>
      </c>
      <c r="M1287" s="1"/>
    </row>
    <row r="1288" spans="1:14" x14ac:dyDescent="0.3">
      <c r="A1288" s="3">
        <v>2719361</v>
      </c>
      <c r="B1288" s="4" t="s">
        <v>1898</v>
      </c>
      <c r="C1288" s="5" t="s">
        <v>7203</v>
      </c>
      <c r="D1288" s="5" t="s">
        <v>5462</v>
      </c>
      <c r="E1288" s="3" t="s">
        <v>7204</v>
      </c>
      <c r="F1288" s="6">
        <v>54.8</v>
      </c>
      <c r="G1288" s="6">
        <v>38.5</v>
      </c>
      <c r="H1288" s="6" t="s">
        <v>14</v>
      </c>
      <c r="I1288" s="7" t="s">
        <v>5312</v>
      </c>
      <c r="J1288" s="3" t="s">
        <v>4731</v>
      </c>
      <c r="K1288" s="8">
        <v>0.21</v>
      </c>
      <c r="L1288" s="9" t="s">
        <v>7208</v>
      </c>
      <c r="M1288" s="1"/>
    </row>
    <row r="1289" spans="1:14" x14ac:dyDescent="0.3">
      <c r="A1289" s="3">
        <v>2719362</v>
      </c>
      <c r="B1289" s="4" t="s">
        <v>1898</v>
      </c>
      <c r="C1289" s="5">
        <v>1378020</v>
      </c>
      <c r="D1289" s="5" t="s">
        <v>23</v>
      </c>
      <c r="E1289" s="3" t="s">
        <v>14</v>
      </c>
      <c r="F1289" s="6">
        <v>60.5</v>
      </c>
      <c r="G1289" s="6">
        <v>38</v>
      </c>
      <c r="H1289" s="6">
        <v>28</v>
      </c>
      <c r="I1289" s="7">
        <v>32</v>
      </c>
      <c r="J1289" s="3" t="s">
        <v>4317</v>
      </c>
      <c r="K1289" s="8">
        <v>0.95</v>
      </c>
      <c r="L1289" s="9" t="s">
        <v>7665</v>
      </c>
      <c r="M1289" s="1"/>
    </row>
    <row r="1290" spans="1:14" x14ac:dyDescent="0.3">
      <c r="A1290" s="3">
        <v>2719363</v>
      </c>
      <c r="B1290" s="4" t="s">
        <v>1898</v>
      </c>
      <c r="C1290" s="5">
        <v>1378021</v>
      </c>
      <c r="D1290" s="5" t="s">
        <v>4792</v>
      </c>
      <c r="E1290" s="3" t="s">
        <v>14</v>
      </c>
      <c r="F1290" s="6">
        <v>59.5</v>
      </c>
      <c r="G1290" s="6">
        <v>37</v>
      </c>
      <c r="H1290" s="6">
        <v>26.5</v>
      </c>
      <c r="I1290" s="7" t="s">
        <v>6817</v>
      </c>
      <c r="J1290" s="3" t="s">
        <v>4870</v>
      </c>
      <c r="K1290" s="8">
        <f>0.34+0.1</f>
        <v>0.44000000000000006</v>
      </c>
      <c r="L1290" s="9" t="s">
        <v>7666</v>
      </c>
      <c r="M1290" s="1"/>
    </row>
    <row r="1291" spans="1:14" x14ac:dyDescent="0.3">
      <c r="A1291" s="3">
        <v>6600001</v>
      </c>
      <c r="B1291" s="4" t="s">
        <v>5314</v>
      </c>
      <c r="C1291" s="5">
        <v>1537003</v>
      </c>
      <c r="D1291" s="5" t="s">
        <v>74</v>
      </c>
      <c r="E1291" s="3" t="s">
        <v>5668</v>
      </c>
      <c r="F1291" s="6">
        <v>90</v>
      </c>
      <c r="G1291" s="6">
        <v>60</v>
      </c>
      <c r="H1291" s="6" t="s">
        <v>14</v>
      </c>
      <c r="I1291" s="7">
        <v>32</v>
      </c>
      <c r="J1291" s="3" t="s">
        <v>4317</v>
      </c>
      <c r="K1291" s="8">
        <v>0.54</v>
      </c>
      <c r="L1291" s="9" t="s">
        <v>5315</v>
      </c>
      <c r="M1291" s="1" t="s">
        <v>5669</v>
      </c>
    </row>
    <row r="1292" spans="1:14" x14ac:dyDescent="0.3">
      <c r="A1292" s="3">
        <v>6600002</v>
      </c>
      <c r="B1292" s="4" t="s">
        <v>5314</v>
      </c>
      <c r="C1292" s="5">
        <v>1695007</v>
      </c>
      <c r="D1292" s="5" t="s">
        <v>96</v>
      </c>
      <c r="E1292" s="3" t="s">
        <v>1884</v>
      </c>
      <c r="F1292" s="6">
        <v>92</v>
      </c>
      <c r="G1292" s="6">
        <v>60</v>
      </c>
      <c r="H1292" s="6">
        <v>17</v>
      </c>
      <c r="I1292" s="7">
        <v>42</v>
      </c>
      <c r="J1292" s="3" t="s">
        <v>4318</v>
      </c>
      <c r="K1292" s="8">
        <v>1.2</v>
      </c>
      <c r="L1292" s="9" t="s">
        <v>5316</v>
      </c>
      <c r="M1292" s="1" t="s">
        <v>5670</v>
      </c>
    </row>
    <row r="1293" spans="1:14" x14ac:dyDescent="0.3">
      <c r="A1293" s="3">
        <v>6600003</v>
      </c>
      <c r="B1293" s="4" t="s">
        <v>5314</v>
      </c>
      <c r="C1293" s="5">
        <v>1061005</v>
      </c>
      <c r="D1293" s="5" t="s">
        <v>96</v>
      </c>
      <c r="E1293" s="3" t="s">
        <v>1887</v>
      </c>
      <c r="F1293" s="6">
        <v>56.4</v>
      </c>
      <c r="G1293" s="6">
        <v>39.6</v>
      </c>
      <c r="H1293" s="6">
        <v>39.6</v>
      </c>
      <c r="I1293" s="7">
        <v>51</v>
      </c>
      <c r="J1293" s="3" t="s">
        <v>4318</v>
      </c>
      <c r="K1293" s="8">
        <v>1.56</v>
      </c>
      <c r="L1293" s="9" t="s">
        <v>5671</v>
      </c>
      <c r="M1293" s="1" t="s">
        <v>5675</v>
      </c>
    </row>
    <row r="1294" spans="1:14" x14ac:dyDescent="0.3">
      <c r="A1294" s="3">
        <v>6600004</v>
      </c>
      <c r="B1294" s="4" t="s">
        <v>5314</v>
      </c>
      <c r="C1294" s="5">
        <v>1537006</v>
      </c>
      <c r="D1294" s="5" t="s">
        <v>96</v>
      </c>
      <c r="E1294" s="3" t="s">
        <v>14</v>
      </c>
      <c r="F1294" s="6">
        <v>71</v>
      </c>
      <c r="G1294" s="6">
        <v>61</v>
      </c>
      <c r="H1294" s="6">
        <v>39.4</v>
      </c>
      <c r="I1294" s="7">
        <v>42</v>
      </c>
      <c r="J1294" s="3" t="s">
        <v>4318</v>
      </c>
      <c r="K1294" s="8">
        <v>2.72</v>
      </c>
      <c r="L1294" s="9" t="s">
        <v>5672</v>
      </c>
      <c r="M1294" s="1" t="s">
        <v>5676</v>
      </c>
      <c r="N1294" t="s">
        <v>5548</v>
      </c>
    </row>
    <row r="1295" spans="1:14" x14ac:dyDescent="0.3">
      <c r="A1295" s="3">
        <v>6600005</v>
      </c>
      <c r="B1295" s="4" t="s">
        <v>5314</v>
      </c>
      <c r="C1295" s="5">
        <v>1341006</v>
      </c>
      <c r="D1295" s="5" t="s">
        <v>96</v>
      </c>
      <c r="E1295" s="3" t="s">
        <v>5677</v>
      </c>
      <c r="F1295" s="6">
        <v>81</v>
      </c>
      <c r="G1295" s="6">
        <v>61</v>
      </c>
      <c r="H1295" s="6">
        <v>42</v>
      </c>
      <c r="I1295" s="7">
        <v>42</v>
      </c>
      <c r="J1295" s="3" t="s">
        <v>4318</v>
      </c>
      <c r="K1295" s="8">
        <v>3</v>
      </c>
      <c r="L1295" s="9" t="s">
        <v>5673</v>
      </c>
      <c r="M1295" s="1" t="s">
        <v>5678</v>
      </c>
      <c r="N1295" t="s">
        <v>5548</v>
      </c>
    </row>
    <row r="1296" spans="1:14" x14ac:dyDescent="0.3">
      <c r="A1296" s="3">
        <v>6600006</v>
      </c>
      <c r="B1296" s="4" t="s">
        <v>5314</v>
      </c>
      <c r="C1296" s="5">
        <v>1536024</v>
      </c>
      <c r="D1296" s="5" t="s">
        <v>96</v>
      </c>
      <c r="E1296" s="3" t="s">
        <v>5668</v>
      </c>
      <c r="F1296" s="6">
        <v>91</v>
      </c>
      <c r="G1296" s="6">
        <v>61</v>
      </c>
      <c r="H1296" s="6">
        <v>38</v>
      </c>
      <c r="I1296" s="7">
        <v>42</v>
      </c>
      <c r="J1296" s="3" t="s">
        <v>4318</v>
      </c>
      <c r="K1296" s="8">
        <v>3.08</v>
      </c>
      <c r="L1296" s="9" t="s">
        <v>5674</v>
      </c>
      <c r="M1296" s="1" t="s">
        <v>5679</v>
      </c>
      <c r="N1296" t="s">
        <v>5548</v>
      </c>
    </row>
    <row r="1297" spans="1:14" x14ac:dyDescent="0.3">
      <c r="A1297" s="3">
        <v>2810013</v>
      </c>
      <c r="B1297" s="4" t="s">
        <v>4805</v>
      </c>
      <c r="C1297" s="5">
        <v>1288009</v>
      </c>
      <c r="D1297" s="5" t="s">
        <v>96</v>
      </c>
      <c r="E1297" s="3" t="s">
        <v>2363</v>
      </c>
      <c r="F1297" s="6">
        <v>60.4</v>
      </c>
      <c r="G1297" s="6">
        <v>50.4</v>
      </c>
      <c r="H1297" s="6">
        <v>46.6</v>
      </c>
      <c r="I1297" s="3" t="s">
        <v>4315</v>
      </c>
      <c r="J1297" s="3" t="s">
        <v>4317</v>
      </c>
      <c r="K1297" s="8" t="s">
        <v>4487</v>
      </c>
      <c r="L1297" s="9" t="s">
        <v>2364</v>
      </c>
      <c r="M1297" s="1" t="s">
        <v>2365</v>
      </c>
    </row>
    <row r="1298" spans="1:14" x14ac:dyDescent="0.3">
      <c r="A1298" s="3">
        <v>2820014</v>
      </c>
      <c r="B1298" s="4" t="s">
        <v>4805</v>
      </c>
      <c r="C1298" s="5">
        <v>1288010</v>
      </c>
      <c r="D1298" s="5" t="s">
        <v>264</v>
      </c>
      <c r="E1298" s="3" t="s">
        <v>2363</v>
      </c>
      <c r="F1298" s="6">
        <v>59.5</v>
      </c>
      <c r="G1298" s="6">
        <v>45</v>
      </c>
      <c r="H1298" s="6">
        <v>0</v>
      </c>
      <c r="I1298" s="7" t="s">
        <v>4315</v>
      </c>
      <c r="J1298" s="3" t="s">
        <v>4317</v>
      </c>
      <c r="K1298" s="8" t="s">
        <v>4680</v>
      </c>
      <c r="L1298" s="9" t="s">
        <v>2366</v>
      </c>
      <c r="M1298" s="1" t="s">
        <v>2367</v>
      </c>
    </row>
    <row r="1299" spans="1:14" x14ac:dyDescent="0.3">
      <c r="A1299" s="3">
        <v>2821015</v>
      </c>
      <c r="B1299" s="4" t="s">
        <v>4805</v>
      </c>
      <c r="C1299" s="5">
        <v>1288010</v>
      </c>
      <c r="D1299" s="5" t="s">
        <v>267</v>
      </c>
      <c r="E1299" s="3" t="s">
        <v>2363</v>
      </c>
      <c r="F1299" s="6">
        <v>49.5</v>
      </c>
      <c r="G1299" s="6">
        <v>45</v>
      </c>
      <c r="H1299" s="6">
        <v>0</v>
      </c>
      <c r="I1299" s="7" t="s">
        <v>4315</v>
      </c>
      <c r="J1299" s="3" t="s">
        <v>4317</v>
      </c>
      <c r="K1299" s="8" t="s">
        <v>4410</v>
      </c>
      <c r="L1299" s="9" t="s">
        <v>2368</v>
      </c>
      <c r="M1299" s="1" t="s">
        <v>2369</v>
      </c>
    </row>
    <row r="1300" spans="1:14" x14ac:dyDescent="0.3">
      <c r="A1300" s="3">
        <v>2822016</v>
      </c>
      <c r="B1300" s="4" t="s">
        <v>4805</v>
      </c>
      <c r="C1300" s="5">
        <v>1453007</v>
      </c>
      <c r="D1300" s="5" t="s">
        <v>96</v>
      </c>
      <c r="E1300" s="3" t="s">
        <v>4832</v>
      </c>
      <c r="F1300" s="6">
        <v>61</v>
      </c>
      <c r="G1300" s="6">
        <v>57</v>
      </c>
      <c r="H1300" s="6">
        <v>37.799999999999997</v>
      </c>
      <c r="I1300" s="7">
        <v>32</v>
      </c>
      <c r="J1300" s="3" t="s">
        <v>4317</v>
      </c>
      <c r="K1300" s="8">
        <v>2.2999999999999998</v>
      </c>
      <c r="L1300" s="9" t="s">
        <v>2370</v>
      </c>
      <c r="M1300" s="9" t="s">
        <v>4974</v>
      </c>
    </row>
    <row r="1301" spans="1:14" x14ac:dyDescent="0.3">
      <c r="A1301" s="3">
        <v>2823017</v>
      </c>
      <c r="B1301" s="4" t="s">
        <v>4805</v>
      </c>
      <c r="C1301" s="5">
        <v>1453008</v>
      </c>
      <c r="D1301" s="5" t="s">
        <v>4833</v>
      </c>
      <c r="E1301" s="3" t="s">
        <v>4832</v>
      </c>
      <c r="F1301" s="6">
        <v>60</v>
      </c>
      <c r="G1301" s="6">
        <v>56</v>
      </c>
      <c r="H1301" s="6">
        <v>36.5</v>
      </c>
      <c r="I1301" s="7">
        <v>32</v>
      </c>
      <c r="J1301" s="3" t="s">
        <v>4317</v>
      </c>
      <c r="K1301" s="8">
        <v>0.22</v>
      </c>
      <c r="L1301" s="9" t="s">
        <v>2371</v>
      </c>
      <c r="M1301" s="9" t="s">
        <v>4974</v>
      </c>
    </row>
    <row r="1302" spans="1:14" x14ac:dyDescent="0.3">
      <c r="A1302" s="3">
        <v>2824018</v>
      </c>
      <c r="B1302" s="4" t="s">
        <v>4805</v>
      </c>
      <c r="C1302" s="5">
        <v>1417085</v>
      </c>
      <c r="D1302" s="5" t="s">
        <v>23</v>
      </c>
      <c r="E1302" s="3" t="s">
        <v>5106</v>
      </c>
      <c r="F1302" s="6">
        <v>50.5</v>
      </c>
      <c r="G1302" s="6">
        <v>53</v>
      </c>
      <c r="H1302" s="6">
        <v>34</v>
      </c>
      <c r="I1302" s="7">
        <v>32</v>
      </c>
      <c r="J1302" s="3" t="s">
        <v>4317</v>
      </c>
      <c r="K1302" s="8">
        <v>1.29</v>
      </c>
      <c r="L1302" s="9" t="s">
        <v>2372</v>
      </c>
      <c r="M1302" s="24" t="s">
        <v>5799</v>
      </c>
      <c r="N1302" t="s">
        <v>5548</v>
      </c>
    </row>
    <row r="1303" spans="1:14" x14ac:dyDescent="0.3">
      <c r="A1303" s="3">
        <v>2825019</v>
      </c>
      <c r="B1303" s="4" t="s">
        <v>4805</v>
      </c>
      <c r="C1303" s="5">
        <v>1417086</v>
      </c>
      <c r="D1303" s="5" t="s">
        <v>4833</v>
      </c>
      <c r="E1303" s="3" t="s">
        <v>5106</v>
      </c>
      <c r="F1303" s="6">
        <v>77</v>
      </c>
      <c r="G1303" s="6">
        <v>77</v>
      </c>
      <c r="H1303" s="6">
        <v>33.5</v>
      </c>
      <c r="I1303" s="7">
        <v>32</v>
      </c>
      <c r="J1303" s="3" t="s">
        <v>4317</v>
      </c>
      <c r="K1303" s="8">
        <v>0.26</v>
      </c>
      <c r="L1303" s="9" t="s">
        <v>2373</v>
      </c>
      <c r="M1303" s="24" t="s">
        <v>5800</v>
      </c>
      <c r="N1303" t="s">
        <v>5548</v>
      </c>
    </row>
    <row r="1304" spans="1:14" x14ac:dyDescent="0.3">
      <c r="A1304" s="3">
        <v>2826020</v>
      </c>
      <c r="B1304" s="4" t="s">
        <v>4805</v>
      </c>
      <c r="C1304" s="5">
        <v>1416031</v>
      </c>
      <c r="D1304" s="5" t="s">
        <v>392</v>
      </c>
      <c r="E1304" s="3" t="s">
        <v>5106</v>
      </c>
      <c r="F1304" s="6">
        <v>54.5</v>
      </c>
      <c r="G1304" s="6">
        <v>52</v>
      </c>
      <c r="H1304" s="6">
        <v>9.5</v>
      </c>
      <c r="I1304" s="7">
        <v>32</v>
      </c>
      <c r="J1304" s="3" t="s">
        <v>4317</v>
      </c>
      <c r="K1304" s="8">
        <v>0.54</v>
      </c>
      <c r="L1304" s="9" t="s">
        <v>2374</v>
      </c>
      <c r="M1304" s="24" t="s">
        <v>5798</v>
      </c>
      <c r="N1304" t="s">
        <v>5548</v>
      </c>
    </row>
    <row r="1305" spans="1:14" x14ac:dyDescent="0.3">
      <c r="A1305" s="3">
        <v>2827021</v>
      </c>
      <c r="B1305" s="4" t="s">
        <v>4805</v>
      </c>
      <c r="C1305" s="5">
        <v>1181011</v>
      </c>
      <c r="D1305" s="5" t="s">
        <v>4833</v>
      </c>
      <c r="E1305" s="3" t="s">
        <v>5308</v>
      </c>
      <c r="F1305" s="6">
        <v>60.6</v>
      </c>
      <c r="G1305" s="6">
        <v>60.6</v>
      </c>
      <c r="H1305" s="6">
        <v>12.7</v>
      </c>
      <c r="I1305" s="7">
        <v>32</v>
      </c>
      <c r="J1305" s="3" t="s">
        <v>4317</v>
      </c>
      <c r="K1305" s="8">
        <v>0.08</v>
      </c>
      <c r="L1305" s="9" t="s">
        <v>2375</v>
      </c>
      <c r="M1305" s="24" t="s">
        <v>5723</v>
      </c>
      <c r="N1305" t="s">
        <v>5548</v>
      </c>
    </row>
    <row r="1306" spans="1:14" x14ac:dyDescent="0.3">
      <c r="A1306" s="3">
        <v>2828022</v>
      </c>
      <c r="B1306" s="4" t="s">
        <v>4805</v>
      </c>
      <c r="C1306" s="5">
        <v>1314011</v>
      </c>
      <c r="D1306" s="5" t="s">
        <v>96</v>
      </c>
      <c r="E1306" s="3" t="s">
        <v>5309</v>
      </c>
      <c r="F1306" s="6">
        <v>65.900000000000006</v>
      </c>
      <c r="G1306" s="6">
        <v>48.2</v>
      </c>
      <c r="H1306" s="6">
        <v>18.3</v>
      </c>
      <c r="I1306" s="7">
        <v>32</v>
      </c>
      <c r="J1306" s="3" t="s">
        <v>4317</v>
      </c>
      <c r="K1306" s="8">
        <v>1.56</v>
      </c>
      <c r="L1306" s="9" t="s">
        <v>2376</v>
      </c>
      <c r="M1306" s="24" t="s">
        <v>5787</v>
      </c>
      <c r="N1306" t="s">
        <v>5548</v>
      </c>
    </row>
    <row r="1307" spans="1:14" x14ac:dyDescent="0.3">
      <c r="A1307" s="3">
        <v>2829023</v>
      </c>
      <c r="B1307" s="4" t="s">
        <v>4805</v>
      </c>
      <c r="C1307" s="5">
        <v>1314012</v>
      </c>
      <c r="D1307" s="5" t="s">
        <v>4833</v>
      </c>
      <c r="E1307" s="3" t="s">
        <v>5309</v>
      </c>
      <c r="F1307" s="6">
        <v>65</v>
      </c>
      <c r="G1307" s="6">
        <v>47.5</v>
      </c>
      <c r="H1307" s="6">
        <v>8</v>
      </c>
      <c r="I1307" s="7">
        <v>32</v>
      </c>
      <c r="J1307" s="3" t="s">
        <v>4317</v>
      </c>
      <c r="K1307" s="8">
        <v>0.05</v>
      </c>
      <c r="L1307" s="9" t="s">
        <v>2377</v>
      </c>
      <c r="M1307" s="24" t="s">
        <v>5788</v>
      </c>
      <c r="N1307" t="s">
        <v>5548</v>
      </c>
    </row>
    <row r="1308" spans="1:14" x14ac:dyDescent="0.3">
      <c r="A1308" s="3">
        <v>2830024</v>
      </c>
      <c r="B1308" s="4" t="s">
        <v>4805</v>
      </c>
      <c r="C1308" s="5">
        <v>1314013</v>
      </c>
      <c r="D1308" s="5" t="s">
        <v>74</v>
      </c>
      <c r="E1308" s="3" t="s">
        <v>5309</v>
      </c>
      <c r="F1308" s="6">
        <v>65</v>
      </c>
      <c r="G1308" s="6">
        <v>47.5</v>
      </c>
      <c r="H1308" s="6" t="s">
        <v>14</v>
      </c>
      <c r="I1308" s="7">
        <v>32</v>
      </c>
      <c r="J1308" s="3" t="s">
        <v>4317</v>
      </c>
      <c r="K1308" s="8">
        <v>0.31</v>
      </c>
      <c r="L1308" s="9" t="s">
        <v>2378</v>
      </c>
      <c r="M1308" s="24" t="s">
        <v>5789</v>
      </c>
      <c r="N1308" t="s">
        <v>5548</v>
      </c>
    </row>
    <row r="1309" spans="1:14" x14ac:dyDescent="0.3">
      <c r="A1309" s="3">
        <v>2831025</v>
      </c>
      <c r="B1309" s="4" t="s">
        <v>4805</v>
      </c>
      <c r="C1309" s="5">
        <v>1314015</v>
      </c>
      <c r="D1309" s="5" t="s">
        <v>96</v>
      </c>
      <c r="E1309" s="3" t="s">
        <v>5313</v>
      </c>
      <c r="F1309" s="6">
        <v>60.9</v>
      </c>
      <c r="G1309" s="6">
        <v>56.9</v>
      </c>
      <c r="H1309" s="6">
        <v>18.3</v>
      </c>
      <c r="I1309" s="7">
        <v>32</v>
      </c>
      <c r="J1309" s="3" t="s">
        <v>4317</v>
      </c>
      <c r="K1309" s="8">
        <v>1.82</v>
      </c>
      <c r="L1309" s="9" t="s">
        <v>2379</v>
      </c>
      <c r="M1309" s="24" t="s">
        <v>5790</v>
      </c>
      <c r="N1309" t="s">
        <v>5548</v>
      </c>
    </row>
    <row r="1310" spans="1:14" x14ac:dyDescent="0.3">
      <c r="A1310" s="3">
        <v>2832026</v>
      </c>
      <c r="B1310" s="4" t="s">
        <v>4805</v>
      </c>
      <c r="C1310" s="5">
        <v>13141016</v>
      </c>
      <c r="D1310" s="5" t="s">
        <v>4833</v>
      </c>
      <c r="E1310" s="3" t="s">
        <v>5313</v>
      </c>
      <c r="F1310" s="6">
        <v>60</v>
      </c>
      <c r="G1310" s="6">
        <v>56</v>
      </c>
      <c r="H1310" s="6">
        <v>17</v>
      </c>
      <c r="I1310" s="7">
        <v>32</v>
      </c>
      <c r="J1310" s="3" t="s">
        <v>4317</v>
      </c>
      <c r="K1310" s="8">
        <v>0.1</v>
      </c>
      <c r="L1310" s="9" t="s">
        <v>2380</v>
      </c>
      <c r="M1310" s="9" t="s">
        <v>4974</v>
      </c>
    </row>
    <row r="1311" spans="1:14" x14ac:dyDescent="0.3">
      <c r="A1311" s="3">
        <v>2833027</v>
      </c>
      <c r="B1311" s="4" t="s">
        <v>4805</v>
      </c>
      <c r="C1311" s="5">
        <v>1377007</v>
      </c>
      <c r="D1311" s="5" t="s">
        <v>4833</v>
      </c>
      <c r="E1311" s="3" t="s">
        <v>5317</v>
      </c>
      <c r="F1311" s="6">
        <v>55</v>
      </c>
      <c r="G1311" s="6">
        <v>102</v>
      </c>
      <c r="H1311" s="6">
        <v>13.6</v>
      </c>
      <c r="I1311" s="7">
        <v>32</v>
      </c>
      <c r="J1311" s="3" t="s">
        <v>4317</v>
      </c>
      <c r="K1311" s="8">
        <v>7.0000000000000007E-2</v>
      </c>
      <c r="L1311" s="9" t="s">
        <v>2381</v>
      </c>
      <c r="M1311" s="24" t="s">
        <v>5797</v>
      </c>
      <c r="N1311" t="s">
        <v>5548</v>
      </c>
    </row>
    <row r="1312" spans="1:14" x14ac:dyDescent="0.3">
      <c r="A1312" s="3">
        <v>2834028</v>
      </c>
      <c r="B1312" s="4" t="s">
        <v>4805</v>
      </c>
      <c r="C1312" s="5">
        <v>1451016</v>
      </c>
      <c r="D1312" s="5" t="s">
        <v>5318</v>
      </c>
      <c r="E1312" s="3" t="s">
        <v>14</v>
      </c>
      <c r="F1312" s="6">
        <v>61</v>
      </c>
      <c r="G1312" s="6">
        <v>46</v>
      </c>
      <c r="H1312" s="6">
        <v>35.299999999999997</v>
      </c>
      <c r="I1312" s="7">
        <v>32</v>
      </c>
      <c r="J1312" s="3" t="s">
        <v>4317</v>
      </c>
      <c r="K1312" s="8"/>
      <c r="L1312" s="9" t="s">
        <v>2382</v>
      </c>
      <c r="M1312" s="24" t="s">
        <v>5805</v>
      </c>
      <c r="N1312" t="s">
        <v>5548</v>
      </c>
    </row>
    <row r="1313" spans="1:14" x14ac:dyDescent="0.3">
      <c r="A1313" s="3">
        <v>2835029</v>
      </c>
      <c r="B1313" s="4" t="s">
        <v>4805</v>
      </c>
      <c r="C1313" s="5">
        <v>1478002</v>
      </c>
      <c r="D1313" s="5" t="s">
        <v>4792</v>
      </c>
      <c r="E1313" s="3" t="s">
        <v>5319</v>
      </c>
      <c r="F1313" s="6">
        <v>60</v>
      </c>
      <c r="G1313" s="6">
        <v>45</v>
      </c>
      <c r="H1313" s="6">
        <v>22</v>
      </c>
      <c r="I1313" s="7">
        <v>32</v>
      </c>
      <c r="J1313" s="3" t="s">
        <v>4317</v>
      </c>
      <c r="K1313" s="8">
        <v>0.13</v>
      </c>
      <c r="L1313" s="9" t="s">
        <v>2383</v>
      </c>
      <c r="M1313" s="24" t="s">
        <v>5808</v>
      </c>
      <c r="N1313" t="s">
        <v>5548</v>
      </c>
    </row>
    <row r="1314" spans="1:14" x14ac:dyDescent="0.3">
      <c r="A1314" s="3">
        <v>2836030</v>
      </c>
      <c r="B1314" s="4" t="s">
        <v>4805</v>
      </c>
      <c r="C1314" s="5">
        <v>1484009</v>
      </c>
      <c r="D1314" s="5" t="s">
        <v>5325</v>
      </c>
      <c r="E1314" s="3" t="s">
        <v>5324</v>
      </c>
      <c r="F1314" s="6">
        <v>57</v>
      </c>
      <c r="G1314" s="6">
        <v>51</v>
      </c>
      <c r="H1314" s="6">
        <v>29.5</v>
      </c>
      <c r="I1314" s="7">
        <v>32</v>
      </c>
      <c r="J1314" s="3" t="s">
        <v>4317</v>
      </c>
      <c r="K1314" s="8">
        <v>1.22</v>
      </c>
      <c r="L1314" s="9" t="s">
        <v>2384</v>
      </c>
      <c r="M1314" s="24" t="s">
        <v>5809</v>
      </c>
      <c r="N1314" t="s">
        <v>5548</v>
      </c>
    </row>
    <row r="1315" spans="1:14" x14ac:dyDescent="0.3">
      <c r="A1315" s="3">
        <v>2837031</v>
      </c>
      <c r="B1315" s="4" t="s">
        <v>4805</v>
      </c>
      <c r="C1315" s="5">
        <v>1484010</v>
      </c>
      <c r="D1315" s="5" t="s">
        <v>4792</v>
      </c>
      <c r="E1315" s="3" t="s">
        <v>5324</v>
      </c>
      <c r="F1315" s="6">
        <v>56</v>
      </c>
      <c r="G1315" s="6">
        <v>50</v>
      </c>
      <c r="H1315" s="6">
        <v>28.5</v>
      </c>
      <c r="I1315" s="7">
        <v>32</v>
      </c>
      <c r="J1315" s="3" t="s">
        <v>4317</v>
      </c>
      <c r="K1315" s="8">
        <v>0.16</v>
      </c>
      <c r="L1315" s="9" t="s">
        <v>2385</v>
      </c>
      <c r="M1315" s="24" t="s">
        <v>5810</v>
      </c>
      <c r="N1315" t="s">
        <v>5548</v>
      </c>
    </row>
    <row r="1316" spans="1:14" x14ac:dyDescent="0.3">
      <c r="A1316" s="3">
        <v>2838032</v>
      </c>
      <c r="B1316" s="4" t="s">
        <v>4805</v>
      </c>
      <c r="C1316" s="5">
        <v>1484011</v>
      </c>
      <c r="D1316" s="5" t="s">
        <v>13</v>
      </c>
      <c r="E1316" s="3" t="s">
        <v>5324</v>
      </c>
      <c r="F1316" s="6">
        <v>114.5</v>
      </c>
      <c r="G1316" s="6">
        <v>102.5</v>
      </c>
      <c r="H1316" s="6">
        <v>8.5</v>
      </c>
      <c r="I1316" s="7">
        <v>32</v>
      </c>
      <c r="J1316" s="3" t="s">
        <v>4317</v>
      </c>
      <c r="K1316" s="8">
        <v>1.57</v>
      </c>
      <c r="L1316" s="9" t="s">
        <v>2386</v>
      </c>
      <c r="M1316" s="24" t="s">
        <v>5811</v>
      </c>
      <c r="N1316" t="s">
        <v>5548</v>
      </c>
    </row>
    <row r="1317" spans="1:14" x14ac:dyDescent="0.3">
      <c r="A1317" s="3">
        <v>2839033</v>
      </c>
      <c r="B1317" s="4" t="s">
        <v>4805</v>
      </c>
      <c r="C1317" s="5">
        <v>1488022</v>
      </c>
      <c r="D1317" s="5" t="s">
        <v>96</v>
      </c>
      <c r="E1317" s="3" t="s">
        <v>5326</v>
      </c>
      <c r="F1317" s="6">
        <v>61</v>
      </c>
      <c r="G1317" s="6">
        <v>57</v>
      </c>
      <c r="H1317" s="6">
        <v>63.8</v>
      </c>
      <c r="I1317" s="7">
        <v>32</v>
      </c>
      <c r="J1317" s="3" t="s">
        <v>4317</v>
      </c>
      <c r="K1317" s="8">
        <v>2.92</v>
      </c>
      <c r="L1317" s="9" t="s">
        <v>2387</v>
      </c>
      <c r="M1317" s="24" t="s">
        <v>5812</v>
      </c>
      <c r="N1317" t="s">
        <v>5548</v>
      </c>
    </row>
    <row r="1318" spans="1:14" x14ac:dyDescent="0.3">
      <c r="A1318" s="3">
        <v>2840034</v>
      </c>
      <c r="B1318" s="4" t="s">
        <v>4805</v>
      </c>
      <c r="C1318" s="5">
        <v>1488023</v>
      </c>
      <c r="D1318" s="5" t="s">
        <v>4792</v>
      </c>
      <c r="E1318" s="3" t="s">
        <v>5326</v>
      </c>
      <c r="F1318" s="6">
        <v>60</v>
      </c>
      <c r="G1318" s="6">
        <v>56</v>
      </c>
      <c r="H1318" s="6">
        <v>61.5</v>
      </c>
      <c r="I1318" s="7">
        <v>32</v>
      </c>
      <c r="J1318" s="3" t="s">
        <v>4317</v>
      </c>
      <c r="K1318" s="8">
        <v>0.37</v>
      </c>
      <c r="L1318" s="9" t="s">
        <v>2388</v>
      </c>
      <c r="M1318" s="24" t="s">
        <v>5813</v>
      </c>
      <c r="N1318" t="s">
        <v>5548</v>
      </c>
    </row>
    <row r="1319" spans="1:14" x14ac:dyDescent="0.3">
      <c r="A1319" s="3">
        <v>2841035</v>
      </c>
      <c r="B1319" s="4" t="s">
        <v>4805</v>
      </c>
      <c r="C1319" s="5">
        <v>1478000</v>
      </c>
      <c r="D1319" s="5" t="s">
        <v>96</v>
      </c>
      <c r="E1319" s="3" t="s">
        <v>5806</v>
      </c>
      <c r="F1319" s="6">
        <v>61</v>
      </c>
      <c r="G1319" s="6">
        <v>46</v>
      </c>
      <c r="H1319" s="6">
        <v>23</v>
      </c>
      <c r="I1319" s="7">
        <v>32</v>
      </c>
      <c r="J1319" s="3" t="s">
        <v>4317</v>
      </c>
      <c r="K1319" s="8">
        <v>1.51</v>
      </c>
      <c r="L1319" s="9" t="s">
        <v>2389</v>
      </c>
      <c r="M1319" s="24" t="s">
        <v>5807</v>
      </c>
    </row>
    <row r="1320" spans="1:14" x14ac:dyDescent="0.3">
      <c r="A1320" s="3">
        <v>2842036</v>
      </c>
      <c r="B1320" s="4" t="s">
        <v>4805</v>
      </c>
      <c r="C1320" s="5">
        <v>1613015</v>
      </c>
      <c r="D1320" s="5" t="s">
        <v>96</v>
      </c>
      <c r="E1320" s="3" t="s">
        <v>5327</v>
      </c>
      <c r="F1320" s="6">
        <v>61.5</v>
      </c>
      <c r="G1320" s="6">
        <v>61.5</v>
      </c>
      <c r="H1320" s="6">
        <v>67.8</v>
      </c>
      <c r="I1320" s="7">
        <v>32</v>
      </c>
      <c r="J1320" s="3" t="s">
        <v>4317</v>
      </c>
      <c r="K1320" s="8">
        <v>3.26</v>
      </c>
      <c r="L1320" s="9" t="s">
        <v>2390</v>
      </c>
      <c r="M1320" s="9" t="s">
        <v>4974</v>
      </c>
    </row>
    <row r="1321" spans="1:14" x14ac:dyDescent="0.3">
      <c r="A1321" s="3">
        <v>2843037</v>
      </c>
      <c r="B1321" s="4" t="s">
        <v>4805</v>
      </c>
      <c r="C1321" s="5">
        <v>1613017</v>
      </c>
      <c r="D1321" s="5" t="s">
        <v>4792</v>
      </c>
      <c r="E1321" s="3" t="s">
        <v>5327</v>
      </c>
      <c r="F1321" s="6">
        <v>60.5</v>
      </c>
      <c r="G1321" s="6">
        <v>60.5</v>
      </c>
      <c r="H1321" s="6">
        <v>67.5</v>
      </c>
      <c r="I1321" s="7">
        <v>32</v>
      </c>
      <c r="J1321" s="3" t="s">
        <v>4317</v>
      </c>
      <c r="K1321" s="8">
        <v>0.41</v>
      </c>
      <c r="L1321" s="9" t="s">
        <v>2391</v>
      </c>
      <c r="M1321" s="24" t="s">
        <v>5814</v>
      </c>
      <c r="N1321" t="s">
        <v>5548</v>
      </c>
    </row>
    <row r="1322" spans="1:14" x14ac:dyDescent="0.3">
      <c r="A1322" s="3">
        <v>2843038</v>
      </c>
      <c r="B1322" s="4" t="s">
        <v>4805</v>
      </c>
      <c r="C1322" s="5">
        <v>1681008</v>
      </c>
      <c r="D1322" s="5" t="s">
        <v>4792</v>
      </c>
      <c r="E1322" s="3" t="s">
        <v>5328</v>
      </c>
      <c r="F1322" s="6">
        <v>39.5</v>
      </c>
      <c r="G1322" s="6">
        <v>59</v>
      </c>
      <c r="H1322" s="6">
        <v>7</v>
      </c>
      <c r="I1322" s="7">
        <v>32</v>
      </c>
      <c r="J1322" s="3" t="s">
        <v>4317</v>
      </c>
      <c r="K1322" s="8">
        <v>0.03</v>
      </c>
      <c r="L1322" s="9" t="s">
        <v>2392</v>
      </c>
      <c r="M1322" s="24" t="s">
        <v>5832</v>
      </c>
      <c r="N1322" t="s">
        <v>5548</v>
      </c>
    </row>
    <row r="1323" spans="1:14" x14ac:dyDescent="0.3">
      <c r="A1323" s="3">
        <v>2845039</v>
      </c>
      <c r="B1323" s="4" t="s">
        <v>4805</v>
      </c>
      <c r="C1323" s="5">
        <v>1044003</v>
      </c>
      <c r="D1323" s="5" t="s">
        <v>96</v>
      </c>
      <c r="E1323" s="3" t="s">
        <v>5337</v>
      </c>
      <c r="F1323" s="6">
        <v>60</v>
      </c>
      <c r="G1323" s="6">
        <v>40</v>
      </c>
      <c r="H1323" s="6">
        <v>35</v>
      </c>
      <c r="I1323" s="7">
        <v>32</v>
      </c>
      <c r="J1323" s="3" t="s">
        <v>4317</v>
      </c>
      <c r="K1323" s="8">
        <v>1.55</v>
      </c>
      <c r="L1323" s="9" t="s">
        <v>2393</v>
      </c>
      <c r="M1323" s="24" t="s">
        <v>5857</v>
      </c>
      <c r="N1323" t="s">
        <v>5548</v>
      </c>
    </row>
    <row r="1324" spans="1:14" x14ac:dyDescent="0.3">
      <c r="A1324" s="3">
        <v>2846040</v>
      </c>
      <c r="B1324" s="4" t="s">
        <v>4805</v>
      </c>
      <c r="C1324" s="5">
        <v>1045006</v>
      </c>
      <c r="D1324" s="5" t="s">
        <v>96</v>
      </c>
      <c r="E1324" s="3" t="s">
        <v>5338</v>
      </c>
      <c r="F1324" s="6">
        <v>60</v>
      </c>
      <c r="G1324" s="6">
        <v>40</v>
      </c>
      <c r="H1324" s="6">
        <v>13</v>
      </c>
      <c r="I1324" s="7">
        <v>32</v>
      </c>
      <c r="J1324" s="3" t="s">
        <v>4317</v>
      </c>
      <c r="K1324" s="8">
        <v>1.1000000000000001</v>
      </c>
      <c r="L1324" s="9" t="s">
        <v>2394</v>
      </c>
      <c r="M1324" s="24" t="s">
        <v>5858</v>
      </c>
      <c r="N1324" t="s">
        <v>5548</v>
      </c>
    </row>
    <row r="1325" spans="1:14" x14ac:dyDescent="0.3">
      <c r="A1325" s="3">
        <v>2847041</v>
      </c>
      <c r="B1325" s="4" t="s">
        <v>4805</v>
      </c>
      <c r="C1325" s="5">
        <v>1053008</v>
      </c>
      <c r="D1325" s="5" t="s">
        <v>96</v>
      </c>
      <c r="E1325" s="3" t="s">
        <v>5339</v>
      </c>
      <c r="F1325" s="6">
        <v>60</v>
      </c>
      <c r="G1325" s="6">
        <v>40</v>
      </c>
      <c r="H1325" s="6">
        <v>16</v>
      </c>
      <c r="I1325" s="7">
        <v>32</v>
      </c>
      <c r="J1325" s="3" t="s">
        <v>4317</v>
      </c>
      <c r="K1325" s="8">
        <v>1.1599999999999999</v>
      </c>
      <c r="L1325" s="9" t="s">
        <v>2395</v>
      </c>
      <c r="M1325" s="24" t="s">
        <v>5859</v>
      </c>
      <c r="N1325" t="s">
        <v>5548</v>
      </c>
    </row>
    <row r="1326" spans="1:14" x14ac:dyDescent="0.3">
      <c r="A1326" s="3">
        <v>2848042</v>
      </c>
      <c r="B1326" s="4" t="s">
        <v>4805</v>
      </c>
      <c r="C1326" s="5">
        <v>1181009</v>
      </c>
      <c r="D1326" s="5" t="s">
        <v>96</v>
      </c>
      <c r="E1326" s="3" t="s">
        <v>5340</v>
      </c>
      <c r="F1326" s="6">
        <v>60</v>
      </c>
      <c r="G1326" s="6">
        <v>6</v>
      </c>
      <c r="H1326" s="6">
        <v>50</v>
      </c>
      <c r="I1326" s="7">
        <v>32</v>
      </c>
      <c r="J1326" s="3" t="s">
        <v>4317</v>
      </c>
      <c r="K1326" s="8">
        <v>2.71</v>
      </c>
      <c r="L1326" s="9" t="s">
        <v>2396</v>
      </c>
      <c r="M1326" s="24" t="s">
        <v>5860</v>
      </c>
      <c r="N1326" t="s">
        <v>5548</v>
      </c>
    </row>
    <row r="1327" spans="1:14" x14ac:dyDescent="0.3">
      <c r="A1327" s="3">
        <v>2849043</v>
      </c>
      <c r="B1327" s="4" t="s">
        <v>4805</v>
      </c>
      <c r="C1327" s="5">
        <v>1181010</v>
      </c>
      <c r="D1327" s="5" t="s">
        <v>74</v>
      </c>
      <c r="E1327" s="3" t="s">
        <v>5340</v>
      </c>
      <c r="F1327" s="6">
        <v>59</v>
      </c>
      <c r="G1327" s="6">
        <v>59</v>
      </c>
      <c r="H1327" s="6" t="s">
        <v>14</v>
      </c>
      <c r="I1327" s="7">
        <v>42</v>
      </c>
      <c r="J1327" s="3" t="s">
        <v>4318</v>
      </c>
      <c r="K1327" s="8">
        <v>0.35</v>
      </c>
      <c r="L1327" s="9" t="s">
        <v>2397</v>
      </c>
      <c r="M1327" s="24" t="s">
        <v>5861</v>
      </c>
      <c r="N1327" t="s">
        <v>5548</v>
      </c>
    </row>
    <row r="1328" spans="1:14" x14ac:dyDescent="0.3">
      <c r="A1328" s="3">
        <v>2850044</v>
      </c>
      <c r="B1328" s="4" t="s">
        <v>4805</v>
      </c>
      <c r="C1328" s="5">
        <v>1267037</v>
      </c>
      <c r="D1328" s="5" t="s">
        <v>23</v>
      </c>
      <c r="E1328" s="3" t="s">
        <v>5346</v>
      </c>
      <c r="F1328" s="6">
        <v>112</v>
      </c>
      <c r="G1328" s="6">
        <v>112</v>
      </c>
      <c r="H1328" s="6">
        <v>35.5</v>
      </c>
      <c r="I1328" s="7">
        <v>32</v>
      </c>
      <c r="J1328" s="3" t="s">
        <v>4317</v>
      </c>
      <c r="K1328" s="8">
        <v>4.1500000000000004</v>
      </c>
      <c r="L1328" s="9" t="s">
        <v>2398</v>
      </c>
      <c r="M1328" s="24" t="s">
        <v>5862</v>
      </c>
      <c r="N1328" t="s">
        <v>5548</v>
      </c>
    </row>
    <row r="1329" spans="1:14" x14ac:dyDescent="0.3">
      <c r="A1329" s="3">
        <v>2851045</v>
      </c>
      <c r="B1329" s="4" t="s">
        <v>4805</v>
      </c>
      <c r="C1329" s="5">
        <v>1375010</v>
      </c>
      <c r="D1329" s="5" t="s">
        <v>96</v>
      </c>
      <c r="E1329" s="3" t="s">
        <v>5341</v>
      </c>
      <c r="F1329" s="6">
        <v>60</v>
      </c>
      <c r="G1329" s="6">
        <v>50</v>
      </c>
      <c r="H1329" s="6">
        <v>30</v>
      </c>
      <c r="I1329" s="7">
        <v>32</v>
      </c>
      <c r="J1329" s="3" t="s">
        <v>4317</v>
      </c>
      <c r="K1329" s="8">
        <v>1.81</v>
      </c>
      <c r="L1329" s="9" t="s">
        <v>2399</v>
      </c>
      <c r="M1329" s="24" t="s">
        <v>5863</v>
      </c>
      <c r="N1329" t="s">
        <v>5548</v>
      </c>
    </row>
    <row r="1330" spans="1:14" x14ac:dyDescent="0.3">
      <c r="A1330" s="3">
        <v>2852046</v>
      </c>
      <c r="B1330" s="4" t="s">
        <v>4805</v>
      </c>
      <c r="C1330" s="5">
        <v>1376014</v>
      </c>
      <c r="D1330" s="5" t="s">
        <v>96</v>
      </c>
      <c r="E1330" s="3" t="s">
        <v>5341</v>
      </c>
      <c r="F1330" s="6">
        <v>60</v>
      </c>
      <c r="G1330" s="6">
        <v>50</v>
      </c>
      <c r="H1330" s="6">
        <v>30</v>
      </c>
      <c r="I1330" s="7">
        <v>32</v>
      </c>
      <c r="J1330" s="3" t="s">
        <v>4317</v>
      </c>
      <c r="K1330" s="8">
        <v>1.81</v>
      </c>
      <c r="L1330" s="9" t="s">
        <v>2400</v>
      </c>
      <c r="M1330" s="24" t="s">
        <v>5864</v>
      </c>
      <c r="N1330" t="s">
        <v>5548</v>
      </c>
    </row>
    <row r="1331" spans="1:14" x14ac:dyDescent="0.3">
      <c r="A1331" s="3">
        <v>2853047</v>
      </c>
      <c r="B1331" s="4" t="s">
        <v>4805</v>
      </c>
      <c r="C1331" s="5">
        <v>1377006</v>
      </c>
      <c r="D1331" s="5" t="s">
        <v>96</v>
      </c>
      <c r="E1331" s="3" t="s">
        <v>5342</v>
      </c>
      <c r="F1331" s="6">
        <v>100</v>
      </c>
      <c r="G1331" s="6">
        <v>55</v>
      </c>
      <c r="H1331" s="6">
        <v>25</v>
      </c>
      <c r="I1331" s="7">
        <v>32</v>
      </c>
      <c r="J1331" s="3" t="s">
        <v>4317</v>
      </c>
      <c r="K1331" s="8">
        <v>2.54</v>
      </c>
      <c r="L1331" s="9" t="s">
        <v>2401</v>
      </c>
      <c r="M1331" s="24" t="s">
        <v>5883</v>
      </c>
      <c r="N1331" t="s">
        <v>5548</v>
      </c>
    </row>
    <row r="1332" spans="1:14" x14ac:dyDescent="0.3">
      <c r="A1332" s="3">
        <v>2854048</v>
      </c>
      <c r="B1332" s="4" t="s">
        <v>4805</v>
      </c>
      <c r="C1332" s="5">
        <v>1377008</v>
      </c>
      <c r="D1332" s="5" t="s">
        <v>74</v>
      </c>
      <c r="E1332" s="3" t="s">
        <v>5342</v>
      </c>
      <c r="F1332" s="6">
        <v>99</v>
      </c>
      <c r="G1332" s="6">
        <v>54</v>
      </c>
      <c r="H1332" s="6" t="s">
        <v>14</v>
      </c>
      <c r="I1332" s="7">
        <v>32</v>
      </c>
      <c r="J1332" s="3" t="s">
        <v>4317</v>
      </c>
      <c r="K1332" s="8">
        <v>0.53</v>
      </c>
      <c r="L1332" s="9" t="s">
        <v>2402</v>
      </c>
      <c r="M1332" s="24" t="s">
        <v>5865</v>
      </c>
      <c r="N1332" t="s">
        <v>5548</v>
      </c>
    </row>
    <row r="1333" spans="1:14" x14ac:dyDescent="0.3">
      <c r="A1333" s="3">
        <v>2855049</v>
      </c>
      <c r="B1333" s="4" t="s">
        <v>4805</v>
      </c>
      <c r="C1333" s="5">
        <v>1382010</v>
      </c>
      <c r="D1333" s="5" t="s">
        <v>96</v>
      </c>
      <c r="E1333" s="3" t="s">
        <v>5343</v>
      </c>
      <c r="F1333" s="6">
        <v>60</v>
      </c>
      <c r="G1333" s="6">
        <v>56.5</v>
      </c>
      <c r="H1333" s="6">
        <v>28</v>
      </c>
      <c r="I1333" s="7">
        <v>32</v>
      </c>
      <c r="J1333" s="3" t="s">
        <v>4317</v>
      </c>
      <c r="K1333" s="8">
        <v>2.02</v>
      </c>
      <c r="L1333" s="9" t="s">
        <v>2403</v>
      </c>
      <c r="M1333" s="24" t="s">
        <v>5866</v>
      </c>
      <c r="N1333" t="s">
        <v>5548</v>
      </c>
    </row>
    <row r="1334" spans="1:14" x14ac:dyDescent="0.3">
      <c r="A1334" s="3">
        <v>2856050</v>
      </c>
      <c r="B1334" s="4" t="s">
        <v>4805</v>
      </c>
      <c r="C1334" s="5">
        <v>1674006</v>
      </c>
      <c r="D1334" s="5" t="s">
        <v>96</v>
      </c>
      <c r="E1334" s="3" t="s">
        <v>14</v>
      </c>
      <c r="F1334" s="6">
        <v>70.599999999999994</v>
      </c>
      <c r="G1334" s="6">
        <v>50.3</v>
      </c>
      <c r="H1334" s="6">
        <v>31.5</v>
      </c>
      <c r="I1334" s="7">
        <v>32</v>
      </c>
      <c r="J1334" s="3" t="s">
        <v>4317</v>
      </c>
      <c r="K1334" s="8">
        <v>2.0299999999999998</v>
      </c>
      <c r="L1334" s="9" t="s">
        <v>2404</v>
      </c>
      <c r="M1334" s="24" t="s">
        <v>5818</v>
      </c>
      <c r="N1334" t="s">
        <v>5548</v>
      </c>
    </row>
    <row r="1335" spans="1:14" x14ac:dyDescent="0.3">
      <c r="A1335" s="3">
        <v>2857051</v>
      </c>
      <c r="B1335" s="4" t="s">
        <v>4805</v>
      </c>
      <c r="C1335" s="5">
        <v>1681009</v>
      </c>
      <c r="D1335" s="5" t="s">
        <v>74</v>
      </c>
      <c r="E1335" s="3" t="s">
        <v>5344</v>
      </c>
      <c r="F1335" s="6">
        <v>60.5</v>
      </c>
      <c r="G1335" s="6">
        <v>43.5</v>
      </c>
      <c r="H1335" s="6" t="s">
        <v>14</v>
      </c>
      <c r="I1335" s="7" t="s">
        <v>4420</v>
      </c>
      <c r="J1335" s="3" t="s">
        <v>4317</v>
      </c>
      <c r="K1335" s="8">
        <v>0.26</v>
      </c>
      <c r="L1335" s="9" t="s">
        <v>2405</v>
      </c>
      <c r="M1335" s="24" t="s">
        <v>5869</v>
      </c>
      <c r="N1335" t="s">
        <v>5548</v>
      </c>
    </row>
    <row r="1336" spans="1:14" x14ac:dyDescent="0.3">
      <c r="A1336" s="3">
        <v>2858052</v>
      </c>
      <c r="B1336" s="4" t="s">
        <v>4805</v>
      </c>
      <c r="C1336" s="5">
        <v>1681010</v>
      </c>
      <c r="D1336" s="5" t="s">
        <v>13</v>
      </c>
      <c r="E1336" s="3" t="s">
        <v>5345</v>
      </c>
      <c r="F1336" s="6">
        <v>63</v>
      </c>
      <c r="G1336" s="6">
        <v>46</v>
      </c>
      <c r="H1336" s="6">
        <v>10</v>
      </c>
      <c r="I1336" s="7">
        <v>42</v>
      </c>
      <c r="J1336" s="3" t="s">
        <v>4318</v>
      </c>
      <c r="K1336" s="8">
        <v>0.55000000000000004</v>
      </c>
      <c r="L1336" s="9" t="s">
        <v>2406</v>
      </c>
      <c r="M1336" s="24" t="s">
        <v>5870</v>
      </c>
      <c r="N1336" t="s">
        <v>5548</v>
      </c>
    </row>
    <row r="1337" spans="1:14" x14ac:dyDescent="0.3">
      <c r="A1337" s="3">
        <v>2859053</v>
      </c>
      <c r="B1337" s="4" t="s">
        <v>4805</v>
      </c>
      <c r="C1337" s="5">
        <v>1727000</v>
      </c>
      <c r="D1337" s="5" t="s">
        <v>96</v>
      </c>
      <c r="E1337" s="3" t="s">
        <v>5366</v>
      </c>
      <c r="F1337" s="6">
        <v>58</v>
      </c>
      <c r="G1337" s="6">
        <v>58</v>
      </c>
      <c r="H1337" s="6">
        <v>26</v>
      </c>
      <c r="I1337" s="7">
        <v>32</v>
      </c>
      <c r="J1337" s="3" t="s">
        <v>4317</v>
      </c>
      <c r="K1337" s="8"/>
      <c r="L1337" s="9" t="s">
        <v>2407</v>
      </c>
      <c r="M1337" s="24" t="s">
        <v>5903</v>
      </c>
      <c r="N1337" t="s">
        <v>5548</v>
      </c>
    </row>
    <row r="1338" spans="1:14" x14ac:dyDescent="0.3">
      <c r="A1338" s="3">
        <v>2860054</v>
      </c>
      <c r="B1338" s="4" t="s">
        <v>4805</v>
      </c>
      <c r="C1338" s="5">
        <v>1727001</v>
      </c>
      <c r="D1338" s="5" t="s">
        <v>5367</v>
      </c>
      <c r="E1338" s="3" t="s">
        <v>5366</v>
      </c>
      <c r="F1338" s="6">
        <v>57.5</v>
      </c>
      <c r="G1338" s="6">
        <v>57.5</v>
      </c>
      <c r="H1338" s="6">
        <v>6</v>
      </c>
      <c r="I1338" s="7">
        <v>32</v>
      </c>
      <c r="J1338" s="3" t="s">
        <v>4317</v>
      </c>
      <c r="K1338" s="8">
        <v>0.03</v>
      </c>
      <c r="L1338" s="9" t="s">
        <v>2408</v>
      </c>
      <c r="M1338" s="24" t="s">
        <v>5913</v>
      </c>
      <c r="N1338" t="s">
        <v>5548</v>
      </c>
    </row>
    <row r="1339" spans="1:14" x14ac:dyDescent="0.3">
      <c r="A1339" s="3">
        <v>2861055</v>
      </c>
      <c r="B1339" s="4" t="s">
        <v>4805</v>
      </c>
      <c r="C1339" s="5">
        <v>1727002</v>
      </c>
      <c r="D1339" s="5" t="s">
        <v>74</v>
      </c>
      <c r="E1339" s="3" t="s">
        <v>5366</v>
      </c>
      <c r="F1339" s="6">
        <v>57.5</v>
      </c>
      <c r="G1339" s="6">
        <v>57.5</v>
      </c>
      <c r="H1339" s="6" t="s">
        <v>14</v>
      </c>
      <c r="I1339" s="7">
        <v>32</v>
      </c>
      <c r="J1339" s="3" t="s">
        <v>4317</v>
      </c>
      <c r="K1339" s="8">
        <v>0.33</v>
      </c>
      <c r="L1339" s="9" t="s">
        <v>2409</v>
      </c>
      <c r="M1339" s="24" t="s">
        <v>5914</v>
      </c>
      <c r="N1339" t="s">
        <v>5548</v>
      </c>
    </row>
    <row r="1340" spans="1:14" x14ac:dyDescent="0.3">
      <c r="A1340" s="3">
        <v>2862056</v>
      </c>
      <c r="B1340" s="4" t="s">
        <v>4805</v>
      </c>
      <c r="C1340" s="5">
        <v>1651003</v>
      </c>
      <c r="D1340" s="5" t="s">
        <v>3893</v>
      </c>
      <c r="E1340" s="3" t="s">
        <v>5366</v>
      </c>
      <c r="F1340" s="6" t="s">
        <v>5370</v>
      </c>
      <c r="G1340" s="6" t="s">
        <v>5371</v>
      </c>
      <c r="H1340" s="6" t="s">
        <v>14</v>
      </c>
      <c r="I1340" s="7"/>
      <c r="J1340" s="3" t="s">
        <v>5372</v>
      </c>
      <c r="K1340" s="8"/>
      <c r="L1340" s="9" t="s">
        <v>2410</v>
      </c>
      <c r="M1340" s="24" t="s">
        <v>5915</v>
      </c>
      <c r="N1340" t="s">
        <v>5548</v>
      </c>
    </row>
    <row r="1341" spans="1:14" x14ac:dyDescent="0.3">
      <c r="A1341" s="3">
        <v>2863057</v>
      </c>
      <c r="B1341" s="4" t="s">
        <v>4805</v>
      </c>
      <c r="C1341" s="5">
        <v>1727004</v>
      </c>
      <c r="D1341" s="5" t="s">
        <v>154</v>
      </c>
      <c r="E1341" s="3" t="s">
        <v>5369</v>
      </c>
      <c r="F1341" s="6">
        <v>103.5</v>
      </c>
      <c r="G1341" s="6">
        <v>56</v>
      </c>
      <c r="H1341" s="6">
        <v>26.8</v>
      </c>
      <c r="I1341" s="7">
        <v>32</v>
      </c>
      <c r="J1341" s="3" t="s">
        <v>4317</v>
      </c>
      <c r="K1341" s="8">
        <v>1.78</v>
      </c>
      <c r="L1341" s="9" t="s">
        <v>2411</v>
      </c>
      <c r="M1341" s="24" t="s">
        <v>5908</v>
      </c>
      <c r="N1341" t="s">
        <v>5548</v>
      </c>
    </row>
    <row r="1342" spans="1:14" x14ac:dyDescent="0.3">
      <c r="A1342" s="3">
        <v>2864058</v>
      </c>
      <c r="B1342" s="4" t="s">
        <v>4805</v>
      </c>
      <c r="C1342" s="5">
        <v>1727005</v>
      </c>
      <c r="D1342" s="5" t="s">
        <v>5368</v>
      </c>
      <c r="E1342" s="3" t="s">
        <v>5369</v>
      </c>
      <c r="F1342" s="6">
        <v>103</v>
      </c>
      <c r="G1342" s="6">
        <v>55</v>
      </c>
      <c r="H1342" s="6">
        <v>26</v>
      </c>
      <c r="I1342" s="7">
        <v>32</v>
      </c>
      <c r="J1342" s="3" t="s">
        <v>4317</v>
      </c>
      <c r="K1342" s="8">
        <v>0.27</v>
      </c>
      <c r="L1342" s="9" t="s">
        <v>2412</v>
      </c>
      <c r="M1342" s="24" t="s">
        <v>5909</v>
      </c>
      <c r="N1342" t="s">
        <v>5548</v>
      </c>
    </row>
    <row r="1343" spans="1:14" x14ac:dyDescent="0.3">
      <c r="A1343" s="3">
        <v>2865059</v>
      </c>
      <c r="B1343" s="4" t="s">
        <v>4805</v>
      </c>
      <c r="C1343" s="5">
        <v>1727006</v>
      </c>
      <c r="D1343" s="5" t="s">
        <v>74</v>
      </c>
      <c r="E1343" s="3" t="s">
        <v>5369</v>
      </c>
      <c r="F1343" s="6">
        <v>103</v>
      </c>
      <c r="G1343" s="6">
        <v>55</v>
      </c>
      <c r="H1343" s="6" t="s">
        <v>14</v>
      </c>
      <c r="I1343" s="7">
        <v>32</v>
      </c>
      <c r="J1343" s="3" t="s">
        <v>4317</v>
      </c>
      <c r="K1343" s="8">
        <v>0.56000000000000005</v>
      </c>
      <c r="L1343" s="9" t="s">
        <v>2413</v>
      </c>
      <c r="M1343" s="24" t="s">
        <v>5910</v>
      </c>
      <c r="N1343" t="s">
        <v>5548</v>
      </c>
    </row>
    <row r="1344" spans="1:14" x14ac:dyDescent="0.3">
      <c r="A1344" s="3">
        <v>2866060</v>
      </c>
      <c r="B1344" s="4" t="s">
        <v>4805</v>
      </c>
      <c r="C1344" s="5">
        <v>1727007</v>
      </c>
      <c r="D1344" s="5" t="s">
        <v>26</v>
      </c>
      <c r="E1344" s="3" t="s">
        <v>5369</v>
      </c>
      <c r="F1344" s="6">
        <v>106</v>
      </c>
      <c r="G1344" s="6">
        <v>58.5</v>
      </c>
      <c r="H1344" s="6">
        <v>8</v>
      </c>
      <c r="I1344" s="7">
        <v>32</v>
      </c>
      <c r="J1344" s="3" t="s">
        <v>4317</v>
      </c>
      <c r="K1344" s="8">
        <v>0.91</v>
      </c>
      <c r="L1344" s="9" t="s">
        <v>2414</v>
      </c>
      <c r="M1344" s="24" t="s">
        <v>5911</v>
      </c>
      <c r="N1344" t="s">
        <v>5548</v>
      </c>
    </row>
    <row r="1345" spans="1:14" x14ac:dyDescent="0.3">
      <c r="A1345" s="3">
        <v>2867061</v>
      </c>
      <c r="B1345" s="4" t="s">
        <v>4805</v>
      </c>
      <c r="C1345" s="5">
        <v>1727008</v>
      </c>
      <c r="D1345" s="5" t="s">
        <v>3893</v>
      </c>
      <c r="E1345" s="3" t="s">
        <v>5369</v>
      </c>
      <c r="F1345" s="6" t="s">
        <v>5358</v>
      </c>
      <c r="G1345" s="6" t="s">
        <v>5373</v>
      </c>
      <c r="H1345" s="6" t="s">
        <v>14</v>
      </c>
      <c r="I1345" s="7" t="s">
        <v>14</v>
      </c>
      <c r="J1345" s="3" t="s">
        <v>5374</v>
      </c>
      <c r="K1345" s="8" t="s">
        <v>14</v>
      </c>
      <c r="L1345" s="9" t="s">
        <v>2415</v>
      </c>
      <c r="M1345" s="24" t="s">
        <v>5912</v>
      </c>
      <c r="N1345" t="s">
        <v>5548</v>
      </c>
    </row>
    <row r="1346" spans="1:14" x14ac:dyDescent="0.3">
      <c r="A1346" s="3">
        <v>2810062</v>
      </c>
      <c r="B1346" s="4" t="s">
        <v>4805</v>
      </c>
      <c r="C1346" s="5">
        <v>1374001</v>
      </c>
      <c r="D1346" s="5" t="s">
        <v>96</v>
      </c>
      <c r="E1346" s="3" t="s">
        <v>2416</v>
      </c>
      <c r="F1346" s="6">
        <v>61.3</v>
      </c>
      <c r="G1346" s="6">
        <v>51.2</v>
      </c>
      <c r="H1346" s="6">
        <v>31.2</v>
      </c>
      <c r="I1346" s="7" t="s">
        <v>4315</v>
      </c>
      <c r="J1346" s="3" t="s">
        <v>4317</v>
      </c>
      <c r="K1346" s="8" t="s">
        <v>4682</v>
      </c>
      <c r="L1346" s="9" t="s">
        <v>2417</v>
      </c>
      <c r="M1346" s="24" t="s">
        <v>2418</v>
      </c>
    </row>
    <row r="1347" spans="1:14" x14ac:dyDescent="0.3">
      <c r="A1347" s="3">
        <v>2820063</v>
      </c>
      <c r="B1347" s="4" t="s">
        <v>4805</v>
      </c>
      <c r="C1347" s="5">
        <v>1374002</v>
      </c>
      <c r="D1347" s="5" t="s">
        <v>264</v>
      </c>
      <c r="E1347" s="3" t="s">
        <v>2416</v>
      </c>
      <c r="F1347" s="6">
        <v>60</v>
      </c>
      <c r="G1347" s="6">
        <v>29.5</v>
      </c>
      <c r="H1347" s="6">
        <v>0</v>
      </c>
      <c r="I1347" s="7" t="s">
        <v>4315</v>
      </c>
      <c r="J1347" s="3" t="s">
        <v>4317</v>
      </c>
      <c r="K1347" s="8" t="s">
        <v>4360</v>
      </c>
      <c r="L1347" s="9" t="s">
        <v>2419</v>
      </c>
      <c r="M1347" s="1" t="s">
        <v>2420</v>
      </c>
    </row>
    <row r="1348" spans="1:14" x14ac:dyDescent="0.3">
      <c r="A1348" s="3">
        <v>2821064</v>
      </c>
      <c r="B1348" s="4" t="s">
        <v>4805</v>
      </c>
      <c r="C1348" s="5">
        <v>1374002</v>
      </c>
      <c r="D1348" s="5" t="s">
        <v>267</v>
      </c>
      <c r="E1348" s="3" t="s">
        <v>2416</v>
      </c>
      <c r="F1348" s="6">
        <v>50</v>
      </c>
      <c r="G1348" s="6">
        <v>29.5</v>
      </c>
      <c r="H1348" s="6">
        <v>0</v>
      </c>
      <c r="I1348" s="7" t="s">
        <v>4315</v>
      </c>
      <c r="J1348" s="3" t="s">
        <v>4317</v>
      </c>
      <c r="K1348" s="8" t="s">
        <v>4597</v>
      </c>
      <c r="L1348" s="9" t="s">
        <v>2421</v>
      </c>
      <c r="M1348" s="1" t="s">
        <v>2422</v>
      </c>
    </row>
    <row r="1349" spans="1:14" x14ac:dyDescent="0.3">
      <c r="A1349" s="3">
        <v>2810065</v>
      </c>
      <c r="B1349" s="4" t="s">
        <v>4805</v>
      </c>
      <c r="C1349" s="5">
        <v>1156132</v>
      </c>
      <c r="D1349" s="5" t="s">
        <v>96</v>
      </c>
      <c r="E1349" s="3" t="s">
        <v>2423</v>
      </c>
      <c r="F1349" s="6">
        <v>60.9</v>
      </c>
      <c r="G1349" s="6">
        <v>45.7</v>
      </c>
      <c r="H1349" s="6">
        <v>61.3</v>
      </c>
      <c r="I1349" s="7" t="s">
        <v>4315</v>
      </c>
      <c r="J1349" s="3" t="s">
        <v>4317</v>
      </c>
      <c r="K1349" s="8" t="s">
        <v>4611</v>
      </c>
      <c r="L1349" s="9" t="s">
        <v>2424</v>
      </c>
      <c r="M1349" s="1" t="s">
        <v>2425</v>
      </c>
    </row>
    <row r="1350" spans="1:14" x14ac:dyDescent="0.3">
      <c r="A1350" s="3">
        <v>2820066</v>
      </c>
      <c r="B1350" s="4" t="s">
        <v>4805</v>
      </c>
      <c r="C1350" s="5">
        <v>1156133</v>
      </c>
      <c r="D1350" s="5" t="s">
        <v>264</v>
      </c>
      <c r="E1350" s="3" t="s">
        <v>2423</v>
      </c>
      <c r="F1350" s="6">
        <v>60</v>
      </c>
      <c r="G1350" s="6">
        <v>60</v>
      </c>
      <c r="H1350" s="6">
        <v>0</v>
      </c>
      <c r="I1350" s="7" t="s">
        <v>4315</v>
      </c>
      <c r="J1350" s="3" t="s">
        <v>4317</v>
      </c>
      <c r="K1350" s="8" t="s">
        <v>4320</v>
      </c>
      <c r="L1350" s="9" t="s">
        <v>2426</v>
      </c>
      <c r="M1350" s="1" t="s">
        <v>2427</v>
      </c>
    </row>
    <row r="1351" spans="1:14" x14ac:dyDescent="0.3">
      <c r="A1351" s="3">
        <v>28210167</v>
      </c>
      <c r="B1351" s="4" t="s">
        <v>4805</v>
      </c>
      <c r="C1351" s="5">
        <v>1156133</v>
      </c>
      <c r="D1351" s="5" t="s">
        <v>267</v>
      </c>
      <c r="E1351" s="3" t="s">
        <v>2423</v>
      </c>
      <c r="F1351" s="6">
        <v>44.8</v>
      </c>
      <c r="G1351" s="6">
        <v>60</v>
      </c>
      <c r="H1351" s="6">
        <v>0</v>
      </c>
      <c r="I1351" s="7" t="s">
        <v>4315</v>
      </c>
      <c r="J1351" s="3" t="s">
        <v>4317</v>
      </c>
      <c r="K1351" s="8" t="s">
        <v>4341</v>
      </c>
      <c r="L1351" s="9" t="s">
        <v>2428</v>
      </c>
      <c r="M1351" s="1" t="s">
        <v>2429</v>
      </c>
    </row>
    <row r="1352" spans="1:14" x14ac:dyDescent="0.3">
      <c r="A1352" s="3">
        <v>2811068</v>
      </c>
      <c r="B1352" s="4" t="s">
        <v>4805</v>
      </c>
      <c r="C1352" s="5" t="s">
        <v>2430</v>
      </c>
      <c r="D1352" s="5" t="s">
        <v>154</v>
      </c>
      <c r="E1352" s="3" t="s">
        <v>2416</v>
      </c>
      <c r="F1352" s="6">
        <v>60.9</v>
      </c>
      <c r="G1352" s="6">
        <v>50.8</v>
      </c>
      <c r="H1352" s="6">
        <v>60.4</v>
      </c>
      <c r="I1352" s="7" t="s">
        <v>4315</v>
      </c>
      <c r="J1352" s="3" t="s">
        <v>4317</v>
      </c>
      <c r="K1352" s="8" t="s">
        <v>4576</v>
      </c>
      <c r="L1352" s="9" t="s">
        <v>2431</v>
      </c>
      <c r="M1352" s="1" t="s">
        <v>2432</v>
      </c>
    </row>
    <row r="1353" spans="1:14" x14ac:dyDescent="0.3">
      <c r="A1353" s="3">
        <v>2820069</v>
      </c>
      <c r="B1353" s="4" t="s">
        <v>4805</v>
      </c>
      <c r="C1353" s="5" t="s">
        <v>2430</v>
      </c>
      <c r="D1353" s="5" t="s">
        <v>264</v>
      </c>
      <c r="E1353" s="3" t="s">
        <v>2416</v>
      </c>
      <c r="F1353" s="6">
        <v>60</v>
      </c>
      <c r="G1353" s="6">
        <v>29.5</v>
      </c>
      <c r="H1353" s="6">
        <v>0</v>
      </c>
      <c r="I1353" s="7" t="s">
        <v>4315</v>
      </c>
      <c r="J1353" s="3" t="s">
        <v>4317</v>
      </c>
      <c r="K1353" s="8" t="s">
        <v>4389</v>
      </c>
      <c r="L1353" s="9" t="s">
        <v>2433</v>
      </c>
      <c r="M1353" s="1" t="s">
        <v>2434</v>
      </c>
    </row>
    <row r="1354" spans="1:14" x14ac:dyDescent="0.3">
      <c r="A1354" s="3">
        <v>2821070</v>
      </c>
      <c r="B1354" s="4" t="s">
        <v>4805</v>
      </c>
      <c r="C1354" s="5" t="s">
        <v>2430</v>
      </c>
      <c r="D1354" s="5" t="s">
        <v>267</v>
      </c>
      <c r="E1354" s="3" t="s">
        <v>2416</v>
      </c>
      <c r="F1354" s="6">
        <v>50</v>
      </c>
      <c r="G1354" s="6">
        <v>29.5</v>
      </c>
      <c r="H1354" s="6">
        <v>0</v>
      </c>
      <c r="I1354" s="7" t="s">
        <v>4315</v>
      </c>
      <c r="J1354" s="3" t="s">
        <v>4317</v>
      </c>
      <c r="K1354" s="8" t="s">
        <v>4597</v>
      </c>
      <c r="L1354" s="9" t="s">
        <v>2435</v>
      </c>
      <c r="M1354" s="1" t="s">
        <v>2436</v>
      </c>
    </row>
    <row r="1355" spans="1:14" x14ac:dyDescent="0.3">
      <c r="A1355" s="3">
        <v>2814071</v>
      </c>
      <c r="B1355" s="4" t="s">
        <v>4805</v>
      </c>
      <c r="C1355" s="5" t="s">
        <v>2430</v>
      </c>
      <c r="D1355" s="5" t="s">
        <v>392</v>
      </c>
      <c r="E1355" s="3" t="s">
        <v>2416</v>
      </c>
      <c r="F1355" s="6">
        <v>124.3</v>
      </c>
      <c r="G1355" s="6">
        <v>104.4</v>
      </c>
      <c r="H1355" s="6">
        <v>8</v>
      </c>
      <c r="I1355" s="7" t="s">
        <v>4315</v>
      </c>
      <c r="J1355" s="3" t="s">
        <v>4317</v>
      </c>
      <c r="K1355" s="8" t="s">
        <v>4569</v>
      </c>
      <c r="L1355" s="9" t="s">
        <v>2437</v>
      </c>
      <c r="M1355" s="1" t="s">
        <v>2438</v>
      </c>
    </row>
    <row r="1356" spans="1:14" x14ac:dyDescent="0.3">
      <c r="A1356" s="3">
        <v>2820074</v>
      </c>
      <c r="B1356" s="4" t="s">
        <v>4805</v>
      </c>
      <c r="C1356" s="5" t="s">
        <v>2439</v>
      </c>
      <c r="D1356" s="5" t="s">
        <v>264</v>
      </c>
      <c r="E1356" s="3" t="s">
        <v>14</v>
      </c>
      <c r="F1356" s="6">
        <v>39.5</v>
      </c>
      <c r="G1356" s="6">
        <v>7</v>
      </c>
      <c r="H1356" s="6">
        <v>0</v>
      </c>
      <c r="I1356" s="7" t="s">
        <v>4420</v>
      </c>
      <c r="J1356" s="3" t="s">
        <v>4422</v>
      </c>
      <c r="K1356" s="8" t="s">
        <v>4563</v>
      </c>
      <c r="L1356" s="9" t="s">
        <v>2440</v>
      </c>
      <c r="M1356" s="1" t="s">
        <v>2441</v>
      </c>
    </row>
    <row r="1357" spans="1:14" x14ac:dyDescent="0.3">
      <c r="A1357" s="3">
        <v>2821075</v>
      </c>
      <c r="B1357" s="4" t="s">
        <v>4805</v>
      </c>
      <c r="C1357" s="5" t="s">
        <v>2439</v>
      </c>
      <c r="D1357" s="5" t="s">
        <v>267</v>
      </c>
      <c r="E1357" s="3" t="s">
        <v>14</v>
      </c>
      <c r="F1357" s="6">
        <v>59</v>
      </c>
      <c r="G1357" s="6">
        <v>7</v>
      </c>
      <c r="H1357" s="6">
        <v>0</v>
      </c>
      <c r="I1357" s="7" t="s">
        <v>4420</v>
      </c>
      <c r="J1357" s="3" t="s">
        <v>4422</v>
      </c>
      <c r="K1357" s="8" t="s">
        <v>4453</v>
      </c>
      <c r="L1357" s="9" t="s">
        <v>2442</v>
      </c>
      <c r="M1357" s="1" t="s">
        <v>2443</v>
      </c>
    </row>
    <row r="1358" spans="1:14" x14ac:dyDescent="0.3">
      <c r="A1358" s="3">
        <v>2811076</v>
      </c>
      <c r="B1358" s="4" t="s">
        <v>4805</v>
      </c>
      <c r="C1358" s="5">
        <v>1308011</v>
      </c>
      <c r="D1358" s="5" t="s">
        <v>96</v>
      </c>
      <c r="E1358" s="3" t="s">
        <v>2444</v>
      </c>
      <c r="F1358" s="6">
        <v>60.9</v>
      </c>
      <c r="G1358" s="6">
        <v>57.1</v>
      </c>
      <c r="H1358" s="6">
        <v>43.9</v>
      </c>
      <c r="I1358" s="7" t="s">
        <v>4315</v>
      </c>
      <c r="J1358" s="3" t="s">
        <v>4317</v>
      </c>
      <c r="K1358" s="8" t="s">
        <v>4683</v>
      </c>
      <c r="L1358" s="9" t="s">
        <v>2445</v>
      </c>
      <c r="M1358" s="1" t="s">
        <v>2446</v>
      </c>
    </row>
    <row r="1359" spans="1:14" x14ac:dyDescent="0.3">
      <c r="A1359" s="3">
        <v>2820077</v>
      </c>
      <c r="B1359" s="4" t="s">
        <v>4805</v>
      </c>
      <c r="C1359" s="5">
        <v>1308012</v>
      </c>
      <c r="D1359" s="5" t="s">
        <v>264</v>
      </c>
      <c r="E1359" s="3" t="s">
        <v>2444</v>
      </c>
      <c r="F1359" s="6">
        <v>60</v>
      </c>
      <c r="G1359" s="6">
        <v>42.5</v>
      </c>
      <c r="H1359" s="6">
        <v>0</v>
      </c>
      <c r="I1359" s="7" t="s">
        <v>4315</v>
      </c>
      <c r="J1359" s="3" t="s">
        <v>4317</v>
      </c>
      <c r="K1359" s="8" t="s">
        <v>4509</v>
      </c>
      <c r="L1359" s="9" t="s">
        <v>2447</v>
      </c>
      <c r="M1359" s="1" t="s">
        <v>2448</v>
      </c>
    </row>
    <row r="1360" spans="1:14" x14ac:dyDescent="0.3">
      <c r="A1360" s="3">
        <v>2821078</v>
      </c>
      <c r="B1360" s="4" t="s">
        <v>4805</v>
      </c>
      <c r="C1360" s="5">
        <v>1308012</v>
      </c>
      <c r="D1360" s="5" t="s">
        <v>267</v>
      </c>
      <c r="E1360" s="3" t="s">
        <v>2444</v>
      </c>
      <c r="F1360" s="6">
        <v>56</v>
      </c>
      <c r="G1360" s="6">
        <v>42.5</v>
      </c>
      <c r="H1360" s="6">
        <v>0</v>
      </c>
      <c r="I1360" s="7" t="s">
        <v>4315</v>
      </c>
      <c r="J1360" s="3" t="s">
        <v>4317</v>
      </c>
      <c r="K1360" s="8" t="s">
        <v>4621</v>
      </c>
      <c r="L1360" s="9" t="s">
        <v>2449</v>
      </c>
      <c r="M1360" s="1" t="s">
        <v>2450</v>
      </c>
    </row>
    <row r="1361" spans="1:14" x14ac:dyDescent="0.3">
      <c r="A1361" s="3">
        <v>2811079</v>
      </c>
      <c r="B1361" s="4" t="s">
        <v>4805</v>
      </c>
      <c r="C1361" s="5">
        <v>1309004</v>
      </c>
      <c r="D1361" s="5" t="s">
        <v>154</v>
      </c>
      <c r="E1361" s="3" t="s">
        <v>2451</v>
      </c>
      <c r="F1361" s="6">
        <v>60.9</v>
      </c>
      <c r="G1361" s="6">
        <v>57.1</v>
      </c>
      <c r="H1361" s="6">
        <v>35.9</v>
      </c>
      <c r="I1361" s="7" t="s">
        <v>4315</v>
      </c>
      <c r="J1361" s="3" t="s">
        <v>4317</v>
      </c>
      <c r="K1361" s="8" t="s">
        <v>4319</v>
      </c>
      <c r="L1361" s="9" t="s">
        <v>2452</v>
      </c>
      <c r="M1361" s="1" t="s">
        <v>2453</v>
      </c>
    </row>
    <row r="1362" spans="1:14" x14ac:dyDescent="0.3">
      <c r="A1362" s="3">
        <v>2820080</v>
      </c>
      <c r="B1362" s="4" t="s">
        <v>4805</v>
      </c>
      <c r="C1362" s="5">
        <v>1309005</v>
      </c>
      <c r="D1362" s="5" t="s">
        <v>264</v>
      </c>
      <c r="E1362" s="3" t="s">
        <v>2451</v>
      </c>
      <c r="F1362" s="6">
        <v>60</v>
      </c>
      <c r="G1362" s="6">
        <v>34.5</v>
      </c>
      <c r="H1362" s="6">
        <v>0</v>
      </c>
      <c r="I1362" s="7" t="s">
        <v>4315</v>
      </c>
      <c r="J1362" s="3" t="s">
        <v>4317</v>
      </c>
      <c r="K1362" s="8" t="s">
        <v>4649</v>
      </c>
      <c r="L1362" s="9" t="s">
        <v>2454</v>
      </c>
      <c r="M1362" s="1" t="s">
        <v>2455</v>
      </c>
    </row>
    <row r="1363" spans="1:14" x14ac:dyDescent="0.3">
      <c r="A1363" s="3">
        <v>2821081</v>
      </c>
      <c r="B1363" s="4" t="s">
        <v>4805</v>
      </c>
      <c r="C1363" s="5">
        <v>1309005</v>
      </c>
      <c r="D1363" s="5" t="s">
        <v>267</v>
      </c>
      <c r="E1363" s="3" t="s">
        <v>2451</v>
      </c>
      <c r="F1363" s="6">
        <v>56</v>
      </c>
      <c r="G1363" s="6">
        <v>34.5</v>
      </c>
      <c r="H1363" s="6">
        <v>0</v>
      </c>
      <c r="I1363" s="7" t="s">
        <v>4315</v>
      </c>
      <c r="J1363" s="3" t="s">
        <v>4317</v>
      </c>
      <c r="K1363" s="8" t="s">
        <v>4398</v>
      </c>
      <c r="L1363" s="9" t="s">
        <v>2456</v>
      </c>
      <c r="M1363" s="1" t="s">
        <v>2457</v>
      </c>
    </row>
    <row r="1364" spans="1:14" x14ac:dyDescent="0.3">
      <c r="A1364" s="3">
        <v>2819082</v>
      </c>
      <c r="B1364" s="4" t="s">
        <v>4805</v>
      </c>
      <c r="C1364" s="5">
        <v>1306013</v>
      </c>
      <c r="D1364" s="5" t="s">
        <v>74</v>
      </c>
      <c r="E1364" s="3" t="s">
        <v>2458</v>
      </c>
      <c r="F1364" s="6">
        <v>60</v>
      </c>
      <c r="G1364" s="6">
        <v>56.5</v>
      </c>
      <c r="H1364" s="6">
        <v>0</v>
      </c>
      <c r="I1364" s="7" t="s">
        <v>4681</v>
      </c>
      <c r="J1364" s="3" t="s">
        <v>14</v>
      </c>
      <c r="K1364" s="8" t="s">
        <v>4450</v>
      </c>
      <c r="L1364" s="9" t="s">
        <v>2459</v>
      </c>
      <c r="M1364" s="1" t="s">
        <v>2460</v>
      </c>
    </row>
    <row r="1365" spans="1:14" x14ac:dyDescent="0.3">
      <c r="A1365" s="3">
        <v>2814083</v>
      </c>
      <c r="B1365" s="4" t="s">
        <v>4805</v>
      </c>
      <c r="C1365" s="5">
        <v>1308014</v>
      </c>
      <c r="D1365" s="5" t="s">
        <v>392</v>
      </c>
      <c r="E1365" s="3" t="s">
        <v>2458</v>
      </c>
      <c r="F1365" s="6">
        <v>62.8</v>
      </c>
      <c r="G1365" s="6">
        <v>59.6</v>
      </c>
      <c r="H1365" s="6">
        <v>8.4</v>
      </c>
      <c r="I1365" s="7" t="s">
        <v>4315</v>
      </c>
      <c r="J1365" s="3" t="s">
        <v>4317</v>
      </c>
      <c r="K1365" s="8" t="s">
        <v>4337</v>
      </c>
      <c r="L1365" s="9" t="s">
        <v>2461</v>
      </c>
      <c r="M1365" s="1" t="s">
        <v>2462</v>
      </c>
    </row>
    <row r="1366" spans="1:14" x14ac:dyDescent="0.3">
      <c r="A1366" s="3">
        <v>2809084</v>
      </c>
      <c r="B1366" s="4" t="s">
        <v>4805</v>
      </c>
      <c r="C1366" s="5">
        <v>1726009</v>
      </c>
      <c r="D1366" s="5" t="s">
        <v>96</v>
      </c>
      <c r="E1366" s="3" t="s">
        <v>5375</v>
      </c>
      <c r="F1366" s="6">
        <v>56</v>
      </c>
      <c r="G1366" s="6">
        <v>42</v>
      </c>
      <c r="H1366" s="6">
        <v>46.3</v>
      </c>
      <c r="I1366" s="7">
        <v>32</v>
      </c>
      <c r="J1366" s="3" t="s">
        <v>4317</v>
      </c>
      <c r="K1366" s="8">
        <v>1.78</v>
      </c>
      <c r="L1366" s="9" t="s">
        <v>2463</v>
      </c>
      <c r="M1366" s="24" t="s">
        <v>5904</v>
      </c>
      <c r="N1366" t="s">
        <v>5548</v>
      </c>
    </row>
    <row r="1367" spans="1:14" x14ac:dyDescent="0.3">
      <c r="A1367" s="3">
        <v>2804085</v>
      </c>
      <c r="B1367" s="4" t="s">
        <v>4805</v>
      </c>
      <c r="C1367" s="5">
        <v>1726010</v>
      </c>
      <c r="D1367" s="5" t="s">
        <v>90</v>
      </c>
      <c r="E1367" s="3" t="s">
        <v>5375</v>
      </c>
      <c r="F1367" s="6">
        <v>55</v>
      </c>
      <c r="G1367" s="6">
        <v>41</v>
      </c>
      <c r="H1367" s="6">
        <v>45</v>
      </c>
      <c r="I1367" s="7">
        <v>32</v>
      </c>
      <c r="J1367" s="3" t="s">
        <v>4317</v>
      </c>
      <c r="K1367" s="8">
        <v>0.25</v>
      </c>
      <c r="L1367" s="9" t="s">
        <v>2464</v>
      </c>
      <c r="M1367" s="24" t="s">
        <v>5905</v>
      </c>
      <c r="N1367" t="s">
        <v>5548</v>
      </c>
    </row>
    <row r="1368" spans="1:14" x14ac:dyDescent="0.3">
      <c r="A1368" s="3">
        <v>2799086</v>
      </c>
      <c r="B1368" s="4" t="s">
        <v>4805</v>
      </c>
      <c r="C1368" s="5">
        <v>1726011</v>
      </c>
      <c r="D1368" s="5" t="s">
        <v>74</v>
      </c>
      <c r="E1368" s="3" t="s">
        <v>5375</v>
      </c>
      <c r="F1368" s="6">
        <v>55</v>
      </c>
      <c r="G1368" s="6">
        <v>51</v>
      </c>
      <c r="H1368" s="6" t="s">
        <v>14</v>
      </c>
      <c r="I1368" s="7">
        <v>32</v>
      </c>
      <c r="J1368" s="3" t="s">
        <v>4317</v>
      </c>
      <c r="K1368" s="8">
        <v>0.23</v>
      </c>
      <c r="L1368" s="9" t="s">
        <v>2465</v>
      </c>
      <c r="M1368" s="24" t="s">
        <v>5906</v>
      </c>
      <c r="N1368" t="s">
        <v>5548</v>
      </c>
    </row>
    <row r="1369" spans="1:14" x14ac:dyDescent="0.3">
      <c r="A1369" s="3">
        <v>2794087</v>
      </c>
      <c r="B1369" s="4" t="s">
        <v>4805</v>
      </c>
      <c r="C1369" s="5">
        <v>1241014</v>
      </c>
      <c r="D1369" s="5" t="s">
        <v>3893</v>
      </c>
      <c r="E1369" s="3" t="s">
        <v>5375</v>
      </c>
      <c r="F1369" s="6" t="s">
        <v>5376</v>
      </c>
      <c r="G1369" s="6" t="s">
        <v>5373</v>
      </c>
      <c r="H1369" s="6" t="s">
        <v>14</v>
      </c>
      <c r="I1369" s="7" t="s">
        <v>14</v>
      </c>
      <c r="J1369" s="3" t="s">
        <v>5377</v>
      </c>
      <c r="K1369" s="8" t="s">
        <v>14</v>
      </c>
      <c r="L1369" s="9" t="s">
        <v>2466</v>
      </c>
      <c r="M1369" s="24" t="s">
        <v>5907</v>
      </c>
      <c r="N1369" t="s">
        <v>5548</v>
      </c>
    </row>
    <row r="1370" spans="1:14" x14ac:dyDescent="0.3">
      <c r="A1370" s="3">
        <v>2789088</v>
      </c>
      <c r="B1370" s="4" t="s">
        <v>4805</v>
      </c>
      <c r="C1370" s="5">
        <v>1677006</v>
      </c>
      <c r="D1370" s="5" t="s">
        <v>4792</v>
      </c>
      <c r="E1370" s="3" t="s">
        <v>5402</v>
      </c>
      <c r="F1370" s="6">
        <v>60</v>
      </c>
      <c r="G1370" s="6">
        <v>60</v>
      </c>
      <c r="H1370" s="6">
        <v>14.8</v>
      </c>
      <c r="I1370" s="7">
        <v>32</v>
      </c>
      <c r="J1370" s="3" t="s">
        <v>4317</v>
      </c>
      <c r="K1370" s="8">
        <v>0.09</v>
      </c>
      <c r="L1370" s="9" t="s">
        <v>2467</v>
      </c>
      <c r="M1370" s="24" t="s">
        <v>5874</v>
      </c>
      <c r="N1370" t="s">
        <v>5548</v>
      </c>
    </row>
    <row r="1371" spans="1:14" x14ac:dyDescent="0.3">
      <c r="A1371" s="3">
        <v>2784089</v>
      </c>
      <c r="B1371" s="4" t="s">
        <v>4805</v>
      </c>
      <c r="C1371" s="5">
        <v>1251016</v>
      </c>
      <c r="D1371" s="5" t="s">
        <v>23</v>
      </c>
      <c r="E1371" s="3" t="s">
        <v>5403</v>
      </c>
      <c r="F1371" s="6">
        <v>60</v>
      </c>
      <c r="G1371" s="6">
        <v>55.5</v>
      </c>
      <c r="H1371" s="6">
        <v>20.5</v>
      </c>
      <c r="I1371" s="7">
        <v>32</v>
      </c>
      <c r="J1371" s="3" t="s">
        <v>4317</v>
      </c>
      <c r="K1371" s="8">
        <v>1.2</v>
      </c>
      <c r="L1371" s="9" t="s">
        <v>2468</v>
      </c>
      <c r="M1371" s="24" t="s">
        <v>5875</v>
      </c>
      <c r="N1371" t="s">
        <v>5548</v>
      </c>
    </row>
    <row r="1372" spans="1:14" x14ac:dyDescent="0.3">
      <c r="A1372" s="3">
        <v>2779090</v>
      </c>
      <c r="B1372" s="4" t="s">
        <v>4805</v>
      </c>
      <c r="C1372" s="5">
        <v>1267038</v>
      </c>
      <c r="D1372" s="5" t="s">
        <v>4792</v>
      </c>
      <c r="E1372" s="3" t="s">
        <v>5404</v>
      </c>
      <c r="F1372" s="6">
        <v>43.5</v>
      </c>
      <c r="G1372" s="6">
        <v>60</v>
      </c>
      <c r="H1372" s="6">
        <v>36.200000000000003</v>
      </c>
      <c r="I1372" s="7">
        <v>32</v>
      </c>
      <c r="J1372" s="3" t="s">
        <v>4317</v>
      </c>
      <c r="K1372" s="8">
        <v>0.16</v>
      </c>
      <c r="L1372" s="9" t="s">
        <v>2469</v>
      </c>
      <c r="M1372" s="24" t="s">
        <v>5876</v>
      </c>
      <c r="N1372" t="s">
        <v>5548</v>
      </c>
    </row>
    <row r="1373" spans="1:14" x14ac:dyDescent="0.3">
      <c r="A1373" s="3">
        <v>2774091</v>
      </c>
      <c r="B1373" s="4" t="s">
        <v>4805</v>
      </c>
      <c r="C1373" s="5">
        <v>1676002</v>
      </c>
      <c r="D1373" s="5" t="s">
        <v>4792</v>
      </c>
      <c r="E1373" s="3" t="s">
        <v>5405</v>
      </c>
      <c r="F1373" s="6">
        <v>59.5</v>
      </c>
      <c r="G1373" s="6">
        <v>59.5</v>
      </c>
      <c r="H1373" s="6">
        <v>30</v>
      </c>
      <c r="I1373" s="7">
        <v>32</v>
      </c>
      <c r="J1373" s="3" t="s">
        <v>4318</v>
      </c>
      <c r="K1373" s="8">
        <v>1.4</v>
      </c>
      <c r="L1373" s="9" t="s">
        <v>2470</v>
      </c>
      <c r="M1373" s="24" t="s">
        <v>5877</v>
      </c>
      <c r="N1373" t="s">
        <v>5548</v>
      </c>
    </row>
    <row r="1374" spans="1:14" x14ac:dyDescent="0.3">
      <c r="A1374" s="3">
        <v>2769092</v>
      </c>
      <c r="B1374" s="4" t="s">
        <v>4805</v>
      </c>
      <c r="C1374" s="5">
        <v>1045007</v>
      </c>
      <c r="D1374" s="5" t="s">
        <v>74</v>
      </c>
      <c r="E1374" s="3" t="s">
        <v>14</v>
      </c>
      <c r="F1374" s="6">
        <v>60</v>
      </c>
      <c r="G1374" s="6">
        <v>40</v>
      </c>
      <c r="H1374" s="6" t="s">
        <v>14</v>
      </c>
      <c r="I1374" s="7">
        <v>32</v>
      </c>
      <c r="J1374" s="3" t="s">
        <v>4317</v>
      </c>
      <c r="K1374" s="8">
        <v>0.24</v>
      </c>
      <c r="L1374" s="9" t="s">
        <v>2471</v>
      </c>
      <c r="M1374" s="24" t="s">
        <v>5916</v>
      </c>
      <c r="N1374" t="s">
        <v>5548</v>
      </c>
    </row>
    <row r="1375" spans="1:14" x14ac:dyDescent="0.3">
      <c r="A1375" s="3">
        <v>2764093</v>
      </c>
      <c r="B1375" s="4" t="s">
        <v>4805</v>
      </c>
      <c r="C1375" s="5">
        <v>1251017</v>
      </c>
      <c r="D1375" s="5" t="s">
        <v>13</v>
      </c>
      <c r="E1375" s="3" t="s">
        <v>14</v>
      </c>
      <c r="F1375" s="6">
        <v>114</v>
      </c>
      <c r="G1375" s="6">
        <v>122.5</v>
      </c>
      <c r="H1375" s="6">
        <v>10</v>
      </c>
      <c r="I1375" s="7">
        <v>32</v>
      </c>
      <c r="J1375" s="3" t="s">
        <v>4317</v>
      </c>
      <c r="K1375" s="8">
        <v>1.91</v>
      </c>
      <c r="L1375" s="9" t="s">
        <v>2472</v>
      </c>
      <c r="M1375" s="24" t="s">
        <v>5918</v>
      </c>
      <c r="N1375" t="s">
        <v>5548</v>
      </c>
    </row>
    <row r="1376" spans="1:14" x14ac:dyDescent="0.3">
      <c r="A1376" s="3">
        <v>2759094</v>
      </c>
      <c r="B1376" s="4" t="s">
        <v>4805</v>
      </c>
      <c r="C1376" s="5">
        <v>1228012</v>
      </c>
      <c r="D1376" s="5" t="s">
        <v>96</v>
      </c>
      <c r="E1376" s="3" t="s">
        <v>5431</v>
      </c>
      <c r="F1376" s="6">
        <v>91.5</v>
      </c>
      <c r="G1376" s="6">
        <v>40.5</v>
      </c>
      <c r="H1376" s="6">
        <v>41</v>
      </c>
      <c r="I1376" s="7">
        <v>32</v>
      </c>
      <c r="J1376" s="3" t="s">
        <v>4317</v>
      </c>
      <c r="K1376" s="8">
        <v>2.21</v>
      </c>
      <c r="L1376" s="9" t="s">
        <v>2473</v>
      </c>
      <c r="M1376" s="24" t="s">
        <v>5724</v>
      </c>
      <c r="N1376" t="s">
        <v>5548</v>
      </c>
    </row>
    <row r="1377" spans="1:14" x14ac:dyDescent="0.3">
      <c r="A1377" s="3">
        <v>2754095</v>
      </c>
      <c r="B1377" s="4" t="s">
        <v>4805</v>
      </c>
      <c r="C1377" s="5">
        <v>1041011</v>
      </c>
      <c r="D1377" s="5" t="s">
        <v>74</v>
      </c>
      <c r="E1377" s="3" t="s">
        <v>5432</v>
      </c>
      <c r="F1377" s="6">
        <v>33</v>
      </c>
      <c r="G1377" s="6">
        <v>75</v>
      </c>
      <c r="H1377" s="6"/>
      <c r="I1377" s="7">
        <v>32</v>
      </c>
      <c r="J1377" s="3" t="s">
        <v>4317</v>
      </c>
      <c r="K1377" s="8"/>
      <c r="L1377" s="9" t="s">
        <v>2474</v>
      </c>
      <c r="M1377" s="24" t="s">
        <v>5698</v>
      </c>
      <c r="N1377" t="s">
        <v>5548</v>
      </c>
    </row>
    <row r="1378" spans="1:14" x14ac:dyDescent="0.3">
      <c r="A1378" s="3">
        <v>2810096</v>
      </c>
      <c r="B1378" s="4" t="s">
        <v>4805</v>
      </c>
      <c r="C1378" s="5">
        <v>1186021</v>
      </c>
      <c r="D1378" s="5" t="s">
        <v>96</v>
      </c>
      <c r="E1378" s="3">
        <v>1186021</v>
      </c>
      <c r="F1378" s="6">
        <v>80.900000000000006</v>
      </c>
      <c r="G1378" s="6">
        <v>60.9</v>
      </c>
      <c r="H1378" s="6">
        <v>20.3</v>
      </c>
      <c r="I1378" s="7" t="s">
        <v>4315</v>
      </c>
      <c r="J1378" s="3" t="s">
        <v>4317</v>
      </c>
      <c r="K1378" s="8"/>
      <c r="L1378" s="9" t="s">
        <v>2475</v>
      </c>
      <c r="M1378" s="1" t="s">
        <v>2476</v>
      </c>
    </row>
    <row r="1379" spans="1:14" x14ac:dyDescent="0.3">
      <c r="A1379" s="3">
        <v>2819097</v>
      </c>
      <c r="B1379" s="4" t="s">
        <v>4805</v>
      </c>
      <c r="C1379" s="5">
        <v>1186022</v>
      </c>
      <c r="D1379" s="5" t="s">
        <v>74</v>
      </c>
      <c r="E1379" s="3">
        <v>1186022</v>
      </c>
      <c r="F1379" s="6">
        <v>80</v>
      </c>
      <c r="G1379" s="6">
        <v>60.5</v>
      </c>
      <c r="H1379" s="6">
        <v>0</v>
      </c>
      <c r="I1379" s="7" t="s">
        <v>4315</v>
      </c>
      <c r="J1379" s="3" t="s">
        <v>4317</v>
      </c>
      <c r="K1379" s="8"/>
      <c r="L1379" s="9" t="s">
        <v>2477</v>
      </c>
      <c r="M1379" s="1" t="s">
        <v>2478</v>
      </c>
    </row>
    <row r="1380" spans="1:14" x14ac:dyDescent="0.3">
      <c r="A1380" s="3">
        <v>2820098</v>
      </c>
      <c r="B1380" s="4" t="s">
        <v>4805</v>
      </c>
      <c r="C1380" s="5">
        <v>1186023</v>
      </c>
      <c r="D1380" s="5" t="s">
        <v>264</v>
      </c>
      <c r="E1380" s="3">
        <v>1186023</v>
      </c>
      <c r="F1380" s="6">
        <v>80</v>
      </c>
      <c r="G1380" s="6">
        <v>9.5</v>
      </c>
      <c r="H1380" s="6">
        <v>0</v>
      </c>
      <c r="I1380" s="7" t="s">
        <v>4315</v>
      </c>
      <c r="J1380" s="3" t="s">
        <v>4317</v>
      </c>
      <c r="K1380" s="8"/>
      <c r="L1380" s="9" t="s">
        <v>2479</v>
      </c>
      <c r="M1380" s="1" t="s">
        <v>2480</v>
      </c>
    </row>
    <row r="1381" spans="1:14" x14ac:dyDescent="0.3">
      <c r="A1381" s="3">
        <v>28210099</v>
      </c>
      <c r="B1381" s="4" t="s">
        <v>4805</v>
      </c>
      <c r="C1381" s="5">
        <v>1186023</v>
      </c>
      <c r="D1381" s="5" t="s">
        <v>267</v>
      </c>
      <c r="E1381" s="3">
        <v>1186023</v>
      </c>
      <c r="F1381" s="6">
        <v>60</v>
      </c>
      <c r="G1381" s="6">
        <v>9.5</v>
      </c>
      <c r="H1381" s="6">
        <v>0</v>
      </c>
      <c r="I1381" s="7" t="s">
        <v>4315</v>
      </c>
      <c r="J1381" s="3" t="s">
        <v>4317</v>
      </c>
      <c r="K1381" s="8"/>
      <c r="L1381" s="9" t="s">
        <v>2481</v>
      </c>
      <c r="M1381" s="1" t="s">
        <v>2482</v>
      </c>
    </row>
    <row r="1382" spans="1:14" x14ac:dyDescent="0.3">
      <c r="A1382" s="3">
        <v>2810100</v>
      </c>
      <c r="B1382" s="4" t="s">
        <v>4805</v>
      </c>
      <c r="C1382" s="5">
        <v>1186024</v>
      </c>
      <c r="D1382" s="5" t="s">
        <v>96</v>
      </c>
      <c r="E1382" s="3">
        <v>1186024</v>
      </c>
      <c r="F1382" s="6">
        <v>60.9</v>
      </c>
      <c r="G1382" s="6">
        <v>50.9</v>
      </c>
      <c r="H1382" s="6">
        <v>20.8</v>
      </c>
      <c r="I1382" s="7" t="s">
        <v>4315</v>
      </c>
      <c r="J1382" s="3" t="s">
        <v>4317</v>
      </c>
      <c r="K1382" s="8"/>
      <c r="L1382" s="9" t="s">
        <v>2483</v>
      </c>
      <c r="M1382" s="1" t="s">
        <v>2484</v>
      </c>
    </row>
    <row r="1383" spans="1:14" x14ac:dyDescent="0.3">
      <c r="A1383" s="3">
        <v>2819101</v>
      </c>
      <c r="B1383" s="4" t="s">
        <v>4805</v>
      </c>
      <c r="C1383" s="5">
        <v>1186025</v>
      </c>
      <c r="D1383" s="5" t="s">
        <v>74</v>
      </c>
      <c r="E1383" s="3">
        <v>1186025</v>
      </c>
      <c r="F1383" s="6">
        <v>60</v>
      </c>
      <c r="G1383" s="6">
        <v>50</v>
      </c>
      <c r="H1383" s="6">
        <v>0</v>
      </c>
      <c r="I1383" s="7" t="s">
        <v>4315</v>
      </c>
      <c r="J1383" s="3" t="s">
        <v>4317</v>
      </c>
      <c r="K1383" s="8">
        <v>0.3</v>
      </c>
      <c r="L1383" s="9" t="s">
        <v>2485</v>
      </c>
      <c r="M1383" s="1" t="s">
        <v>2486</v>
      </c>
    </row>
    <row r="1384" spans="1:14" x14ac:dyDescent="0.3">
      <c r="A1384" s="3">
        <v>2820102</v>
      </c>
      <c r="B1384" s="4" t="s">
        <v>4805</v>
      </c>
      <c r="C1384" s="5">
        <v>1186026</v>
      </c>
      <c r="D1384" s="5" t="s">
        <v>264</v>
      </c>
      <c r="E1384" s="3">
        <v>1186026</v>
      </c>
      <c r="F1384" s="6">
        <v>60</v>
      </c>
      <c r="G1384" s="6">
        <v>9.5</v>
      </c>
      <c r="H1384" s="6">
        <v>0</v>
      </c>
      <c r="I1384" s="7" t="s">
        <v>4315</v>
      </c>
      <c r="J1384" s="3" t="s">
        <v>4317</v>
      </c>
      <c r="K1384" s="8"/>
      <c r="L1384" s="9" t="s">
        <v>2487</v>
      </c>
      <c r="M1384" s="1" t="s">
        <v>2488</v>
      </c>
    </row>
    <row r="1385" spans="1:14" x14ac:dyDescent="0.3">
      <c r="A1385" s="3">
        <v>2821103</v>
      </c>
      <c r="B1385" s="4" t="s">
        <v>4805</v>
      </c>
      <c r="C1385" s="5">
        <v>1186026</v>
      </c>
      <c r="D1385" s="5" t="s">
        <v>267</v>
      </c>
      <c r="E1385" s="3">
        <v>1186026</v>
      </c>
      <c r="F1385" s="6">
        <v>50</v>
      </c>
      <c r="G1385" s="6">
        <v>9.5</v>
      </c>
      <c r="H1385" s="6">
        <v>0</v>
      </c>
      <c r="I1385" s="7" t="s">
        <v>4315</v>
      </c>
      <c r="J1385" s="3" t="s">
        <v>4317</v>
      </c>
      <c r="K1385" s="8"/>
      <c r="L1385" s="9" t="s">
        <v>2489</v>
      </c>
      <c r="M1385" s="1" t="s">
        <v>2490</v>
      </c>
    </row>
    <row r="1386" spans="1:14" x14ac:dyDescent="0.3">
      <c r="A1386" s="3">
        <v>2810104</v>
      </c>
      <c r="B1386" s="4" t="s">
        <v>4805</v>
      </c>
      <c r="C1386" s="5">
        <v>1186027</v>
      </c>
      <c r="D1386" s="5" t="s">
        <v>96</v>
      </c>
      <c r="E1386" s="3">
        <v>1186027</v>
      </c>
      <c r="F1386" s="6">
        <v>70.900000000000006</v>
      </c>
      <c r="G1386" s="6">
        <v>50.9</v>
      </c>
      <c r="H1386" s="6">
        <v>20.3</v>
      </c>
      <c r="I1386" s="7" t="s">
        <v>4315</v>
      </c>
      <c r="J1386" s="3" t="s">
        <v>4317</v>
      </c>
      <c r="K1386" s="8">
        <v>1.78</v>
      </c>
      <c r="L1386" s="9" t="s">
        <v>2491</v>
      </c>
      <c r="M1386" s="1" t="s">
        <v>2492</v>
      </c>
    </row>
    <row r="1387" spans="1:14" x14ac:dyDescent="0.3">
      <c r="A1387" s="3">
        <v>2819105</v>
      </c>
      <c r="B1387" s="4" t="s">
        <v>4805</v>
      </c>
      <c r="C1387" s="5">
        <v>1186028</v>
      </c>
      <c r="D1387" s="5" t="s">
        <v>74</v>
      </c>
      <c r="E1387" s="3">
        <v>1186028</v>
      </c>
      <c r="F1387" s="6">
        <v>70</v>
      </c>
      <c r="G1387" s="6">
        <v>50.5</v>
      </c>
      <c r="H1387" s="6">
        <v>0</v>
      </c>
      <c r="I1387" s="7" t="s">
        <v>4315</v>
      </c>
      <c r="J1387" s="3" t="s">
        <v>4317</v>
      </c>
      <c r="K1387" s="8">
        <v>0.35</v>
      </c>
      <c r="L1387" s="9" t="s">
        <v>2493</v>
      </c>
      <c r="M1387" s="1" t="s">
        <v>2494</v>
      </c>
    </row>
    <row r="1388" spans="1:14" x14ac:dyDescent="0.3">
      <c r="A1388" s="3">
        <v>2820106</v>
      </c>
      <c r="B1388" s="4" t="s">
        <v>4805</v>
      </c>
      <c r="C1388" s="5">
        <v>1186029</v>
      </c>
      <c r="D1388" s="5" t="s">
        <v>264</v>
      </c>
      <c r="E1388" s="3">
        <v>1186029</v>
      </c>
      <c r="F1388" s="6">
        <v>71</v>
      </c>
      <c r="G1388" s="6">
        <v>9.5</v>
      </c>
      <c r="H1388" s="6">
        <v>0</v>
      </c>
      <c r="I1388" s="7" t="s">
        <v>4315</v>
      </c>
      <c r="J1388" s="3" t="s">
        <v>4317</v>
      </c>
      <c r="K1388" s="8">
        <v>0.05</v>
      </c>
      <c r="L1388" s="9" t="s">
        <v>2495</v>
      </c>
      <c r="M1388" s="1" t="s">
        <v>2496</v>
      </c>
    </row>
    <row r="1389" spans="1:14" x14ac:dyDescent="0.3">
      <c r="A1389" s="3">
        <v>2821107</v>
      </c>
      <c r="B1389" s="4" t="s">
        <v>4805</v>
      </c>
      <c r="C1389" s="5">
        <v>1186029</v>
      </c>
      <c r="D1389" s="5" t="s">
        <v>267</v>
      </c>
      <c r="E1389" s="3">
        <v>1186029</v>
      </c>
      <c r="F1389" s="6">
        <v>50.5</v>
      </c>
      <c r="G1389" s="6">
        <v>9.5</v>
      </c>
      <c r="H1389" s="6">
        <v>0</v>
      </c>
      <c r="I1389" s="7" t="s">
        <v>4315</v>
      </c>
      <c r="J1389" s="3" t="s">
        <v>4317</v>
      </c>
      <c r="K1389" s="8">
        <v>7.0000000000000007E-2</v>
      </c>
      <c r="L1389" s="9" t="s">
        <v>2497</v>
      </c>
      <c r="M1389" s="24" t="s">
        <v>2498</v>
      </c>
    </row>
    <row r="1390" spans="1:14" x14ac:dyDescent="0.3">
      <c r="A1390" s="3">
        <v>2822108</v>
      </c>
      <c r="B1390" s="4" t="s">
        <v>4805</v>
      </c>
      <c r="C1390" s="5">
        <v>1680016</v>
      </c>
      <c r="D1390" s="5" t="s">
        <v>5427</v>
      </c>
      <c r="E1390" s="3" t="s">
        <v>5428</v>
      </c>
      <c r="F1390" s="6">
        <v>63.3</v>
      </c>
      <c r="G1390" s="6">
        <v>40.299999999999997</v>
      </c>
      <c r="H1390" s="6">
        <v>10</v>
      </c>
      <c r="I1390" s="7">
        <v>32</v>
      </c>
      <c r="J1390" s="3" t="s">
        <v>4317</v>
      </c>
      <c r="K1390" s="8" t="s">
        <v>14</v>
      </c>
      <c r="L1390" s="9" t="s">
        <v>2499</v>
      </c>
      <c r="M1390" s="24" t="s">
        <v>5928</v>
      </c>
      <c r="N1390" t="s">
        <v>5548</v>
      </c>
    </row>
    <row r="1391" spans="1:14" x14ac:dyDescent="0.3">
      <c r="A1391" s="3">
        <v>2823109</v>
      </c>
      <c r="B1391" s="4" t="s">
        <v>4805</v>
      </c>
      <c r="C1391" s="5">
        <v>1044004</v>
      </c>
      <c r="D1391" s="5" t="s">
        <v>90</v>
      </c>
      <c r="E1391" s="3" t="s">
        <v>14</v>
      </c>
      <c r="F1391" s="6">
        <v>60</v>
      </c>
      <c r="G1391" s="6">
        <v>40</v>
      </c>
      <c r="H1391" s="6">
        <v>35</v>
      </c>
      <c r="I1391" s="7">
        <v>32</v>
      </c>
      <c r="J1391" s="3" t="s">
        <v>4317</v>
      </c>
      <c r="K1391" s="8">
        <v>0.21</v>
      </c>
      <c r="L1391" s="9" t="s">
        <v>2500</v>
      </c>
      <c r="M1391" s="24" t="s">
        <v>5927</v>
      </c>
      <c r="N1391" t="s">
        <v>5548</v>
      </c>
    </row>
    <row r="1392" spans="1:14" x14ac:dyDescent="0.3">
      <c r="A1392" s="3">
        <v>2824110</v>
      </c>
      <c r="B1392" s="4" t="s">
        <v>4805</v>
      </c>
      <c r="C1392" s="5">
        <v>1059009</v>
      </c>
      <c r="D1392" s="5" t="s">
        <v>90</v>
      </c>
      <c r="E1392" s="3" t="s">
        <v>14</v>
      </c>
      <c r="F1392" s="6" t="s">
        <v>14</v>
      </c>
      <c r="G1392" s="6" t="s">
        <v>14</v>
      </c>
      <c r="H1392" s="6" t="s">
        <v>14</v>
      </c>
      <c r="I1392" s="7">
        <v>32</v>
      </c>
      <c r="J1392" s="3" t="s">
        <v>14</v>
      </c>
      <c r="K1392" s="8" t="s">
        <v>14</v>
      </c>
      <c r="L1392" s="9" t="s">
        <v>2501</v>
      </c>
      <c r="M1392" s="9" t="s">
        <v>4974</v>
      </c>
    </row>
    <row r="1393" spans="1:14" x14ac:dyDescent="0.3">
      <c r="A1393" s="3">
        <v>2820111</v>
      </c>
      <c r="B1393" s="4" t="s">
        <v>4805</v>
      </c>
      <c r="C1393" s="5">
        <v>1416025</v>
      </c>
      <c r="D1393" s="5" t="s">
        <v>264</v>
      </c>
      <c r="E1393" s="3" t="s">
        <v>2502</v>
      </c>
      <c r="F1393" s="6">
        <v>60</v>
      </c>
      <c r="G1393" s="6">
        <v>40</v>
      </c>
      <c r="H1393" s="6">
        <v>0</v>
      </c>
      <c r="I1393" s="7" t="s">
        <v>4315</v>
      </c>
      <c r="J1393" s="3" t="s">
        <v>4317</v>
      </c>
      <c r="K1393" s="8"/>
      <c r="L1393" s="9" t="s">
        <v>2503</v>
      </c>
      <c r="M1393" s="1" t="s">
        <v>2504</v>
      </c>
    </row>
    <row r="1394" spans="1:14" x14ac:dyDescent="0.3">
      <c r="A1394" s="3">
        <v>2821112</v>
      </c>
      <c r="B1394" s="4" t="s">
        <v>4805</v>
      </c>
      <c r="C1394" s="5">
        <v>1416025</v>
      </c>
      <c r="D1394" s="5" t="s">
        <v>267</v>
      </c>
      <c r="E1394" s="3" t="s">
        <v>2502</v>
      </c>
      <c r="F1394" s="6">
        <v>56.2</v>
      </c>
      <c r="G1394" s="6">
        <v>40</v>
      </c>
      <c r="H1394" s="6">
        <v>0</v>
      </c>
      <c r="I1394" s="7" t="s">
        <v>4315</v>
      </c>
      <c r="J1394" s="3" t="s">
        <v>4317</v>
      </c>
      <c r="K1394" s="8"/>
      <c r="L1394" s="9" t="s">
        <v>2505</v>
      </c>
      <c r="M1394" s="1" t="s">
        <v>2506</v>
      </c>
    </row>
    <row r="1395" spans="1:14" x14ac:dyDescent="0.3">
      <c r="A1395" s="3">
        <v>2810113</v>
      </c>
      <c r="B1395" s="4" t="s">
        <v>4805</v>
      </c>
      <c r="C1395" s="5">
        <v>1416026</v>
      </c>
      <c r="D1395" s="5" t="s">
        <v>96</v>
      </c>
      <c r="E1395" s="3" t="s">
        <v>2502</v>
      </c>
      <c r="F1395" s="6">
        <v>60.9</v>
      </c>
      <c r="G1395" s="6">
        <v>57.1</v>
      </c>
      <c r="H1395" s="6">
        <v>41.3</v>
      </c>
      <c r="I1395" s="7" t="s">
        <v>4315</v>
      </c>
      <c r="J1395" s="3" t="s">
        <v>4317</v>
      </c>
      <c r="K1395" s="8">
        <v>2.38</v>
      </c>
      <c r="L1395" s="9" t="s">
        <v>2507</v>
      </c>
      <c r="M1395" s="1" t="s">
        <v>2508</v>
      </c>
    </row>
    <row r="1396" spans="1:14" x14ac:dyDescent="0.3">
      <c r="A1396" s="3">
        <v>2810114</v>
      </c>
      <c r="B1396" s="4" t="s">
        <v>4805</v>
      </c>
      <c r="C1396" s="5">
        <v>1419012</v>
      </c>
      <c r="D1396" s="5" t="s">
        <v>96</v>
      </c>
      <c r="E1396" s="3" t="s">
        <v>2509</v>
      </c>
      <c r="F1396" s="6">
        <v>81.2</v>
      </c>
      <c r="G1396" s="6">
        <v>60.9</v>
      </c>
      <c r="H1396" s="6">
        <v>28.3</v>
      </c>
      <c r="I1396" s="7" t="s">
        <v>4315</v>
      </c>
      <c r="J1396" s="3" t="s">
        <v>4317</v>
      </c>
      <c r="K1396" s="8"/>
      <c r="L1396" s="9" t="s">
        <v>2510</v>
      </c>
      <c r="M1396" s="1" t="s">
        <v>2511</v>
      </c>
    </row>
    <row r="1397" spans="1:14" x14ac:dyDescent="0.3">
      <c r="A1397" s="3">
        <v>2820115</v>
      </c>
      <c r="B1397" s="4" t="s">
        <v>4805</v>
      </c>
      <c r="C1397" s="5">
        <v>1419013</v>
      </c>
      <c r="D1397" s="5" t="s">
        <v>264</v>
      </c>
      <c r="E1397" s="3" t="s">
        <v>2509</v>
      </c>
      <c r="F1397" s="6">
        <v>80</v>
      </c>
      <c r="G1397" s="6">
        <v>13.5</v>
      </c>
      <c r="H1397" s="6">
        <v>0</v>
      </c>
      <c r="I1397" s="7" t="s">
        <v>4315</v>
      </c>
      <c r="J1397" s="3" t="s">
        <v>4317</v>
      </c>
      <c r="K1397" s="8"/>
      <c r="L1397" s="9" t="s">
        <v>2512</v>
      </c>
      <c r="M1397" s="1" t="s">
        <v>2513</v>
      </c>
    </row>
    <row r="1398" spans="1:14" x14ac:dyDescent="0.3">
      <c r="A1398" s="3">
        <v>2821116</v>
      </c>
      <c r="B1398" s="4" t="s">
        <v>4805</v>
      </c>
      <c r="C1398" s="5">
        <v>1419013</v>
      </c>
      <c r="D1398" s="5" t="s">
        <v>267</v>
      </c>
      <c r="E1398" s="3" t="s">
        <v>2509</v>
      </c>
      <c r="F1398" s="6">
        <v>60</v>
      </c>
      <c r="G1398" s="6">
        <v>13.5</v>
      </c>
      <c r="H1398" s="6">
        <v>0</v>
      </c>
      <c r="I1398" s="7" t="s">
        <v>4315</v>
      </c>
      <c r="J1398" s="3" t="s">
        <v>4317</v>
      </c>
      <c r="K1398" s="8"/>
      <c r="L1398" s="9" t="s">
        <v>2514</v>
      </c>
      <c r="M1398" s="1" t="s">
        <v>2515</v>
      </c>
    </row>
    <row r="1399" spans="1:14" x14ac:dyDescent="0.3">
      <c r="A1399" s="3">
        <v>2819117</v>
      </c>
      <c r="B1399" s="4" t="s">
        <v>4805</v>
      </c>
      <c r="C1399" s="5">
        <v>1419014</v>
      </c>
      <c r="D1399" s="5" t="s">
        <v>74</v>
      </c>
      <c r="E1399" s="3" t="s">
        <v>2509</v>
      </c>
      <c r="F1399" s="6">
        <v>80</v>
      </c>
      <c r="G1399" s="6">
        <v>60</v>
      </c>
      <c r="H1399" s="6">
        <v>0</v>
      </c>
      <c r="I1399" s="7" t="s">
        <v>4315</v>
      </c>
      <c r="J1399" s="3" t="s">
        <v>4317</v>
      </c>
      <c r="K1399" s="8"/>
      <c r="L1399" s="9" t="s">
        <v>2516</v>
      </c>
      <c r="M1399" s="1" t="s">
        <v>2517</v>
      </c>
    </row>
    <row r="1400" spans="1:14" x14ac:dyDescent="0.3">
      <c r="A1400" s="3">
        <v>2811118</v>
      </c>
      <c r="B1400" s="4" t="s">
        <v>4805</v>
      </c>
      <c r="C1400" s="5">
        <v>1451012</v>
      </c>
      <c r="D1400" s="5" t="s">
        <v>154</v>
      </c>
      <c r="E1400" s="3" t="s">
        <v>2518</v>
      </c>
      <c r="F1400" s="6">
        <v>60.9</v>
      </c>
      <c r="G1400" s="6">
        <v>55.9</v>
      </c>
      <c r="H1400" s="6">
        <v>35.4</v>
      </c>
      <c r="I1400" s="7" t="s">
        <v>4315</v>
      </c>
      <c r="J1400" s="3" t="s">
        <v>4317</v>
      </c>
      <c r="K1400" s="8"/>
      <c r="L1400" s="9" t="s">
        <v>2519</v>
      </c>
      <c r="M1400" s="1" t="s">
        <v>2520</v>
      </c>
    </row>
    <row r="1401" spans="1:14" x14ac:dyDescent="0.3">
      <c r="A1401" s="3">
        <v>2820119</v>
      </c>
      <c r="B1401" s="4" t="s">
        <v>4805</v>
      </c>
      <c r="C1401" s="5">
        <v>1451013</v>
      </c>
      <c r="D1401" s="5" t="s">
        <v>90</v>
      </c>
      <c r="E1401" s="3" t="s">
        <v>2518</v>
      </c>
      <c r="F1401" s="6">
        <v>60</v>
      </c>
      <c r="G1401" s="6">
        <v>45</v>
      </c>
      <c r="H1401" s="6">
        <v>34.5</v>
      </c>
      <c r="I1401" s="7" t="s">
        <v>4315</v>
      </c>
      <c r="J1401" s="3" t="s">
        <v>4317</v>
      </c>
      <c r="K1401" s="8">
        <v>0.21</v>
      </c>
      <c r="L1401" s="9" t="s">
        <v>2521</v>
      </c>
      <c r="M1401" s="1" t="s">
        <v>5803</v>
      </c>
      <c r="N1401" t="s">
        <v>5548</v>
      </c>
    </row>
    <row r="1402" spans="1:14" x14ac:dyDescent="0.3">
      <c r="A1402" s="3">
        <v>2821120</v>
      </c>
      <c r="B1402" s="4" t="s">
        <v>4805</v>
      </c>
      <c r="C1402" s="5">
        <v>1672038</v>
      </c>
      <c r="D1402" s="5" t="s">
        <v>90</v>
      </c>
      <c r="E1402" s="3" t="s">
        <v>5815</v>
      </c>
      <c r="F1402" s="6">
        <v>60</v>
      </c>
      <c r="G1402" s="6">
        <v>90</v>
      </c>
      <c r="H1402" s="6">
        <v>30.5</v>
      </c>
      <c r="I1402" s="7">
        <v>32</v>
      </c>
      <c r="J1402" s="3" t="s">
        <v>4317</v>
      </c>
      <c r="K1402" s="8">
        <v>1.5</v>
      </c>
      <c r="L1402" s="9" t="s">
        <v>2522</v>
      </c>
      <c r="M1402" s="1" t="s">
        <v>5817</v>
      </c>
      <c r="N1402" t="s">
        <v>5548</v>
      </c>
    </row>
    <row r="1403" spans="1:14" x14ac:dyDescent="0.3">
      <c r="A1403" s="3">
        <v>2814121</v>
      </c>
      <c r="B1403" s="4" t="s">
        <v>4805</v>
      </c>
      <c r="C1403" s="5">
        <v>1451014</v>
      </c>
      <c r="D1403" s="5" t="s">
        <v>392</v>
      </c>
      <c r="E1403" s="3" t="s">
        <v>2518</v>
      </c>
      <c r="F1403" s="6">
        <v>122.8</v>
      </c>
      <c r="G1403" s="6">
        <v>115.6</v>
      </c>
      <c r="H1403" s="6">
        <v>10.4</v>
      </c>
      <c r="I1403" s="7" t="s">
        <v>4315</v>
      </c>
      <c r="J1403" s="3" t="s">
        <v>4317</v>
      </c>
      <c r="K1403" s="8">
        <v>1.96</v>
      </c>
      <c r="L1403" s="9" t="s">
        <v>2523</v>
      </c>
      <c r="M1403" s="1" t="s">
        <v>5804</v>
      </c>
    </row>
    <row r="1404" spans="1:14" x14ac:dyDescent="0.3">
      <c r="A1404" s="3">
        <v>2807122</v>
      </c>
      <c r="B1404" s="4" t="s">
        <v>4805</v>
      </c>
      <c r="C1404" s="5">
        <v>1672037</v>
      </c>
      <c r="D1404" s="5" t="s">
        <v>96</v>
      </c>
      <c r="E1404" s="3" t="s">
        <v>5815</v>
      </c>
      <c r="F1404" s="6">
        <v>91</v>
      </c>
      <c r="G1404" s="6">
        <v>60.5</v>
      </c>
      <c r="H1404" s="6">
        <v>31.5</v>
      </c>
      <c r="I1404" s="7">
        <v>32</v>
      </c>
      <c r="J1404" s="3" t="s">
        <v>4317</v>
      </c>
      <c r="K1404" s="8">
        <v>1.4</v>
      </c>
      <c r="L1404" s="9" t="s">
        <v>5451</v>
      </c>
      <c r="M1404" s="1" t="s">
        <v>5816</v>
      </c>
      <c r="N1404" t="s">
        <v>5548</v>
      </c>
    </row>
    <row r="1405" spans="1:14" x14ac:dyDescent="0.3">
      <c r="A1405" s="3">
        <v>2800123</v>
      </c>
      <c r="B1405" s="4" t="s">
        <v>4805</v>
      </c>
      <c r="C1405" s="5">
        <v>2719251</v>
      </c>
      <c r="D1405" s="5" t="s">
        <v>90</v>
      </c>
      <c r="E1405" s="3" t="s">
        <v>5428</v>
      </c>
      <c r="F1405" s="6">
        <v>60</v>
      </c>
      <c r="G1405" s="6">
        <v>37.200000000000003</v>
      </c>
      <c r="H1405" s="6">
        <v>22.9</v>
      </c>
      <c r="I1405" s="7">
        <v>32</v>
      </c>
      <c r="J1405" s="3" t="s">
        <v>4317</v>
      </c>
      <c r="K1405" s="8">
        <v>0.14000000000000001</v>
      </c>
      <c r="L1405" s="9" t="s">
        <v>5452</v>
      </c>
      <c r="M1405" s="1"/>
    </row>
    <row r="1406" spans="1:14" x14ac:dyDescent="0.3">
      <c r="A1406" s="3">
        <v>2793124</v>
      </c>
      <c r="B1406" s="4" t="s">
        <v>4805</v>
      </c>
      <c r="C1406" s="5" t="s">
        <v>5457</v>
      </c>
      <c r="D1406" s="5" t="s">
        <v>5433</v>
      </c>
      <c r="E1406" s="3" t="s">
        <v>5453</v>
      </c>
      <c r="F1406" s="6">
        <v>58.5</v>
      </c>
      <c r="G1406" s="6">
        <v>51</v>
      </c>
      <c r="H1406" s="6">
        <v>22.3</v>
      </c>
      <c r="I1406" s="7">
        <v>44</v>
      </c>
      <c r="J1406" s="3" t="s">
        <v>4317</v>
      </c>
      <c r="K1406" s="8">
        <v>1.08</v>
      </c>
      <c r="L1406" s="9" t="s">
        <v>5454</v>
      </c>
      <c r="M1406" s="1"/>
    </row>
    <row r="1407" spans="1:14" x14ac:dyDescent="0.3">
      <c r="A1407" s="3">
        <v>2786125</v>
      </c>
      <c r="B1407" s="4" t="s">
        <v>4805</v>
      </c>
      <c r="C1407" s="5" t="s">
        <v>5458</v>
      </c>
      <c r="D1407" s="5" t="s">
        <v>90</v>
      </c>
      <c r="E1407" s="3" t="s">
        <v>5453</v>
      </c>
      <c r="F1407" s="6">
        <v>57.5</v>
      </c>
      <c r="G1407" s="6">
        <v>39.700000000000003</v>
      </c>
      <c r="H1407" s="6">
        <v>20</v>
      </c>
      <c r="I1407" s="7">
        <v>32</v>
      </c>
      <c r="J1407" s="3" t="s">
        <v>4317</v>
      </c>
      <c r="K1407" s="8">
        <v>0.12</v>
      </c>
      <c r="L1407" s="9" t="s">
        <v>5455</v>
      </c>
      <c r="M1407" s="1"/>
    </row>
    <row r="1408" spans="1:14" x14ac:dyDescent="0.3">
      <c r="A1408" s="3">
        <v>2779126</v>
      </c>
      <c r="B1408" s="4" t="s">
        <v>4805</v>
      </c>
      <c r="C1408" s="5" t="s">
        <v>5459</v>
      </c>
      <c r="D1408" s="5" t="s">
        <v>13</v>
      </c>
      <c r="E1408" s="3" t="s">
        <v>5453</v>
      </c>
      <c r="F1408" s="6">
        <v>60</v>
      </c>
      <c r="G1408" s="6">
        <v>52.5</v>
      </c>
      <c r="H1408" s="6">
        <v>7.5</v>
      </c>
      <c r="I1408" s="7">
        <v>32</v>
      </c>
      <c r="J1408" s="3" t="s">
        <v>4317</v>
      </c>
      <c r="K1408" s="8">
        <v>0.51</v>
      </c>
      <c r="L1408" s="9" t="s">
        <v>5456</v>
      </c>
      <c r="M1408" s="1"/>
    </row>
    <row r="1409" spans="1:14" x14ac:dyDescent="0.3">
      <c r="A1409" s="3">
        <v>2772127</v>
      </c>
      <c r="B1409" s="4" t="s">
        <v>4805</v>
      </c>
      <c r="C1409" s="5">
        <v>1713006</v>
      </c>
      <c r="D1409" s="5" t="s">
        <v>23</v>
      </c>
      <c r="E1409" s="3" t="s">
        <v>5460</v>
      </c>
      <c r="F1409" s="6">
        <v>57</v>
      </c>
      <c r="G1409" s="6">
        <v>30.5</v>
      </c>
      <c r="H1409" s="6">
        <v>24.3</v>
      </c>
      <c r="I1409" s="7">
        <v>32</v>
      </c>
      <c r="J1409" s="3" t="s">
        <v>4317</v>
      </c>
      <c r="K1409" s="8">
        <v>0.72</v>
      </c>
      <c r="L1409" s="9" t="s">
        <v>5465</v>
      </c>
      <c r="M1409" s="1" t="s">
        <v>5938</v>
      </c>
      <c r="N1409" t="s">
        <v>5548</v>
      </c>
    </row>
    <row r="1410" spans="1:14" x14ac:dyDescent="0.3">
      <c r="A1410" s="3">
        <v>2772128</v>
      </c>
      <c r="B1410" s="4" t="s">
        <v>4805</v>
      </c>
      <c r="C1410" s="5">
        <v>1713007</v>
      </c>
      <c r="D1410" s="5" t="s">
        <v>90</v>
      </c>
      <c r="E1410" s="3" t="s">
        <v>5460</v>
      </c>
      <c r="F1410" s="6">
        <v>56</v>
      </c>
      <c r="G1410" s="6">
        <v>29.5</v>
      </c>
      <c r="H1410" s="6">
        <v>23.5</v>
      </c>
      <c r="I1410" s="7">
        <v>32</v>
      </c>
      <c r="J1410" s="3" t="s">
        <v>4317</v>
      </c>
      <c r="K1410" s="8">
        <v>0.13</v>
      </c>
      <c r="L1410" s="9" t="s">
        <v>5466</v>
      </c>
      <c r="M1410" s="1" t="s">
        <v>6332</v>
      </c>
    </row>
    <row r="1411" spans="1:14" x14ac:dyDescent="0.3">
      <c r="A1411" s="3">
        <v>277212801</v>
      </c>
      <c r="B1411" s="4" t="s">
        <v>4805</v>
      </c>
      <c r="C1411" s="5">
        <v>1713026</v>
      </c>
      <c r="D1411" s="5" t="s">
        <v>90</v>
      </c>
      <c r="E1411" s="3" t="s">
        <v>5460</v>
      </c>
      <c r="F1411" s="6">
        <v>56</v>
      </c>
      <c r="G1411" s="6">
        <v>29.5</v>
      </c>
      <c r="H1411" s="6">
        <v>23.5</v>
      </c>
      <c r="I1411" s="7">
        <v>32</v>
      </c>
      <c r="J1411" s="3" t="s">
        <v>6475</v>
      </c>
      <c r="K1411" s="8">
        <v>0.13</v>
      </c>
      <c r="L1411" s="9" t="s">
        <v>6473</v>
      </c>
      <c r="M1411" s="1" t="s">
        <v>6474</v>
      </c>
    </row>
    <row r="1412" spans="1:14" x14ac:dyDescent="0.3">
      <c r="A1412" s="3">
        <f>A1410+1</f>
        <v>2772129</v>
      </c>
      <c r="B1412" s="4" t="s">
        <v>4805</v>
      </c>
      <c r="C1412" s="5">
        <v>1713008</v>
      </c>
      <c r="D1412" s="5" t="s">
        <v>5461</v>
      </c>
      <c r="E1412" s="3" t="s">
        <v>5460</v>
      </c>
      <c r="F1412" s="6">
        <v>56</v>
      </c>
      <c r="G1412" s="6">
        <v>29.5</v>
      </c>
      <c r="H1412" s="6" t="s">
        <v>14</v>
      </c>
      <c r="I1412" s="7" t="s">
        <v>5312</v>
      </c>
      <c r="J1412" s="3" t="s">
        <v>5479</v>
      </c>
      <c r="K1412" s="8">
        <v>0.17</v>
      </c>
      <c r="L1412" s="9" t="s">
        <v>5467</v>
      </c>
      <c r="M1412" s="1" t="s">
        <v>5939</v>
      </c>
      <c r="N1412" t="s">
        <v>5548</v>
      </c>
    </row>
    <row r="1413" spans="1:14" x14ac:dyDescent="0.3">
      <c r="A1413" s="3">
        <v>2751130</v>
      </c>
      <c r="B1413" s="4" t="s">
        <v>4805</v>
      </c>
      <c r="C1413" s="5">
        <v>1713009</v>
      </c>
      <c r="D1413" s="5" t="s">
        <v>26</v>
      </c>
      <c r="E1413" s="3" t="s">
        <v>5460</v>
      </c>
      <c r="F1413" s="6">
        <v>58</v>
      </c>
      <c r="G1413" s="6">
        <v>32</v>
      </c>
      <c r="H1413" s="6">
        <v>8</v>
      </c>
      <c r="I1413" s="7">
        <v>32</v>
      </c>
      <c r="J1413" s="3" t="s">
        <v>4317</v>
      </c>
      <c r="K1413" s="8">
        <v>0.36</v>
      </c>
      <c r="L1413" s="9" t="s">
        <v>5468</v>
      </c>
      <c r="M1413" s="1" t="s">
        <v>5940</v>
      </c>
      <c r="N1413" t="s">
        <v>5548</v>
      </c>
    </row>
    <row r="1414" spans="1:14" x14ac:dyDescent="0.3">
      <c r="A1414" s="3">
        <v>2744131</v>
      </c>
      <c r="B1414" s="4" t="s">
        <v>4805</v>
      </c>
      <c r="C1414" s="5">
        <v>1714014</v>
      </c>
      <c r="D1414" s="5" t="s">
        <v>154</v>
      </c>
      <c r="E1414" s="3" t="s">
        <v>5463</v>
      </c>
      <c r="F1414" s="6">
        <v>68.5</v>
      </c>
      <c r="G1414" s="6">
        <v>46</v>
      </c>
      <c r="H1414" s="6">
        <v>28.3</v>
      </c>
      <c r="I1414" s="7">
        <v>32</v>
      </c>
      <c r="J1414" s="3" t="s">
        <v>4317</v>
      </c>
      <c r="K1414" s="8">
        <v>1.21</v>
      </c>
      <c r="L1414" s="9" t="s">
        <v>5469</v>
      </c>
      <c r="M1414" s="1"/>
    </row>
    <row r="1415" spans="1:14" x14ac:dyDescent="0.3">
      <c r="A1415" s="3">
        <v>2737132</v>
      </c>
      <c r="B1415" s="4" t="s">
        <v>4805</v>
      </c>
      <c r="C1415" s="5">
        <v>1714015</v>
      </c>
      <c r="D1415" s="5" t="s">
        <v>90</v>
      </c>
      <c r="E1415" s="3" t="s">
        <v>5463</v>
      </c>
      <c r="F1415" s="6">
        <v>67.5</v>
      </c>
      <c r="G1415" s="6">
        <v>45</v>
      </c>
      <c r="H1415" s="6">
        <v>13.5</v>
      </c>
      <c r="I1415" s="7">
        <v>32</v>
      </c>
      <c r="J1415" s="3" t="s">
        <v>4317</v>
      </c>
      <c r="K1415" s="8">
        <v>0.09</v>
      </c>
      <c r="L1415" s="9" t="s">
        <v>5470</v>
      </c>
      <c r="M1415" s="1"/>
    </row>
    <row r="1416" spans="1:14" x14ac:dyDescent="0.3">
      <c r="A1416" s="3">
        <v>2730133</v>
      </c>
      <c r="B1416" s="4" t="s">
        <v>4805</v>
      </c>
      <c r="C1416" s="5">
        <v>1714016</v>
      </c>
      <c r="D1416" s="5" t="s">
        <v>5462</v>
      </c>
      <c r="E1416" s="3" t="s">
        <v>5463</v>
      </c>
      <c r="F1416" s="6">
        <v>67.5</v>
      </c>
      <c r="G1416" s="6">
        <v>45</v>
      </c>
      <c r="H1416" s="6" t="s">
        <v>14</v>
      </c>
      <c r="I1416" s="7" t="s">
        <v>5312</v>
      </c>
      <c r="J1416" s="3" t="s">
        <v>5479</v>
      </c>
      <c r="K1416" s="8">
        <v>0.3</v>
      </c>
      <c r="L1416" s="9" t="s">
        <v>5471</v>
      </c>
      <c r="M1416" s="1"/>
    </row>
    <row r="1417" spans="1:14" x14ac:dyDescent="0.3">
      <c r="A1417" s="3">
        <v>2723134</v>
      </c>
      <c r="B1417" s="4" t="s">
        <v>4805</v>
      </c>
      <c r="C1417" s="5">
        <v>1714017</v>
      </c>
      <c r="D1417" s="5" t="s">
        <v>74</v>
      </c>
      <c r="E1417" s="3" t="s">
        <v>5463</v>
      </c>
      <c r="F1417" s="6">
        <v>67.5</v>
      </c>
      <c r="G1417" s="6">
        <v>45</v>
      </c>
      <c r="H1417" s="6" t="s">
        <v>14</v>
      </c>
      <c r="I1417" s="7">
        <v>32</v>
      </c>
      <c r="J1417" s="3" t="s">
        <v>4317</v>
      </c>
      <c r="K1417" s="8">
        <v>0.3</v>
      </c>
      <c r="L1417" s="9" t="s">
        <v>5472</v>
      </c>
      <c r="M1417" s="1"/>
    </row>
    <row r="1418" spans="1:14" x14ac:dyDescent="0.3">
      <c r="A1418" s="3">
        <v>2716135</v>
      </c>
      <c r="B1418" s="4" t="s">
        <v>4805</v>
      </c>
      <c r="C1418" s="5">
        <v>1714018</v>
      </c>
      <c r="D1418" s="5" t="s">
        <v>13</v>
      </c>
      <c r="E1418" s="3" t="s">
        <v>5463</v>
      </c>
      <c r="F1418" s="6">
        <v>69.5</v>
      </c>
      <c r="G1418" s="6">
        <v>47</v>
      </c>
      <c r="H1418" s="6">
        <v>8</v>
      </c>
      <c r="I1418" s="7">
        <v>32</v>
      </c>
      <c r="J1418" s="3" t="s">
        <v>4317</v>
      </c>
      <c r="K1418" s="8">
        <v>0.54</v>
      </c>
      <c r="L1418" s="9" t="s">
        <v>5473</v>
      </c>
      <c r="M1418" s="1"/>
    </row>
    <row r="1419" spans="1:14" x14ac:dyDescent="0.3">
      <c r="A1419" s="3">
        <v>2709136</v>
      </c>
      <c r="B1419" s="4" t="s">
        <v>4805</v>
      </c>
      <c r="C1419" s="5">
        <v>1414006</v>
      </c>
      <c r="D1419" s="5" t="s">
        <v>23</v>
      </c>
      <c r="E1419" s="3" t="s">
        <v>5464</v>
      </c>
      <c r="F1419" s="6">
        <v>66</v>
      </c>
      <c r="G1419" s="6">
        <v>48.5</v>
      </c>
      <c r="H1419" s="6">
        <v>33.299999999999997</v>
      </c>
      <c r="I1419" s="7">
        <v>32</v>
      </c>
      <c r="J1419" s="3" t="s">
        <v>4317</v>
      </c>
      <c r="K1419" s="8">
        <v>1.35</v>
      </c>
      <c r="L1419" s="9" t="s">
        <v>5474</v>
      </c>
      <c r="M1419" s="1"/>
    </row>
    <row r="1420" spans="1:14" x14ac:dyDescent="0.3">
      <c r="A1420" s="3">
        <v>2702137</v>
      </c>
      <c r="B1420" s="4" t="s">
        <v>4805</v>
      </c>
      <c r="C1420" s="5">
        <v>1714007</v>
      </c>
      <c r="D1420" s="5" t="s">
        <v>90</v>
      </c>
      <c r="E1420" s="3" t="s">
        <v>5464</v>
      </c>
      <c r="F1420" s="6">
        <v>65</v>
      </c>
      <c r="G1420" s="6">
        <v>47.5</v>
      </c>
      <c r="H1420" s="6">
        <v>15.8</v>
      </c>
      <c r="I1420" s="7" t="s">
        <v>6334</v>
      </c>
      <c r="J1420" s="3" t="s">
        <v>4317</v>
      </c>
      <c r="K1420" s="8">
        <v>0.1</v>
      </c>
      <c r="L1420" s="9" t="s">
        <v>5475</v>
      </c>
      <c r="M1420" s="1" t="s">
        <v>6333</v>
      </c>
      <c r="N1420" t="s">
        <v>5548</v>
      </c>
    </row>
    <row r="1421" spans="1:14" x14ac:dyDescent="0.3">
      <c r="A1421" s="3">
        <v>2695138</v>
      </c>
      <c r="B1421" s="4" t="s">
        <v>4805</v>
      </c>
      <c r="C1421" s="5">
        <v>1714008</v>
      </c>
      <c r="D1421" s="5" t="s">
        <v>5461</v>
      </c>
      <c r="E1421" s="3" t="s">
        <v>5464</v>
      </c>
      <c r="F1421" s="6">
        <v>65</v>
      </c>
      <c r="G1421" s="6">
        <v>47.5</v>
      </c>
      <c r="H1421" s="6" t="s">
        <v>14</v>
      </c>
      <c r="I1421" s="7" t="s">
        <v>5312</v>
      </c>
      <c r="J1421" s="3" t="s">
        <v>4317</v>
      </c>
      <c r="K1421" s="8">
        <v>0.31</v>
      </c>
      <c r="L1421" s="9" t="s">
        <v>5476</v>
      </c>
      <c r="M1421" s="1" t="s">
        <v>5943</v>
      </c>
      <c r="N1421" t="s">
        <v>5548</v>
      </c>
    </row>
    <row r="1422" spans="1:14" x14ac:dyDescent="0.3">
      <c r="A1422" s="3">
        <v>2688139</v>
      </c>
      <c r="B1422" s="4" t="s">
        <v>4805</v>
      </c>
      <c r="C1422" s="5" t="s">
        <v>6472</v>
      </c>
      <c r="D1422" s="5" t="s">
        <v>74</v>
      </c>
      <c r="E1422" s="3" t="s">
        <v>5464</v>
      </c>
      <c r="F1422" s="6">
        <v>65</v>
      </c>
      <c r="G1422" s="6">
        <v>47.5</v>
      </c>
      <c r="H1422" s="6" t="s">
        <v>14</v>
      </c>
      <c r="I1422" s="7">
        <v>32</v>
      </c>
      <c r="J1422" s="3" t="s">
        <v>5479</v>
      </c>
      <c r="K1422" s="8">
        <v>0.31</v>
      </c>
      <c r="L1422" s="9" t="s">
        <v>5477</v>
      </c>
      <c r="M1422" s="1" t="s">
        <v>5944</v>
      </c>
      <c r="N1422" t="s">
        <v>5548</v>
      </c>
    </row>
    <row r="1423" spans="1:14" x14ac:dyDescent="0.3">
      <c r="A1423" s="3">
        <v>2681140</v>
      </c>
      <c r="B1423" s="4" t="s">
        <v>4805</v>
      </c>
      <c r="C1423" s="5">
        <v>1714010</v>
      </c>
      <c r="D1423" s="5" t="s">
        <v>13</v>
      </c>
      <c r="E1423" s="3" t="s">
        <v>5464</v>
      </c>
      <c r="F1423" s="6">
        <v>67.5</v>
      </c>
      <c r="G1423" s="6">
        <v>50</v>
      </c>
      <c r="H1423" s="6">
        <v>8</v>
      </c>
      <c r="I1423" s="7">
        <v>32</v>
      </c>
      <c r="J1423" s="3" t="s">
        <v>4317</v>
      </c>
      <c r="K1423" s="8">
        <v>0.55000000000000004</v>
      </c>
      <c r="L1423" s="9" t="s">
        <v>5478</v>
      </c>
      <c r="M1423" s="1" t="s">
        <v>5945</v>
      </c>
      <c r="N1423" t="s">
        <v>5548</v>
      </c>
    </row>
    <row r="1424" spans="1:14" x14ac:dyDescent="0.3">
      <c r="A1424" s="3">
        <v>2674141</v>
      </c>
      <c r="B1424" s="4" t="s">
        <v>4805</v>
      </c>
      <c r="C1424" s="5">
        <v>1691003</v>
      </c>
      <c r="D1424" s="5" t="s">
        <v>74</v>
      </c>
      <c r="E1424" s="3" t="s">
        <v>5480</v>
      </c>
      <c r="F1424" s="6">
        <v>5</v>
      </c>
      <c r="G1424" s="6">
        <v>165</v>
      </c>
      <c r="H1424" s="6" t="s">
        <v>14</v>
      </c>
      <c r="I1424" s="7" t="s">
        <v>4871</v>
      </c>
      <c r="J1424" s="3" t="s">
        <v>4870</v>
      </c>
      <c r="K1424" s="8"/>
      <c r="L1424" s="9" t="s">
        <v>5487</v>
      </c>
      <c r="M1424" s="1" t="s">
        <v>6402</v>
      </c>
    </row>
    <row r="1425" spans="1:14" x14ac:dyDescent="0.3">
      <c r="A1425" s="3">
        <v>2667142</v>
      </c>
      <c r="B1425" s="4" t="s">
        <v>4805</v>
      </c>
      <c r="C1425" s="5">
        <v>1382011</v>
      </c>
      <c r="D1425" s="5" t="s">
        <v>90</v>
      </c>
      <c r="E1425" s="3" t="s">
        <v>5343</v>
      </c>
      <c r="F1425" s="6">
        <v>59</v>
      </c>
      <c r="G1425" s="6">
        <v>55.5</v>
      </c>
      <c r="H1425" s="6">
        <v>27</v>
      </c>
      <c r="I1425" s="7">
        <v>32</v>
      </c>
      <c r="J1425" s="3" t="s">
        <v>4317</v>
      </c>
      <c r="K1425" s="8">
        <v>0.16</v>
      </c>
      <c r="L1425" s="9" t="s">
        <v>5488</v>
      </c>
      <c r="M1425" s="1" t="s">
        <v>5932</v>
      </c>
      <c r="N1425" t="s">
        <v>5548</v>
      </c>
    </row>
    <row r="1426" spans="1:14" x14ac:dyDescent="0.3">
      <c r="A1426" s="3">
        <v>2660143</v>
      </c>
      <c r="B1426" s="4" t="s">
        <v>4805</v>
      </c>
      <c r="C1426" s="5">
        <v>1491011</v>
      </c>
      <c r="D1426" s="5" t="s">
        <v>96</v>
      </c>
      <c r="E1426" s="3" t="s">
        <v>5516</v>
      </c>
      <c r="F1426" s="6">
        <v>61</v>
      </c>
      <c r="G1426" s="6">
        <v>57</v>
      </c>
      <c r="H1426" s="6">
        <v>51.3</v>
      </c>
      <c r="I1426" s="7">
        <v>32</v>
      </c>
      <c r="J1426" s="3" t="s">
        <v>4317</v>
      </c>
      <c r="K1426" s="8">
        <v>2.62</v>
      </c>
      <c r="L1426" s="9" t="s">
        <v>5496</v>
      </c>
      <c r="M1426" s="1" t="s">
        <v>6403</v>
      </c>
    </row>
    <row r="1427" spans="1:14" x14ac:dyDescent="0.3">
      <c r="A1427" s="3">
        <v>2653144</v>
      </c>
      <c r="B1427" s="4" t="s">
        <v>4805</v>
      </c>
      <c r="C1427" s="5">
        <v>1491012</v>
      </c>
      <c r="D1427" s="5" t="s">
        <v>90</v>
      </c>
      <c r="E1427" s="3" t="s">
        <v>5516</v>
      </c>
      <c r="F1427" s="6">
        <v>60</v>
      </c>
      <c r="G1427" s="6">
        <v>56</v>
      </c>
      <c r="H1427" s="6">
        <v>50</v>
      </c>
      <c r="I1427" s="7">
        <v>32</v>
      </c>
      <c r="J1427" s="3" t="s">
        <v>4317</v>
      </c>
      <c r="K1427" s="8">
        <v>0.3</v>
      </c>
      <c r="L1427" s="9" t="s">
        <v>5497</v>
      </c>
      <c r="M1427" s="1" t="s">
        <v>6404</v>
      </c>
    </row>
    <row r="1428" spans="1:14" x14ac:dyDescent="0.3">
      <c r="A1428" s="3">
        <v>2646145</v>
      </c>
      <c r="B1428" s="4" t="s">
        <v>4805</v>
      </c>
      <c r="C1428" s="5">
        <v>1491013</v>
      </c>
      <c r="D1428" s="5" t="s">
        <v>5462</v>
      </c>
      <c r="E1428" s="3" t="s">
        <v>5516</v>
      </c>
      <c r="F1428" s="6">
        <v>60</v>
      </c>
      <c r="G1428" s="6">
        <v>56</v>
      </c>
      <c r="H1428" s="6" t="s">
        <v>14</v>
      </c>
      <c r="I1428" s="34">
        <v>0.125</v>
      </c>
      <c r="J1428" s="3" t="s">
        <v>5479</v>
      </c>
      <c r="K1428" s="8">
        <v>0.34</v>
      </c>
      <c r="L1428" s="9" t="s">
        <v>5498</v>
      </c>
      <c r="M1428" s="1" t="s">
        <v>6405</v>
      </c>
    </row>
    <row r="1429" spans="1:14" x14ac:dyDescent="0.3">
      <c r="A1429" s="27">
        <v>2639146</v>
      </c>
      <c r="B1429" s="28" t="s">
        <v>4805</v>
      </c>
      <c r="C1429" s="29">
        <v>1491014</v>
      </c>
      <c r="D1429" s="29" t="s">
        <v>3893</v>
      </c>
      <c r="E1429" s="27" t="s">
        <v>5516</v>
      </c>
      <c r="F1429" s="6" t="s">
        <v>5517</v>
      </c>
      <c r="G1429" s="6" t="s">
        <v>5518</v>
      </c>
      <c r="H1429" s="6" t="s">
        <v>14</v>
      </c>
      <c r="I1429" s="7" t="s">
        <v>5372</v>
      </c>
      <c r="J1429" s="3" t="s">
        <v>5519</v>
      </c>
      <c r="K1429" s="8" t="s">
        <v>14</v>
      </c>
      <c r="L1429" s="9" t="s">
        <v>5499</v>
      </c>
      <c r="M1429" s="1" t="s">
        <v>6406</v>
      </c>
    </row>
    <row r="1430" spans="1:14" x14ac:dyDescent="0.3">
      <c r="A1430" s="3">
        <v>2632147</v>
      </c>
      <c r="B1430" s="4" t="s">
        <v>4805</v>
      </c>
      <c r="C1430" s="5">
        <v>1495007</v>
      </c>
      <c r="D1430" s="5" t="s">
        <v>96</v>
      </c>
      <c r="E1430" s="3" t="s">
        <v>5520</v>
      </c>
      <c r="F1430" s="30">
        <v>61</v>
      </c>
      <c r="G1430" s="6">
        <v>57</v>
      </c>
      <c r="H1430" s="6">
        <v>51.3</v>
      </c>
      <c r="I1430" s="7">
        <v>32</v>
      </c>
      <c r="J1430" s="3" t="s">
        <v>4317</v>
      </c>
      <c r="K1430" s="8">
        <v>2.62</v>
      </c>
      <c r="L1430" s="9" t="s">
        <v>5500</v>
      </c>
      <c r="M1430" s="1" t="s">
        <v>6407</v>
      </c>
    </row>
    <row r="1431" spans="1:14" x14ac:dyDescent="0.3">
      <c r="A1431" s="31">
        <v>2625148</v>
      </c>
      <c r="B1431" s="32" t="s">
        <v>4805</v>
      </c>
      <c r="C1431" s="33">
        <v>1495008</v>
      </c>
      <c r="D1431" s="33" t="s">
        <v>4792</v>
      </c>
      <c r="E1431" s="31" t="s">
        <v>5520</v>
      </c>
      <c r="F1431" s="6">
        <v>60</v>
      </c>
      <c r="G1431" s="6">
        <v>56</v>
      </c>
      <c r="H1431" s="6">
        <v>50</v>
      </c>
      <c r="I1431" s="7">
        <v>32</v>
      </c>
      <c r="J1431" s="3" t="s">
        <v>4317</v>
      </c>
      <c r="K1431" s="8">
        <v>0.3</v>
      </c>
      <c r="L1431" s="9" t="s">
        <v>5501</v>
      </c>
      <c r="M1431" s="1" t="s">
        <v>6408</v>
      </c>
    </row>
    <row r="1432" spans="1:14" x14ac:dyDescent="0.3">
      <c r="A1432" s="3">
        <v>2618149</v>
      </c>
      <c r="B1432" s="4" t="s">
        <v>4805</v>
      </c>
      <c r="C1432" s="5">
        <v>1495009</v>
      </c>
      <c r="D1432" s="5" t="s">
        <v>5462</v>
      </c>
      <c r="E1432" s="3" t="s">
        <v>5520</v>
      </c>
      <c r="F1432" s="6">
        <v>60</v>
      </c>
      <c r="G1432" s="6">
        <v>56</v>
      </c>
      <c r="H1432" s="6" t="s">
        <v>14</v>
      </c>
      <c r="I1432" s="34">
        <v>0.125</v>
      </c>
      <c r="J1432" s="3" t="s">
        <v>4731</v>
      </c>
      <c r="K1432" s="8">
        <v>0.34</v>
      </c>
      <c r="L1432" s="9" t="s">
        <v>5502</v>
      </c>
      <c r="M1432" s="1" t="s">
        <v>6409</v>
      </c>
    </row>
    <row r="1433" spans="1:14" x14ac:dyDescent="0.3">
      <c r="A1433" s="3">
        <v>2611150</v>
      </c>
      <c r="B1433" s="4" t="s">
        <v>4805</v>
      </c>
      <c r="C1433" s="5">
        <v>1495010</v>
      </c>
      <c r="D1433" s="5" t="s">
        <v>3893</v>
      </c>
      <c r="E1433" s="3" t="s">
        <v>5520</v>
      </c>
      <c r="F1433" s="6" t="s">
        <v>5517</v>
      </c>
      <c r="G1433" s="6" t="s">
        <v>5518</v>
      </c>
      <c r="H1433" s="6" t="s">
        <v>14</v>
      </c>
      <c r="I1433" s="7" t="s">
        <v>5521</v>
      </c>
      <c r="J1433" s="3" t="s">
        <v>5519</v>
      </c>
      <c r="K1433" s="8" t="s">
        <v>14</v>
      </c>
      <c r="L1433" s="9" t="s">
        <v>5503</v>
      </c>
      <c r="M1433" s="1" t="s">
        <v>6410</v>
      </c>
    </row>
    <row r="1434" spans="1:14" x14ac:dyDescent="0.3">
      <c r="A1434" s="3">
        <v>2604151</v>
      </c>
      <c r="B1434" s="4" t="s">
        <v>4805</v>
      </c>
      <c r="C1434" s="5">
        <v>1496007</v>
      </c>
      <c r="D1434" s="5" t="s">
        <v>96</v>
      </c>
      <c r="E1434" s="3" t="s">
        <v>5522</v>
      </c>
      <c r="F1434" s="6">
        <v>61</v>
      </c>
      <c r="G1434" s="6">
        <v>57</v>
      </c>
      <c r="H1434" s="6">
        <v>31.3</v>
      </c>
      <c r="I1434" s="7">
        <v>32</v>
      </c>
      <c r="J1434" s="3" t="s">
        <v>4317</v>
      </c>
      <c r="K1434" s="8">
        <v>2.14</v>
      </c>
      <c r="L1434" s="9" t="s">
        <v>5504</v>
      </c>
      <c r="M1434" s="1" t="s">
        <v>6411</v>
      </c>
    </row>
    <row r="1435" spans="1:14" x14ac:dyDescent="0.3">
      <c r="A1435" s="3">
        <v>2597152</v>
      </c>
      <c r="B1435" s="4" t="s">
        <v>4805</v>
      </c>
      <c r="C1435" s="5">
        <v>1496008</v>
      </c>
      <c r="D1435" s="5" t="s">
        <v>90</v>
      </c>
      <c r="E1435" s="3" t="s">
        <v>5522</v>
      </c>
      <c r="F1435" s="6">
        <v>60</v>
      </c>
      <c r="G1435" s="6">
        <v>56</v>
      </c>
      <c r="H1435" s="6">
        <v>30</v>
      </c>
      <c r="I1435" s="7">
        <v>32</v>
      </c>
      <c r="J1435" s="3" t="s">
        <v>4317</v>
      </c>
      <c r="K1435" s="8">
        <v>0.18</v>
      </c>
      <c r="L1435" s="9" t="s">
        <v>5505</v>
      </c>
      <c r="M1435" s="1" t="s">
        <v>6412</v>
      </c>
    </row>
    <row r="1436" spans="1:14" x14ac:dyDescent="0.3">
      <c r="A1436" s="3">
        <v>2590153</v>
      </c>
      <c r="B1436" s="4" t="s">
        <v>4805</v>
      </c>
      <c r="C1436" s="5">
        <v>1496009</v>
      </c>
      <c r="D1436" s="5" t="s">
        <v>5462</v>
      </c>
      <c r="E1436" s="3" t="s">
        <v>5522</v>
      </c>
      <c r="F1436" s="6">
        <v>60</v>
      </c>
      <c r="G1436" s="6">
        <v>56</v>
      </c>
      <c r="H1436" s="6" t="s">
        <v>14</v>
      </c>
      <c r="I1436" s="34">
        <v>0.125</v>
      </c>
      <c r="J1436" s="3" t="s">
        <v>5479</v>
      </c>
      <c r="K1436" s="8" t="s">
        <v>14</v>
      </c>
      <c r="L1436" s="9" t="s">
        <v>5506</v>
      </c>
      <c r="M1436" s="1" t="s">
        <v>6413</v>
      </c>
    </row>
    <row r="1437" spans="1:14" x14ac:dyDescent="0.3">
      <c r="A1437" s="3">
        <v>2583154</v>
      </c>
      <c r="B1437" s="4" t="s">
        <v>4805</v>
      </c>
      <c r="C1437" s="5">
        <v>1496010</v>
      </c>
      <c r="D1437" s="5" t="s">
        <v>3893</v>
      </c>
      <c r="E1437" s="3" t="s">
        <v>5522</v>
      </c>
      <c r="F1437" s="6" t="s">
        <v>5517</v>
      </c>
      <c r="G1437" s="6" t="s">
        <v>5518</v>
      </c>
      <c r="H1437" s="6" t="s">
        <v>14</v>
      </c>
      <c r="I1437" s="7" t="s">
        <v>5521</v>
      </c>
      <c r="J1437" s="3" t="s">
        <v>5519</v>
      </c>
      <c r="K1437" s="8" t="s">
        <v>14</v>
      </c>
      <c r="L1437" s="9" t="s">
        <v>5507</v>
      </c>
      <c r="M1437" s="1" t="s">
        <v>6414</v>
      </c>
    </row>
    <row r="1438" spans="1:14" x14ac:dyDescent="0.3">
      <c r="A1438" s="3">
        <v>2576155</v>
      </c>
      <c r="B1438" s="4" t="s">
        <v>4805</v>
      </c>
      <c r="C1438" s="5">
        <v>1492008</v>
      </c>
      <c r="D1438" s="5" t="s">
        <v>96</v>
      </c>
      <c r="E1438" s="3" t="s">
        <v>5523</v>
      </c>
      <c r="F1438" s="6">
        <v>96.5</v>
      </c>
      <c r="G1438" s="6">
        <v>61</v>
      </c>
      <c r="H1438" s="6">
        <v>31.7</v>
      </c>
      <c r="I1438" s="7">
        <v>42</v>
      </c>
      <c r="J1438" s="3" t="s">
        <v>4318</v>
      </c>
      <c r="K1438" s="8">
        <v>2.99</v>
      </c>
      <c r="L1438" s="9" t="s">
        <v>5508</v>
      </c>
      <c r="M1438" s="1" t="s">
        <v>6415</v>
      </c>
    </row>
    <row r="1439" spans="1:14" x14ac:dyDescent="0.3">
      <c r="A1439" s="3">
        <v>2569156</v>
      </c>
      <c r="B1439" s="4" t="s">
        <v>4805</v>
      </c>
      <c r="C1439" s="5">
        <v>1491009</v>
      </c>
      <c r="D1439" s="5" t="s">
        <v>90</v>
      </c>
      <c r="E1439" s="3" t="s">
        <v>5523</v>
      </c>
      <c r="F1439" s="6">
        <v>95</v>
      </c>
      <c r="G1439" s="6">
        <v>59.5</v>
      </c>
      <c r="H1439" s="6">
        <v>14.6</v>
      </c>
      <c r="I1439" s="7">
        <v>32</v>
      </c>
      <c r="J1439" s="3" t="s">
        <v>4317</v>
      </c>
      <c r="K1439" s="8">
        <v>0.14000000000000001</v>
      </c>
      <c r="L1439" s="9" t="s">
        <v>5509</v>
      </c>
      <c r="M1439" s="1" t="s">
        <v>6416</v>
      </c>
    </row>
    <row r="1440" spans="1:14" x14ac:dyDescent="0.3">
      <c r="A1440" s="3">
        <v>2562157</v>
      </c>
      <c r="B1440" s="4" t="s">
        <v>4805</v>
      </c>
      <c r="C1440" s="5">
        <v>1492010</v>
      </c>
      <c r="D1440" s="5" t="s">
        <v>5462</v>
      </c>
      <c r="E1440" s="3" t="s">
        <v>5523</v>
      </c>
      <c r="F1440" s="6">
        <v>95</v>
      </c>
      <c r="G1440" s="6">
        <v>59.5</v>
      </c>
      <c r="H1440" s="6" t="s">
        <v>14</v>
      </c>
      <c r="I1440" s="34">
        <v>0.125</v>
      </c>
      <c r="J1440" s="3" t="s">
        <v>5479</v>
      </c>
      <c r="K1440" s="8">
        <v>0.56999999999999995</v>
      </c>
      <c r="L1440" s="9" t="s">
        <v>5510</v>
      </c>
      <c r="M1440" s="1" t="s">
        <v>6417</v>
      </c>
    </row>
    <row r="1441" spans="1:14" x14ac:dyDescent="0.3">
      <c r="A1441" s="3">
        <v>2555158</v>
      </c>
      <c r="B1441" s="4" t="s">
        <v>4805</v>
      </c>
      <c r="C1441" s="5">
        <v>1492011</v>
      </c>
      <c r="D1441" s="5" t="s">
        <v>74</v>
      </c>
      <c r="E1441" s="3" t="s">
        <v>5523</v>
      </c>
      <c r="F1441" s="6">
        <v>95</v>
      </c>
      <c r="G1441" s="6">
        <v>59.5</v>
      </c>
      <c r="H1441" s="6" t="s">
        <v>14</v>
      </c>
      <c r="I1441" s="7">
        <v>32</v>
      </c>
      <c r="J1441" s="3" t="s">
        <v>4317</v>
      </c>
      <c r="K1441" s="8">
        <v>0.56999999999999995</v>
      </c>
      <c r="L1441" s="9" t="s">
        <v>5511</v>
      </c>
      <c r="M1441" s="1" t="s">
        <v>6418</v>
      </c>
    </row>
    <row r="1442" spans="1:14" x14ac:dyDescent="0.3">
      <c r="A1442" s="3">
        <v>2548159</v>
      </c>
      <c r="B1442" s="4" t="s">
        <v>4805</v>
      </c>
      <c r="C1442" s="5">
        <v>1492012</v>
      </c>
      <c r="D1442" s="5" t="s">
        <v>3893</v>
      </c>
      <c r="E1442" s="3" t="s">
        <v>5523</v>
      </c>
      <c r="F1442" s="6" t="s">
        <v>5517</v>
      </c>
      <c r="G1442" s="6" t="s">
        <v>5524</v>
      </c>
      <c r="H1442" s="6" t="s">
        <v>14</v>
      </c>
      <c r="I1442" s="7" t="s">
        <v>5525</v>
      </c>
      <c r="J1442" s="3" t="s">
        <v>5519</v>
      </c>
      <c r="K1442" s="8" t="s">
        <v>14</v>
      </c>
      <c r="L1442" s="9" t="s">
        <v>5512</v>
      </c>
      <c r="M1442" s="1" t="s">
        <v>6419</v>
      </c>
    </row>
    <row r="1443" spans="1:14" x14ac:dyDescent="0.3">
      <c r="A1443" s="3">
        <v>2541160</v>
      </c>
      <c r="B1443" s="4" t="s">
        <v>4805</v>
      </c>
      <c r="C1443" s="5">
        <v>149005</v>
      </c>
      <c r="D1443" s="5" t="s">
        <v>96</v>
      </c>
      <c r="E1443" s="3" t="s">
        <v>5526</v>
      </c>
      <c r="F1443" s="6">
        <v>114.5</v>
      </c>
      <c r="G1443" s="6">
        <v>61</v>
      </c>
      <c r="H1443" s="6">
        <v>39.700000000000003</v>
      </c>
      <c r="I1443" s="7">
        <v>42</v>
      </c>
      <c r="J1443" s="3" t="s">
        <v>4318</v>
      </c>
      <c r="K1443" s="8">
        <v>3.61</v>
      </c>
      <c r="L1443" s="9" t="s">
        <v>5513</v>
      </c>
      <c r="M1443" s="1" t="s">
        <v>6420</v>
      </c>
    </row>
    <row r="1444" spans="1:14" x14ac:dyDescent="0.3">
      <c r="A1444" s="3">
        <v>2534161</v>
      </c>
      <c r="B1444" s="4" t="s">
        <v>4805</v>
      </c>
      <c r="C1444" s="5">
        <v>149006</v>
      </c>
      <c r="D1444" s="5" t="s">
        <v>90</v>
      </c>
      <c r="E1444" s="3" t="s">
        <v>5526</v>
      </c>
      <c r="F1444" s="6">
        <v>113</v>
      </c>
      <c r="G1444" s="6">
        <v>59.5</v>
      </c>
      <c r="H1444" s="6" t="s">
        <v>14</v>
      </c>
      <c r="I1444" s="7">
        <v>32</v>
      </c>
      <c r="J1444" s="3" t="s">
        <v>4317</v>
      </c>
      <c r="K1444" s="8">
        <v>0.42</v>
      </c>
      <c r="L1444" s="9" t="s">
        <v>5514</v>
      </c>
      <c r="M1444" s="1" t="s">
        <v>6421</v>
      </c>
    </row>
    <row r="1445" spans="1:14" x14ac:dyDescent="0.3">
      <c r="A1445" s="3">
        <v>2527162</v>
      </c>
      <c r="B1445" s="4" t="s">
        <v>4805</v>
      </c>
      <c r="C1445" s="5">
        <v>1494007</v>
      </c>
      <c r="D1445" s="5" t="s">
        <v>74</v>
      </c>
      <c r="E1445" s="3" t="s">
        <v>5526</v>
      </c>
      <c r="F1445" s="6">
        <v>113</v>
      </c>
      <c r="G1445" s="6">
        <v>59.5</v>
      </c>
      <c r="H1445" s="6" t="s">
        <v>14</v>
      </c>
      <c r="I1445" s="7">
        <v>32</v>
      </c>
      <c r="J1445" s="3" t="s">
        <v>4317</v>
      </c>
      <c r="K1445" s="8">
        <v>0.67</v>
      </c>
      <c r="L1445" s="9" t="s">
        <v>5515</v>
      </c>
      <c r="M1445" s="1" t="s">
        <v>6422</v>
      </c>
    </row>
    <row r="1446" spans="1:14" x14ac:dyDescent="0.3">
      <c r="A1446" s="3">
        <v>2520163</v>
      </c>
      <c r="B1446" s="4" t="s">
        <v>4805</v>
      </c>
      <c r="C1446" s="5">
        <v>1494008</v>
      </c>
      <c r="D1446" s="5" t="s">
        <v>3893</v>
      </c>
      <c r="E1446" s="3" t="s">
        <v>5526</v>
      </c>
      <c r="F1446" s="6" t="s">
        <v>5517</v>
      </c>
      <c r="G1446" s="6" t="s">
        <v>5524</v>
      </c>
      <c r="H1446" s="6" t="s">
        <v>14</v>
      </c>
      <c r="I1446" s="34">
        <v>0.125</v>
      </c>
      <c r="J1446" s="3" t="s">
        <v>5519</v>
      </c>
      <c r="K1446" s="8" t="s">
        <v>14</v>
      </c>
      <c r="L1446" s="9" t="s">
        <v>5527</v>
      </c>
      <c r="M1446" s="1" t="s">
        <v>6423</v>
      </c>
    </row>
    <row r="1447" spans="1:14" x14ac:dyDescent="0.3">
      <c r="A1447" s="3">
        <v>2513164</v>
      </c>
      <c r="B1447" s="4" t="s">
        <v>4805</v>
      </c>
      <c r="C1447" s="5">
        <v>1718000</v>
      </c>
      <c r="D1447" s="5" t="s">
        <v>154</v>
      </c>
      <c r="E1447" s="3" t="s">
        <v>5538</v>
      </c>
      <c r="F1447" s="6">
        <v>121.5</v>
      </c>
      <c r="G1447" s="6">
        <v>57</v>
      </c>
      <c r="H1447" s="6">
        <v>28.6</v>
      </c>
      <c r="I1447" s="7">
        <v>42</v>
      </c>
      <c r="J1447" s="3" t="s">
        <v>4317</v>
      </c>
      <c r="K1447" s="8">
        <v>1.06</v>
      </c>
      <c r="L1447" s="9" t="s">
        <v>5528</v>
      </c>
      <c r="M1447" s="1" t="s">
        <v>5933</v>
      </c>
      <c r="N1447" t="s">
        <v>5548</v>
      </c>
    </row>
    <row r="1448" spans="1:14" x14ac:dyDescent="0.3">
      <c r="A1448" s="3">
        <v>2506165</v>
      </c>
      <c r="B1448" s="4" t="s">
        <v>4805</v>
      </c>
      <c r="C1448" s="5">
        <v>1718001</v>
      </c>
      <c r="D1448" s="5" t="s">
        <v>90</v>
      </c>
      <c r="E1448" s="3" t="s">
        <v>5538</v>
      </c>
      <c r="F1448" s="6">
        <v>120</v>
      </c>
      <c r="G1448" s="6">
        <v>55</v>
      </c>
      <c r="H1448" s="6">
        <v>27</v>
      </c>
      <c r="I1448" s="7">
        <v>32</v>
      </c>
      <c r="J1448" s="3" t="s">
        <v>4317</v>
      </c>
      <c r="K1448" s="8">
        <v>0.45</v>
      </c>
      <c r="L1448" s="9" t="s">
        <v>5529</v>
      </c>
      <c r="M1448" s="1" t="s">
        <v>5934</v>
      </c>
      <c r="N1448" t="s">
        <v>5548</v>
      </c>
    </row>
    <row r="1449" spans="1:14" x14ac:dyDescent="0.3">
      <c r="A1449" s="3">
        <v>2499166</v>
      </c>
      <c r="B1449" s="4" t="s">
        <v>4805</v>
      </c>
      <c r="C1449" s="5">
        <v>1718002</v>
      </c>
      <c r="D1449" s="5" t="s">
        <v>5462</v>
      </c>
      <c r="E1449" s="3" t="s">
        <v>5538</v>
      </c>
      <c r="F1449" s="6">
        <v>120</v>
      </c>
      <c r="G1449" s="6">
        <v>55</v>
      </c>
      <c r="H1449" s="6" t="s">
        <v>14</v>
      </c>
      <c r="I1449" s="7" t="s">
        <v>5312</v>
      </c>
      <c r="J1449" s="3" t="s">
        <v>5479</v>
      </c>
      <c r="K1449" s="8" t="s">
        <v>14</v>
      </c>
      <c r="L1449" s="9" t="s">
        <v>5530</v>
      </c>
      <c r="M1449" s="1" t="s">
        <v>5935</v>
      </c>
    </row>
    <row r="1450" spans="1:14" x14ac:dyDescent="0.3">
      <c r="A1450" s="3">
        <v>2492167</v>
      </c>
      <c r="B1450" s="4" t="s">
        <v>4805</v>
      </c>
      <c r="C1450" s="5">
        <v>1718003</v>
      </c>
      <c r="D1450" s="5" t="s">
        <v>13</v>
      </c>
      <c r="E1450" s="3" t="s">
        <v>5538</v>
      </c>
      <c r="F1450" s="6">
        <v>123</v>
      </c>
      <c r="G1450" s="6">
        <v>58.5</v>
      </c>
      <c r="H1450" s="6">
        <v>8</v>
      </c>
      <c r="I1450" s="7">
        <v>32</v>
      </c>
      <c r="J1450" s="3" t="s">
        <v>4317</v>
      </c>
      <c r="K1450" s="8">
        <v>1.04</v>
      </c>
      <c r="L1450" s="9" t="s">
        <v>5531</v>
      </c>
      <c r="M1450" s="1" t="s">
        <v>5936</v>
      </c>
      <c r="N1450" t="s">
        <v>5548</v>
      </c>
    </row>
    <row r="1451" spans="1:14" x14ac:dyDescent="0.3">
      <c r="A1451" s="3">
        <v>2485168</v>
      </c>
      <c r="B1451" s="4" t="s">
        <v>4805</v>
      </c>
      <c r="C1451" s="5">
        <v>1718004</v>
      </c>
      <c r="D1451" s="5" t="s">
        <v>3893</v>
      </c>
      <c r="E1451" s="3" t="s">
        <v>5538</v>
      </c>
      <c r="F1451" s="6" t="s">
        <v>5544</v>
      </c>
      <c r="G1451" s="6" t="s">
        <v>5524</v>
      </c>
      <c r="H1451" s="6" t="s">
        <v>14</v>
      </c>
      <c r="I1451" s="7" t="s">
        <v>5545</v>
      </c>
      <c r="J1451" s="3" t="s">
        <v>5519</v>
      </c>
      <c r="K1451" s="8" t="s">
        <v>14</v>
      </c>
      <c r="L1451" s="9" t="s">
        <v>5532</v>
      </c>
      <c r="M1451" s="1" t="s">
        <v>5937</v>
      </c>
    </row>
    <row r="1452" spans="1:14" x14ac:dyDescent="0.3">
      <c r="A1452" s="3">
        <v>2478169</v>
      </c>
      <c r="B1452" s="4" t="s">
        <v>4805</v>
      </c>
      <c r="C1452" s="5">
        <v>1713005</v>
      </c>
      <c r="D1452" s="5" t="s">
        <v>3893</v>
      </c>
      <c r="E1452" s="3" t="s">
        <v>5460</v>
      </c>
      <c r="F1452" s="6" t="s">
        <v>5381</v>
      </c>
      <c r="G1452" s="6" t="s">
        <v>5376</v>
      </c>
      <c r="H1452" s="6"/>
      <c r="I1452" s="34" t="s">
        <v>5521</v>
      </c>
      <c r="J1452" s="3" t="s">
        <v>5519</v>
      </c>
      <c r="K1452" s="8" t="s">
        <v>14</v>
      </c>
      <c r="L1452" s="9" t="s">
        <v>5533</v>
      </c>
      <c r="M1452" s="1" t="s">
        <v>5941</v>
      </c>
      <c r="N1452" t="s">
        <v>5548</v>
      </c>
    </row>
    <row r="1453" spans="1:14" x14ac:dyDescent="0.3">
      <c r="A1453" s="3">
        <v>2471170</v>
      </c>
      <c r="B1453" s="4" t="s">
        <v>4805</v>
      </c>
      <c r="C1453" s="5">
        <v>1714005</v>
      </c>
      <c r="D1453" s="5" t="s">
        <v>3893</v>
      </c>
      <c r="E1453" s="3" t="s">
        <v>5464</v>
      </c>
      <c r="F1453" s="6" t="s">
        <v>5536</v>
      </c>
      <c r="G1453" s="6" t="s">
        <v>5537</v>
      </c>
      <c r="H1453" s="6" t="s">
        <v>14</v>
      </c>
      <c r="I1453" s="34" t="s">
        <v>5372</v>
      </c>
      <c r="J1453" s="3" t="s">
        <v>5519</v>
      </c>
      <c r="K1453" s="8" t="s">
        <v>14</v>
      </c>
      <c r="L1453" s="9" t="s">
        <v>5534</v>
      </c>
      <c r="M1453" s="1" t="s">
        <v>6339</v>
      </c>
    </row>
    <row r="1454" spans="1:14" x14ac:dyDescent="0.3">
      <c r="A1454" s="3">
        <v>2464171</v>
      </c>
      <c r="B1454" s="4" t="s">
        <v>4805</v>
      </c>
      <c r="C1454" s="5">
        <v>1714006</v>
      </c>
      <c r="D1454" s="5" t="s">
        <v>23</v>
      </c>
      <c r="E1454" s="3" t="s">
        <v>5464</v>
      </c>
      <c r="F1454" s="6">
        <v>66</v>
      </c>
      <c r="G1454" s="6">
        <v>48.5</v>
      </c>
      <c r="H1454" s="6">
        <v>33.299999999999997</v>
      </c>
      <c r="I1454" s="7">
        <v>32</v>
      </c>
      <c r="J1454" s="3" t="s">
        <v>4317</v>
      </c>
      <c r="K1454" s="8">
        <v>1.35</v>
      </c>
      <c r="L1454" s="9" t="s">
        <v>5535</v>
      </c>
      <c r="M1454" s="1" t="s">
        <v>5942</v>
      </c>
      <c r="N1454" t="s">
        <v>5548</v>
      </c>
    </row>
    <row r="1455" spans="1:14" x14ac:dyDescent="0.3">
      <c r="A1455" s="3">
        <v>2464172</v>
      </c>
      <c r="B1455" s="4" t="s">
        <v>4805</v>
      </c>
      <c r="C1455" s="5">
        <v>1714011</v>
      </c>
      <c r="D1455" s="5" t="s">
        <v>3893</v>
      </c>
      <c r="E1455" s="3" t="s">
        <v>5464</v>
      </c>
      <c r="F1455" s="6" t="s">
        <v>5373</v>
      </c>
      <c r="G1455" s="6" t="s">
        <v>5518</v>
      </c>
      <c r="H1455" s="6" t="s">
        <v>14</v>
      </c>
      <c r="I1455" s="34" t="s">
        <v>5372</v>
      </c>
      <c r="J1455" s="3" t="s">
        <v>5519</v>
      </c>
      <c r="K1455" s="8" t="s">
        <v>14</v>
      </c>
      <c r="L1455" s="9" t="s">
        <v>5539</v>
      </c>
      <c r="M1455" s="1" t="s">
        <v>5946</v>
      </c>
      <c r="N1455" t="s">
        <v>5548</v>
      </c>
    </row>
    <row r="1456" spans="1:14" x14ac:dyDescent="0.3">
      <c r="A1456" s="3">
        <v>2464173</v>
      </c>
      <c r="B1456" s="4" t="s">
        <v>4805</v>
      </c>
      <c r="C1456" s="5">
        <v>1719002</v>
      </c>
      <c r="D1456" s="5" t="s">
        <v>154</v>
      </c>
      <c r="E1456" s="3" t="s">
        <v>5543</v>
      </c>
      <c r="F1456" s="6">
        <v>115</v>
      </c>
      <c r="G1456" s="6">
        <v>30.5</v>
      </c>
      <c r="H1456" s="6">
        <v>30.7</v>
      </c>
      <c r="I1456" s="7">
        <v>42</v>
      </c>
      <c r="J1456" s="3" t="s">
        <v>4318</v>
      </c>
      <c r="K1456" s="8">
        <v>1.84</v>
      </c>
      <c r="L1456" s="9" t="s">
        <v>5540</v>
      </c>
      <c r="M1456" s="1" t="s">
        <v>5947</v>
      </c>
      <c r="N1456" t="s">
        <v>5548</v>
      </c>
    </row>
    <row r="1457" spans="1:14" x14ac:dyDescent="0.3">
      <c r="A1457" s="3">
        <v>2464174</v>
      </c>
      <c r="B1457" s="4" t="s">
        <v>4805</v>
      </c>
      <c r="C1457" s="5" t="s">
        <v>6141</v>
      </c>
      <c r="D1457" s="5" t="s">
        <v>13</v>
      </c>
      <c r="E1457" s="3" t="s">
        <v>5543</v>
      </c>
      <c r="F1457" s="6">
        <v>115.5</v>
      </c>
      <c r="G1457" s="6">
        <v>31.5</v>
      </c>
      <c r="H1457" s="6">
        <v>8</v>
      </c>
      <c r="I1457" s="7">
        <v>32</v>
      </c>
      <c r="J1457" s="3" t="s">
        <v>4317</v>
      </c>
      <c r="K1457" s="8">
        <v>0.62</v>
      </c>
      <c r="L1457" s="9" t="s">
        <v>5541</v>
      </c>
      <c r="M1457" s="1" t="s">
        <v>5948</v>
      </c>
      <c r="N1457" t="s">
        <v>5548</v>
      </c>
    </row>
    <row r="1458" spans="1:14" x14ac:dyDescent="0.3">
      <c r="A1458" s="3">
        <v>2464175</v>
      </c>
      <c r="B1458" s="4" t="s">
        <v>4805</v>
      </c>
      <c r="C1458" s="5">
        <v>1719004</v>
      </c>
      <c r="D1458" s="5" t="s">
        <v>5461</v>
      </c>
      <c r="E1458" s="3" t="s">
        <v>5543</v>
      </c>
      <c r="F1458" s="6">
        <v>113</v>
      </c>
      <c r="G1458" s="6">
        <v>29</v>
      </c>
      <c r="H1458" s="6" t="s">
        <v>14</v>
      </c>
      <c r="I1458" s="7" t="s">
        <v>5312</v>
      </c>
      <c r="J1458" s="3" t="s">
        <v>5519</v>
      </c>
      <c r="K1458" s="8" t="s">
        <v>14</v>
      </c>
      <c r="L1458" s="9" t="s">
        <v>5542</v>
      </c>
      <c r="M1458" s="1" t="s">
        <v>5949</v>
      </c>
      <c r="N1458" t="s">
        <v>5548</v>
      </c>
    </row>
    <row r="1459" spans="1:14" x14ac:dyDescent="0.3">
      <c r="A1459" s="3">
        <v>2464176</v>
      </c>
      <c r="B1459" s="4" t="s">
        <v>4805</v>
      </c>
      <c r="C1459" s="5">
        <v>1041010</v>
      </c>
      <c r="D1459" s="5" t="s">
        <v>23</v>
      </c>
      <c r="E1459" s="3" t="s">
        <v>5680</v>
      </c>
      <c r="F1459" s="6">
        <v>75.599999999999994</v>
      </c>
      <c r="G1459" s="6">
        <v>34</v>
      </c>
      <c r="H1459" s="6">
        <v>17.5</v>
      </c>
      <c r="I1459" s="7">
        <v>32</v>
      </c>
      <c r="J1459" s="3" t="s">
        <v>4317</v>
      </c>
      <c r="K1459" s="8">
        <v>0.8</v>
      </c>
      <c r="L1459" s="9" t="s">
        <v>5681</v>
      </c>
      <c r="M1459" s="1" t="s">
        <v>5697</v>
      </c>
      <c r="N1459" t="s">
        <v>5548</v>
      </c>
    </row>
    <row r="1460" spans="1:14" x14ac:dyDescent="0.3">
      <c r="A1460" s="3">
        <v>2464177</v>
      </c>
      <c r="B1460" s="4" t="s">
        <v>4805</v>
      </c>
      <c r="C1460" s="5">
        <v>1041012</v>
      </c>
      <c r="D1460" s="5" t="s">
        <v>90</v>
      </c>
      <c r="E1460" s="3" t="s">
        <v>14</v>
      </c>
      <c r="F1460" s="6">
        <v>74.5</v>
      </c>
      <c r="G1460" s="6">
        <v>34</v>
      </c>
      <c r="H1460" s="6">
        <v>8</v>
      </c>
      <c r="I1460" s="7">
        <v>32</v>
      </c>
      <c r="J1460" s="3" t="s">
        <v>4317</v>
      </c>
      <c r="K1460" s="8">
        <v>0.06</v>
      </c>
      <c r="L1460" s="9" t="s">
        <v>5682</v>
      </c>
      <c r="M1460" s="1" t="s">
        <v>5699</v>
      </c>
      <c r="N1460" t="s">
        <v>5548</v>
      </c>
    </row>
    <row r="1461" spans="1:14" x14ac:dyDescent="0.3">
      <c r="A1461" s="3">
        <v>2464178</v>
      </c>
      <c r="B1461" s="4" t="s">
        <v>4805</v>
      </c>
      <c r="C1461" s="5">
        <v>1041013</v>
      </c>
      <c r="D1461" s="5" t="s">
        <v>13</v>
      </c>
      <c r="E1461" s="3" t="s">
        <v>5432</v>
      </c>
      <c r="F1461" s="6">
        <v>76.900000000000006</v>
      </c>
      <c r="G1461" s="6">
        <v>35.299999999999997</v>
      </c>
      <c r="H1461" s="6">
        <v>6.5</v>
      </c>
      <c r="I1461" s="7">
        <v>32</v>
      </c>
      <c r="J1461" s="3" t="s">
        <v>4317</v>
      </c>
      <c r="K1461" s="8">
        <v>2.2000000000000002</v>
      </c>
      <c r="L1461" s="9" t="s">
        <v>5683</v>
      </c>
      <c r="M1461" s="1" t="s">
        <v>5700</v>
      </c>
      <c r="N1461" t="s">
        <v>5548</v>
      </c>
    </row>
    <row r="1462" spans="1:14" x14ac:dyDescent="0.3">
      <c r="A1462" s="3">
        <v>2464179</v>
      </c>
      <c r="B1462" s="4" t="s">
        <v>4805</v>
      </c>
      <c r="C1462" s="5">
        <v>1042006</v>
      </c>
      <c r="D1462" s="5" t="s">
        <v>90</v>
      </c>
      <c r="E1462" s="3" t="s">
        <v>14</v>
      </c>
      <c r="F1462" s="6">
        <v>75.5</v>
      </c>
      <c r="G1462" s="6">
        <v>33</v>
      </c>
      <c r="H1462" s="6">
        <v>5.5</v>
      </c>
      <c r="I1462" s="7">
        <v>32</v>
      </c>
      <c r="J1462" s="3" t="s">
        <v>4317</v>
      </c>
      <c r="K1462" s="8">
        <v>0.04</v>
      </c>
      <c r="L1462" s="9" t="s">
        <v>5684</v>
      </c>
      <c r="M1462" s="1" t="s">
        <v>5701</v>
      </c>
      <c r="N1462" t="s">
        <v>5548</v>
      </c>
    </row>
    <row r="1463" spans="1:14" x14ac:dyDescent="0.3">
      <c r="A1463" s="3">
        <v>2464180</v>
      </c>
      <c r="B1463" s="4" t="s">
        <v>4805</v>
      </c>
      <c r="C1463" s="5">
        <v>1130775</v>
      </c>
      <c r="D1463" s="5" t="s">
        <v>3893</v>
      </c>
      <c r="E1463" s="3" t="s">
        <v>5702</v>
      </c>
      <c r="F1463" s="6" t="s">
        <v>5544</v>
      </c>
      <c r="G1463" s="6" t="s">
        <v>5517</v>
      </c>
      <c r="H1463" s="6" t="s">
        <v>14</v>
      </c>
      <c r="I1463" s="7" t="s">
        <v>5525</v>
      </c>
      <c r="J1463" s="3" t="s">
        <v>5519</v>
      </c>
      <c r="K1463" s="8" t="s">
        <v>14</v>
      </c>
      <c r="L1463" s="9" t="s">
        <v>5685</v>
      </c>
      <c r="M1463" s="1" t="s">
        <v>5703</v>
      </c>
      <c r="N1463" t="s">
        <v>5548</v>
      </c>
    </row>
    <row r="1464" spans="1:14" x14ac:dyDescent="0.3">
      <c r="A1464" s="3">
        <v>2464181</v>
      </c>
      <c r="B1464" s="4" t="s">
        <v>4805</v>
      </c>
      <c r="C1464" s="5">
        <v>1148035</v>
      </c>
      <c r="D1464" s="5" t="s">
        <v>23</v>
      </c>
      <c r="E1464" s="3" t="s">
        <v>5704</v>
      </c>
      <c r="F1464" s="6">
        <v>60.5</v>
      </c>
      <c r="G1464" s="6">
        <v>60.5</v>
      </c>
      <c r="H1464" s="6">
        <v>48.7</v>
      </c>
      <c r="I1464" s="7">
        <v>32</v>
      </c>
      <c r="J1464" s="3" t="s">
        <v>4317</v>
      </c>
      <c r="K1464" s="8">
        <v>2</v>
      </c>
      <c r="L1464" s="9" t="s">
        <v>5686</v>
      </c>
      <c r="M1464" s="1" t="s">
        <v>5705</v>
      </c>
      <c r="N1464" t="s">
        <v>5548</v>
      </c>
    </row>
    <row r="1465" spans="1:14" x14ac:dyDescent="0.3">
      <c r="A1465" s="3">
        <v>2464182</v>
      </c>
      <c r="B1465" s="4" t="s">
        <v>4805</v>
      </c>
      <c r="C1465" s="5">
        <v>1148037</v>
      </c>
      <c r="D1465" s="5" t="s">
        <v>13</v>
      </c>
      <c r="E1465" s="3" t="s">
        <v>5708</v>
      </c>
      <c r="F1465" s="6">
        <v>62.5</v>
      </c>
      <c r="G1465" s="6">
        <v>62.5</v>
      </c>
      <c r="H1465" s="6">
        <v>10.5</v>
      </c>
      <c r="I1465" s="7">
        <v>32</v>
      </c>
      <c r="J1465" s="3" t="s">
        <v>4317</v>
      </c>
      <c r="K1465" s="8">
        <v>1.7</v>
      </c>
      <c r="L1465" s="9" t="s">
        <v>5687</v>
      </c>
      <c r="M1465" s="1" t="s">
        <v>5709</v>
      </c>
      <c r="N1465" t="s">
        <v>5548</v>
      </c>
    </row>
    <row r="1466" spans="1:14" x14ac:dyDescent="0.3">
      <c r="A1466" s="3">
        <v>2464183</v>
      </c>
      <c r="B1466" s="4" t="s">
        <v>4805</v>
      </c>
      <c r="C1466" s="5">
        <v>1148038</v>
      </c>
      <c r="D1466" s="5" t="s">
        <v>23</v>
      </c>
      <c r="E1466" s="3" t="s">
        <v>5710</v>
      </c>
      <c r="F1466" s="6">
        <v>60.5</v>
      </c>
      <c r="G1466" s="6">
        <v>60.5</v>
      </c>
      <c r="H1466" s="6">
        <v>41.2</v>
      </c>
      <c r="I1466" s="7">
        <v>32</v>
      </c>
      <c r="J1466" s="3" t="s">
        <v>4317</v>
      </c>
      <c r="K1466" s="8">
        <v>1.8</v>
      </c>
      <c r="L1466" s="9" t="s">
        <v>5688</v>
      </c>
      <c r="M1466" s="1" t="s">
        <v>5711</v>
      </c>
      <c r="N1466" t="s">
        <v>5548</v>
      </c>
    </row>
    <row r="1467" spans="1:14" x14ac:dyDescent="0.3">
      <c r="A1467" s="3">
        <v>2464184</v>
      </c>
      <c r="B1467" s="4" t="s">
        <v>4805</v>
      </c>
      <c r="C1467" s="5">
        <v>1148039</v>
      </c>
      <c r="D1467" s="5" t="s">
        <v>90</v>
      </c>
      <c r="E1467" s="3" t="s">
        <v>5712</v>
      </c>
      <c r="F1467" s="6">
        <v>60</v>
      </c>
      <c r="G1467" s="6">
        <v>60</v>
      </c>
      <c r="H1467" s="6">
        <v>40</v>
      </c>
      <c r="I1467" s="7">
        <v>32</v>
      </c>
      <c r="J1467" s="3" t="s">
        <v>4317</v>
      </c>
      <c r="K1467" s="8">
        <f>0.24 *2</f>
        <v>0.48</v>
      </c>
      <c r="L1467" s="9" t="s">
        <v>5689</v>
      </c>
      <c r="M1467" s="1" t="s">
        <v>5713</v>
      </c>
      <c r="N1467" t="s">
        <v>5548</v>
      </c>
    </row>
    <row r="1468" spans="1:14" x14ac:dyDescent="0.3">
      <c r="A1468" s="3">
        <v>2464185</v>
      </c>
      <c r="B1468" s="4" t="s">
        <v>4805</v>
      </c>
      <c r="C1468" s="5">
        <v>1149047</v>
      </c>
      <c r="D1468" s="5" t="s">
        <v>23</v>
      </c>
      <c r="E1468" s="3" t="s">
        <v>5714</v>
      </c>
      <c r="F1468" s="6">
        <v>60.5</v>
      </c>
      <c r="G1468" s="6">
        <v>50.5</v>
      </c>
      <c r="H1468" s="6">
        <v>49.5</v>
      </c>
      <c r="I1468" s="7">
        <v>32</v>
      </c>
      <c r="J1468" s="3" t="s">
        <v>4317</v>
      </c>
      <c r="K1468" s="8">
        <v>1.7</v>
      </c>
      <c r="L1468" s="9" t="s">
        <v>5690</v>
      </c>
      <c r="M1468" s="1" t="s">
        <v>5715</v>
      </c>
      <c r="N1468" t="s">
        <v>5548</v>
      </c>
    </row>
    <row r="1469" spans="1:14" x14ac:dyDescent="0.3">
      <c r="A1469" s="3">
        <v>2464186</v>
      </c>
      <c r="B1469" s="4" t="s">
        <v>4805</v>
      </c>
      <c r="C1469" s="5">
        <v>1149049</v>
      </c>
      <c r="D1469" s="5" t="s">
        <v>13</v>
      </c>
      <c r="E1469" s="3" t="s">
        <v>5716</v>
      </c>
      <c r="F1469" s="6">
        <v>62</v>
      </c>
      <c r="G1469" s="6">
        <v>52</v>
      </c>
      <c r="H1469" s="6">
        <v>10.5</v>
      </c>
      <c r="I1469" s="7">
        <v>32</v>
      </c>
      <c r="J1469" s="3" t="s">
        <v>4317</v>
      </c>
      <c r="K1469" s="8">
        <v>1.6</v>
      </c>
      <c r="L1469" s="9" t="s">
        <v>5691</v>
      </c>
      <c r="M1469" s="1" t="s">
        <v>5717</v>
      </c>
      <c r="N1469" t="s">
        <v>5548</v>
      </c>
    </row>
    <row r="1470" spans="1:14" x14ac:dyDescent="0.3">
      <c r="A1470" s="3">
        <v>2464187</v>
      </c>
      <c r="B1470" s="4" t="s">
        <v>4805</v>
      </c>
      <c r="C1470" s="5">
        <v>1149050</v>
      </c>
      <c r="D1470" s="5" t="s">
        <v>154</v>
      </c>
      <c r="E1470" s="3" t="s">
        <v>5718</v>
      </c>
      <c r="F1470" s="6">
        <v>60.5</v>
      </c>
      <c r="G1470" s="6">
        <v>50.5</v>
      </c>
      <c r="H1470" s="6">
        <v>62</v>
      </c>
      <c r="I1470" s="7">
        <v>32</v>
      </c>
      <c r="J1470" s="3" t="s">
        <v>4317</v>
      </c>
      <c r="K1470" s="8">
        <v>2</v>
      </c>
      <c r="L1470" s="9" t="s">
        <v>5692</v>
      </c>
      <c r="M1470" s="1" t="s">
        <v>5719</v>
      </c>
      <c r="N1470" t="s">
        <v>5548</v>
      </c>
    </row>
    <row r="1471" spans="1:14" x14ac:dyDescent="0.3">
      <c r="A1471" s="3">
        <v>2464188</v>
      </c>
      <c r="B1471" s="4" t="s">
        <v>4805</v>
      </c>
      <c r="C1471" s="5">
        <v>1149068</v>
      </c>
      <c r="D1471" s="5" t="s">
        <v>90</v>
      </c>
      <c r="E1471" s="3" t="s">
        <v>14</v>
      </c>
      <c r="F1471" s="6">
        <v>60</v>
      </c>
      <c r="G1471" s="6">
        <v>50</v>
      </c>
      <c r="H1471" s="6">
        <v>49</v>
      </c>
      <c r="I1471" s="7">
        <v>32</v>
      </c>
      <c r="J1471" s="3" t="s">
        <v>4317</v>
      </c>
      <c r="K1471" s="8">
        <v>0.25</v>
      </c>
      <c r="L1471" s="9" t="s">
        <v>5693</v>
      </c>
      <c r="M1471" s="1" t="s">
        <v>5720</v>
      </c>
      <c r="N1471" t="s">
        <v>5548</v>
      </c>
    </row>
    <row r="1472" spans="1:14" x14ac:dyDescent="0.3">
      <c r="A1472" s="3">
        <v>2464189</v>
      </c>
      <c r="B1472" s="4" t="s">
        <v>4805</v>
      </c>
      <c r="C1472" s="5">
        <v>1149069</v>
      </c>
      <c r="D1472" s="5" t="s">
        <v>90</v>
      </c>
      <c r="E1472" s="3" t="s">
        <v>5721</v>
      </c>
      <c r="F1472" s="6">
        <v>50</v>
      </c>
      <c r="G1472" s="6">
        <v>60</v>
      </c>
      <c r="H1472" s="6">
        <v>61.5</v>
      </c>
      <c r="I1472" s="7">
        <v>32</v>
      </c>
      <c r="J1472" s="3" t="s">
        <v>4317</v>
      </c>
      <c r="K1472" s="8">
        <v>0.31</v>
      </c>
      <c r="L1472" s="9" t="s">
        <v>5694</v>
      </c>
      <c r="M1472" s="1" t="s">
        <v>5722</v>
      </c>
      <c r="N1472" t="s">
        <v>5548</v>
      </c>
    </row>
    <row r="1473" spans="1:14" x14ac:dyDescent="0.3">
      <c r="A1473" s="3">
        <v>2464190</v>
      </c>
      <c r="B1473" s="4" t="s">
        <v>4805</v>
      </c>
      <c r="C1473" s="5">
        <v>1228013</v>
      </c>
      <c r="D1473" s="5" t="s">
        <v>90</v>
      </c>
      <c r="E1473" s="3" t="s">
        <v>5725</v>
      </c>
      <c r="F1473" s="6">
        <v>90</v>
      </c>
      <c r="G1473" s="6">
        <v>39</v>
      </c>
      <c r="H1473" s="6">
        <v>39.5</v>
      </c>
      <c r="I1473" s="7">
        <v>32</v>
      </c>
      <c r="J1473" s="3" t="s">
        <v>4317</v>
      </c>
      <c r="K1473" s="8">
        <v>1.5</v>
      </c>
      <c r="L1473" s="9" t="s">
        <v>5695</v>
      </c>
      <c r="M1473" s="1" t="s">
        <v>5726</v>
      </c>
      <c r="N1473" t="s">
        <v>5548</v>
      </c>
    </row>
    <row r="1474" spans="1:14" x14ac:dyDescent="0.3">
      <c r="A1474" s="3">
        <v>2464191</v>
      </c>
      <c r="B1474" s="4" t="s">
        <v>4805</v>
      </c>
      <c r="C1474" s="5">
        <v>125018</v>
      </c>
      <c r="D1474" s="5" t="s">
        <v>90</v>
      </c>
      <c r="E1474" s="3" t="s">
        <v>14</v>
      </c>
      <c r="F1474" s="6">
        <v>60</v>
      </c>
      <c r="G1474" s="6">
        <v>56</v>
      </c>
      <c r="H1474" s="6">
        <v>20</v>
      </c>
      <c r="I1474" s="7">
        <v>32</v>
      </c>
      <c r="J1474" s="3" t="s">
        <v>4317</v>
      </c>
      <c r="K1474" s="8">
        <v>0.11</v>
      </c>
      <c r="L1474" s="9" t="s">
        <v>5696</v>
      </c>
      <c r="M1474" s="1" t="s">
        <v>5727</v>
      </c>
      <c r="N1474" t="s">
        <v>5548</v>
      </c>
    </row>
    <row r="1475" spans="1:14" x14ac:dyDescent="0.3">
      <c r="A1475" s="3">
        <v>2464192</v>
      </c>
      <c r="B1475" s="4" t="s">
        <v>4805</v>
      </c>
      <c r="C1475" s="5">
        <v>1251035</v>
      </c>
      <c r="D1475" s="5" t="s">
        <v>74</v>
      </c>
      <c r="E1475" s="3" t="s">
        <v>14</v>
      </c>
      <c r="F1475" s="6">
        <v>58</v>
      </c>
      <c r="G1475" s="6">
        <v>18</v>
      </c>
      <c r="H1475" s="6" t="s">
        <v>14</v>
      </c>
      <c r="I1475" s="7" t="s">
        <v>4871</v>
      </c>
      <c r="J1475" s="3" t="s">
        <v>4870</v>
      </c>
      <c r="K1475" s="8">
        <v>0.1</v>
      </c>
      <c r="L1475" s="9" t="s">
        <v>5728</v>
      </c>
      <c r="M1475" s="1" t="s">
        <v>5744</v>
      </c>
      <c r="N1475" t="s">
        <v>5548</v>
      </c>
    </row>
    <row r="1476" spans="1:14" x14ac:dyDescent="0.3">
      <c r="A1476" s="3">
        <v>2464193</v>
      </c>
      <c r="B1476" s="4" t="s">
        <v>4805</v>
      </c>
      <c r="C1476" s="5">
        <v>1252000</v>
      </c>
      <c r="D1476" s="5" t="s">
        <v>96</v>
      </c>
      <c r="E1476" s="3" t="s">
        <v>14</v>
      </c>
      <c r="F1476" s="6">
        <v>96.4</v>
      </c>
      <c r="G1476" s="6">
        <v>36.9</v>
      </c>
      <c r="H1476" s="6">
        <v>19.3</v>
      </c>
      <c r="I1476" s="7">
        <v>32</v>
      </c>
      <c r="J1476" s="3" t="s">
        <v>4317</v>
      </c>
      <c r="K1476" s="8">
        <v>1.57</v>
      </c>
      <c r="L1476" s="9" t="s">
        <v>5729</v>
      </c>
      <c r="M1476" s="1" t="s">
        <v>5745</v>
      </c>
      <c r="N1476" t="s">
        <v>5548</v>
      </c>
    </row>
    <row r="1477" spans="1:14" x14ac:dyDescent="0.3">
      <c r="A1477" s="3">
        <v>2464194</v>
      </c>
      <c r="B1477" s="4" t="s">
        <v>4805</v>
      </c>
      <c r="C1477" s="5">
        <v>1278006</v>
      </c>
      <c r="D1477" s="5" t="s">
        <v>23</v>
      </c>
      <c r="E1477" s="3" t="s">
        <v>5746</v>
      </c>
      <c r="F1477" s="6">
        <v>61</v>
      </c>
      <c r="G1477" s="6">
        <v>51</v>
      </c>
      <c r="H1477" s="6">
        <v>40.299999999999997</v>
      </c>
      <c r="I1477" s="7">
        <v>32</v>
      </c>
      <c r="J1477" s="3" t="s">
        <v>4317</v>
      </c>
      <c r="K1477" s="8">
        <v>1.51</v>
      </c>
      <c r="L1477" s="9" t="s">
        <v>5730</v>
      </c>
      <c r="M1477" s="1" t="s">
        <v>5747</v>
      </c>
      <c r="N1477" t="s">
        <v>5548</v>
      </c>
    </row>
    <row r="1478" spans="1:14" x14ac:dyDescent="0.3">
      <c r="A1478" s="3">
        <v>2464195</v>
      </c>
      <c r="B1478" s="4" t="s">
        <v>4805</v>
      </c>
      <c r="C1478" s="5">
        <v>1278007</v>
      </c>
      <c r="D1478" s="5" t="s">
        <v>90</v>
      </c>
      <c r="E1478" s="3" t="s">
        <v>5746</v>
      </c>
      <c r="F1478" s="6">
        <v>60</v>
      </c>
      <c r="G1478" s="6">
        <v>50</v>
      </c>
      <c r="H1478" s="6">
        <v>40</v>
      </c>
      <c r="I1478" s="7">
        <v>32</v>
      </c>
      <c r="J1478" s="3" t="s">
        <v>4317</v>
      </c>
      <c r="K1478" s="8">
        <v>0.24</v>
      </c>
      <c r="L1478" s="9" t="s">
        <v>5731</v>
      </c>
      <c r="M1478" s="1" t="s">
        <v>5748</v>
      </c>
      <c r="N1478" t="s">
        <v>5548</v>
      </c>
    </row>
    <row r="1479" spans="1:14" x14ac:dyDescent="0.3">
      <c r="A1479" s="3">
        <v>2464196</v>
      </c>
      <c r="B1479" s="4" t="s">
        <v>4805</v>
      </c>
      <c r="C1479" s="5">
        <v>1278008</v>
      </c>
      <c r="D1479" s="5" t="s">
        <v>13</v>
      </c>
      <c r="E1479" s="3" t="s">
        <v>5746</v>
      </c>
      <c r="F1479" s="6">
        <v>123.5</v>
      </c>
      <c r="G1479" s="6">
        <v>104</v>
      </c>
      <c r="H1479" s="6">
        <v>9.5</v>
      </c>
      <c r="I1479" s="7">
        <v>32</v>
      </c>
      <c r="J1479" s="3" t="s">
        <v>4317</v>
      </c>
      <c r="K1479" s="8">
        <v>1.75</v>
      </c>
      <c r="L1479" s="9" t="s">
        <v>5732</v>
      </c>
      <c r="M1479" s="1" t="s">
        <v>5749</v>
      </c>
      <c r="N1479" t="s">
        <v>5548</v>
      </c>
    </row>
    <row r="1480" spans="1:14" x14ac:dyDescent="0.3">
      <c r="A1480" s="3">
        <v>2464197</v>
      </c>
      <c r="B1480" s="4" t="s">
        <v>4805</v>
      </c>
      <c r="C1480" s="5">
        <v>1308013</v>
      </c>
      <c r="D1480" s="5" t="s">
        <v>5462</v>
      </c>
      <c r="E1480" s="3" t="s">
        <v>2458</v>
      </c>
      <c r="F1480" s="6">
        <v>60</v>
      </c>
      <c r="G1480" s="6">
        <v>56.5</v>
      </c>
      <c r="H1480" s="6" t="s">
        <v>14</v>
      </c>
      <c r="I1480" s="7" t="s">
        <v>5780</v>
      </c>
      <c r="J1480" s="3" t="s">
        <v>4731</v>
      </c>
      <c r="K1480" s="8">
        <v>0.34</v>
      </c>
      <c r="L1480" s="9" t="s">
        <v>5733</v>
      </c>
      <c r="M1480" s="1" t="s">
        <v>5781</v>
      </c>
    </row>
    <row r="1481" spans="1:14" x14ac:dyDescent="0.3">
      <c r="A1481" s="3">
        <v>2464198</v>
      </c>
      <c r="B1481" s="4" t="s">
        <v>4805</v>
      </c>
      <c r="C1481" s="5">
        <v>1309006</v>
      </c>
      <c r="D1481" s="5" t="s">
        <v>23</v>
      </c>
      <c r="E1481" s="3" t="s">
        <v>5782</v>
      </c>
      <c r="F1481" s="6">
        <v>61</v>
      </c>
      <c r="G1481" s="6">
        <v>57.2</v>
      </c>
      <c r="H1481" s="6">
        <v>43.3</v>
      </c>
      <c r="I1481" s="7">
        <v>32</v>
      </c>
      <c r="J1481" s="3" t="s">
        <v>4317</v>
      </c>
      <c r="K1481" s="8">
        <v>1.7</v>
      </c>
      <c r="L1481" s="9" t="s">
        <v>5734</v>
      </c>
      <c r="M1481" s="1" t="s">
        <v>5783</v>
      </c>
      <c r="N1481" t="s">
        <v>5548</v>
      </c>
    </row>
    <row r="1482" spans="1:14" x14ac:dyDescent="0.3">
      <c r="A1482" s="3">
        <v>2464199</v>
      </c>
      <c r="B1482" s="4" t="s">
        <v>4805</v>
      </c>
      <c r="C1482" s="5">
        <v>1309007</v>
      </c>
      <c r="D1482" s="5" t="s">
        <v>90</v>
      </c>
      <c r="E1482" s="3" t="s">
        <v>5782</v>
      </c>
      <c r="F1482" s="6">
        <v>60</v>
      </c>
      <c r="G1482" s="6">
        <v>56</v>
      </c>
      <c r="H1482" s="6">
        <v>42.5</v>
      </c>
      <c r="I1482" s="7">
        <v>32</v>
      </c>
      <c r="J1482" s="3" t="s">
        <v>4317</v>
      </c>
      <c r="K1482" s="8">
        <v>0.25</v>
      </c>
      <c r="L1482" s="9" t="s">
        <v>5735</v>
      </c>
      <c r="M1482" s="1" t="s">
        <v>5784</v>
      </c>
      <c r="N1482" t="s">
        <v>5548</v>
      </c>
    </row>
    <row r="1483" spans="1:14" x14ac:dyDescent="0.3">
      <c r="A1483" s="3">
        <v>2464200</v>
      </c>
      <c r="B1483" s="4" t="s">
        <v>4805</v>
      </c>
      <c r="C1483" s="5">
        <v>1309008</v>
      </c>
      <c r="D1483" s="5" t="s">
        <v>23</v>
      </c>
      <c r="E1483" s="3" t="s">
        <v>2451</v>
      </c>
      <c r="F1483" s="6">
        <v>61</v>
      </c>
      <c r="G1483" s="6">
        <v>57.2</v>
      </c>
      <c r="H1483" s="6">
        <v>35.299999999999997</v>
      </c>
      <c r="I1483" s="7">
        <v>32</v>
      </c>
      <c r="J1483" s="3" t="s">
        <v>4317</v>
      </c>
      <c r="K1483" s="8">
        <v>1.5</v>
      </c>
      <c r="L1483" s="9" t="s">
        <v>5736</v>
      </c>
      <c r="M1483" s="1" t="s">
        <v>5785</v>
      </c>
      <c r="N1483" t="s">
        <v>5548</v>
      </c>
    </row>
    <row r="1484" spans="1:14" x14ac:dyDescent="0.3">
      <c r="A1484" s="3">
        <v>2464201</v>
      </c>
      <c r="B1484" s="4" t="s">
        <v>4805</v>
      </c>
      <c r="C1484" s="5">
        <v>1309009</v>
      </c>
      <c r="D1484" s="5" t="s">
        <v>90</v>
      </c>
      <c r="E1484" s="3" t="s">
        <v>2451</v>
      </c>
      <c r="F1484" s="6">
        <v>60</v>
      </c>
      <c r="G1484" s="6">
        <v>56</v>
      </c>
      <c r="H1484" s="6">
        <v>34.5</v>
      </c>
      <c r="I1484" s="7">
        <v>32</v>
      </c>
      <c r="J1484" s="3" t="s">
        <v>4317</v>
      </c>
      <c r="K1484" s="8">
        <v>0.19</v>
      </c>
      <c r="L1484" s="9" t="s">
        <v>5737</v>
      </c>
      <c r="M1484" s="1" t="s">
        <v>5786</v>
      </c>
    </row>
    <row r="1485" spans="1:14" x14ac:dyDescent="0.3">
      <c r="A1485" s="3">
        <v>2464202</v>
      </c>
      <c r="B1485" s="4" t="s">
        <v>4805</v>
      </c>
      <c r="C1485" s="5">
        <v>1314016</v>
      </c>
      <c r="D1485" s="5" t="s">
        <v>90</v>
      </c>
      <c r="E1485" s="3" t="s">
        <v>5791</v>
      </c>
      <c r="F1485" s="6">
        <v>60</v>
      </c>
      <c r="G1485" s="6">
        <v>56</v>
      </c>
      <c r="H1485" s="6">
        <v>17</v>
      </c>
      <c r="I1485" s="7">
        <v>32</v>
      </c>
      <c r="J1485" s="3" t="s">
        <v>4317</v>
      </c>
      <c r="K1485" s="8">
        <v>0.1</v>
      </c>
      <c r="L1485" s="9" t="s">
        <v>5738</v>
      </c>
      <c r="M1485" s="1" t="s">
        <v>5792</v>
      </c>
      <c r="N1485" t="s">
        <v>5548</v>
      </c>
    </row>
    <row r="1486" spans="1:14" x14ac:dyDescent="0.3">
      <c r="A1486" s="3">
        <v>2464203</v>
      </c>
      <c r="B1486" s="4" t="s">
        <v>4805</v>
      </c>
      <c r="C1486" s="5">
        <v>1375011</v>
      </c>
      <c r="D1486" s="5" t="s">
        <v>90</v>
      </c>
      <c r="E1486" s="3" t="s">
        <v>5793</v>
      </c>
      <c r="F1486" s="6">
        <v>60</v>
      </c>
      <c r="G1486" s="6">
        <v>50</v>
      </c>
      <c r="H1486" s="6">
        <v>29.5</v>
      </c>
      <c r="I1486" s="7">
        <v>32</v>
      </c>
      <c r="J1486" s="3" t="s">
        <v>4317</v>
      </c>
      <c r="K1486" s="8">
        <v>0.18</v>
      </c>
      <c r="L1486" s="9" t="s">
        <v>5739</v>
      </c>
      <c r="M1486" s="1" t="s">
        <v>5794</v>
      </c>
      <c r="N1486" t="s">
        <v>5548</v>
      </c>
    </row>
    <row r="1487" spans="1:14" x14ac:dyDescent="0.3">
      <c r="A1487" s="3">
        <v>2464204</v>
      </c>
      <c r="B1487" s="4" t="s">
        <v>4805</v>
      </c>
      <c r="C1487" s="5">
        <v>1376015</v>
      </c>
      <c r="D1487" s="5" t="s">
        <v>90</v>
      </c>
      <c r="E1487" s="3" t="s">
        <v>5795</v>
      </c>
      <c r="F1487" s="6">
        <v>50</v>
      </c>
      <c r="G1487" s="6">
        <v>70</v>
      </c>
      <c r="H1487" s="6">
        <v>22.5</v>
      </c>
      <c r="I1487" s="7">
        <v>32</v>
      </c>
      <c r="J1487" s="3" t="s">
        <v>4317</v>
      </c>
      <c r="K1487" s="8">
        <v>0.11</v>
      </c>
      <c r="L1487" s="9" t="s">
        <v>5740</v>
      </c>
      <c r="M1487" s="1" t="s">
        <v>5796</v>
      </c>
      <c r="N1487" t="s">
        <v>5548</v>
      </c>
    </row>
    <row r="1488" spans="1:14" x14ac:dyDescent="0.3">
      <c r="A1488" s="3">
        <v>2464205</v>
      </c>
      <c r="B1488" s="4" t="s">
        <v>4805</v>
      </c>
      <c r="C1488" s="5">
        <v>1428013</v>
      </c>
      <c r="D1488" s="5" t="s">
        <v>74</v>
      </c>
      <c r="E1488" s="3" t="s">
        <v>14</v>
      </c>
      <c r="F1488" s="6">
        <v>5</v>
      </c>
      <c r="G1488" s="6">
        <v>80</v>
      </c>
      <c r="H1488" s="6" t="s">
        <v>14</v>
      </c>
      <c r="I1488" s="7" t="s">
        <v>5801</v>
      </c>
      <c r="J1488" s="3" t="s">
        <v>4870</v>
      </c>
      <c r="K1488" s="8">
        <v>0.04</v>
      </c>
      <c r="L1488" s="9" t="s">
        <v>5741</v>
      </c>
      <c r="M1488" s="1" t="s">
        <v>5802</v>
      </c>
      <c r="N1488" t="s">
        <v>5548</v>
      </c>
    </row>
    <row r="1489" spans="1:14" x14ac:dyDescent="0.3">
      <c r="A1489" s="3">
        <v>2464206</v>
      </c>
      <c r="B1489" s="4" t="s">
        <v>4805</v>
      </c>
      <c r="C1489" s="5">
        <v>1676003</v>
      </c>
      <c r="D1489" s="5" t="s">
        <v>13</v>
      </c>
      <c r="E1489" s="3" t="s">
        <v>5405</v>
      </c>
      <c r="F1489" s="6">
        <v>62</v>
      </c>
      <c r="G1489" s="6">
        <v>62</v>
      </c>
      <c r="H1489" s="6">
        <v>10</v>
      </c>
      <c r="I1489" s="7">
        <v>32</v>
      </c>
      <c r="J1489" s="3" t="s">
        <v>4317</v>
      </c>
      <c r="K1489" s="8">
        <v>1.3</v>
      </c>
      <c r="L1489" s="9" t="s">
        <v>5742</v>
      </c>
      <c r="M1489" s="1" t="s">
        <v>5819</v>
      </c>
      <c r="N1489" t="s">
        <v>5548</v>
      </c>
    </row>
    <row r="1490" spans="1:14" x14ac:dyDescent="0.3">
      <c r="A1490" s="3">
        <v>2464207</v>
      </c>
      <c r="B1490" s="4" t="s">
        <v>4805</v>
      </c>
      <c r="C1490" s="5">
        <v>1680013</v>
      </c>
      <c r="D1490" s="5" t="s">
        <v>23</v>
      </c>
      <c r="E1490" s="3" t="s">
        <v>5428</v>
      </c>
      <c r="F1490" s="6">
        <v>60.8</v>
      </c>
      <c r="G1490" s="6">
        <v>37.799999999999997</v>
      </c>
      <c r="H1490" s="6">
        <v>23.9</v>
      </c>
      <c r="I1490" s="7">
        <v>32</v>
      </c>
      <c r="J1490" s="3" t="s">
        <v>4317</v>
      </c>
      <c r="K1490" s="8">
        <v>0.9</v>
      </c>
      <c r="L1490" s="9" t="s">
        <v>5743</v>
      </c>
      <c r="M1490" s="1" t="s">
        <v>5820</v>
      </c>
      <c r="N1490" t="s">
        <v>5548</v>
      </c>
    </row>
    <row r="1491" spans="1:14" x14ac:dyDescent="0.3">
      <c r="A1491" s="3">
        <v>2464208</v>
      </c>
      <c r="B1491" s="4" t="s">
        <v>4805</v>
      </c>
      <c r="C1491" s="5">
        <v>1681007</v>
      </c>
      <c r="D1491" s="5" t="s">
        <v>23</v>
      </c>
      <c r="E1491" s="3" t="s">
        <v>5328</v>
      </c>
      <c r="F1491" s="6">
        <v>61</v>
      </c>
      <c r="G1491" s="6">
        <v>41</v>
      </c>
      <c r="H1491" s="6">
        <v>23</v>
      </c>
      <c r="I1491" s="7">
        <v>32</v>
      </c>
      <c r="J1491" s="3" t="s">
        <v>4317</v>
      </c>
      <c r="K1491" s="8">
        <v>0.91</v>
      </c>
      <c r="L1491" s="9" t="s">
        <v>5821</v>
      </c>
      <c r="M1491" s="1" t="s">
        <v>5831</v>
      </c>
      <c r="N1491" t="s">
        <v>5548</v>
      </c>
    </row>
    <row r="1492" spans="1:14" x14ac:dyDescent="0.3">
      <c r="A1492" s="3">
        <v>2464209</v>
      </c>
      <c r="B1492" s="4" t="s">
        <v>4805</v>
      </c>
      <c r="C1492" s="5">
        <v>1691004</v>
      </c>
      <c r="D1492" s="5" t="s">
        <v>96</v>
      </c>
      <c r="E1492" s="3" t="s">
        <v>5833</v>
      </c>
      <c r="F1492" s="6">
        <v>52.58</v>
      </c>
      <c r="G1492" s="6">
        <v>27</v>
      </c>
      <c r="H1492" s="6">
        <v>14.4</v>
      </c>
      <c r="I1492" s="7">
        <v>32</v>
      </c>
      <c r="J1492" s="3" t="s">
        <v>4317</v>
      </c>
      <c r="K1492" s="8">
        <v>0.7</v>
      </c>
      <c r="L1492" s="9" t="s">
        <v>5822</v>
      </c>
      <c r="M1492" s="1" t="s">
        <v>5834</v>
      </c>
      <c r="N1492" t="s">
        <v>5548</v>
      </c>
    </row>
    <row r="1493" spans="1:14" x14ac:dyDescent="0.3">
      <c r="A1493" s="3">
        <v>2464210</v>
      </c>
      <c r="B1493" s="4" t="s">
        <v>4805</v>
      </c>
      <c r="C1493" s="5">
        <v>1453009</v>
      </c>
      <c r="D1493" s="5" t="s">
        <v>96</v>
      </c>
      <c r="E1493" s="3" t="s">
        <v>4832</v>
      </c>
      <c r="F1493" s="6">
        <v>61</v>
      </c>
      <c r="G1493" s="6">
        <v>57</v>
      </c>
      <c r="H1493" s="6">
        <v>39</v>
      </c>
      <c r="I1493" s="7">
        <v>32</v>
      </c>
      <c r="J1493" s="3" t="s">
        <v>4317</v>
      </c>
      <c r="K1493" s="8">
        <v>2.33</v>
      </c>
      <c r="L1493" s="9" t="s">
        <v>5823</v>
      </c>
      <c r="M1493" s="1" t="s">
        <v>5835</v>
      </c>
      <c r="N1493" t="s">
        <v>5548</v>
      </c>
    </row>
    <row r="1494" spans="1:14" x14ac:dyDescent="0.3">
      <c r="A1494" s="3">
        <v>2464211</v>
      </c>
      <c r="B1494" s="4" t="s">
        <v>4805</v>
      </c>
      <c r="C1494" s="5">
        <v>1453008</v>
      </c>
      <c r="D1494" s="5" t="s">
        <v>90</v>
      </c>
      <c r="E1494" s="3" t="s">
        <v>4832</v>
      </c>
      <c r="F1494" s="6">
        <v>59.5</v>
      </c>
      <c r="G1494" s="6">
        <v>55.5</v>
      </c>
      <c r="H1494" s="6">
        <v>36.5</v>
      </c>
      <c r="I1494" s="7">
        <v>32</v>
      </c>
      <c r="J1494" s="3" t="s">
        <v>4317</v>
      </c>
      <c r="K1494" s="8">
        <v>0.22</v>
      </c>
      <c r="L1494" s="9" t="s">
        <v>5824</v>
      </c>
      <c r="M1494" s="1" t="s">
        <v>5836</v>
      </c>
      <c r="N1494" t="s">
        <v>5548</v>
      </c>
    </row>
    <row r="1495" spans="1:14" x14ac:dyDescent="0.3">
      <c r="A1495" s="3">
        <v>2464212</v>
      </c>
      <c r="B1495" s="4" t="s">
        <v>4805</v>
      </c>
      <c r="C1495" s="5">
        <v>1419018</v>
      </c>
      <c r="D1495" s="5" t="s">
        <v>154</v>
      </c>
      <c r="E1495" s="3" t="s">
        <v>5837</v>
      </c>
      <c r="F1495" s="6">
        <v>58</v>
      </c>
      <c r="G1495" s="6">
        <v>45.5</v>
      </c>
      <c r="H1495" s="6">
        <v>73.8</v>
      </c>
      <c r="I1495" s="7">
        <v>32</v>
      </c>
      <c r="J1495" s="3" t="s">
        <v>4317</v>
      </c>
      <c r="K1495" s="8">
        <v>2.08</v>
      </c>
      <c r="L1495" s="9" t="s">
        <v>5825</v>
      </c>
      <c r="M1495" s="1" t="s">
        <v>5838</v>
      </c>
      <c r="N1495" t="s">
        <v>5548</v>
      </c>
    </row>
    <row r="1496" spans="1:14" x14ac:dyDescent="0.3">
      <c r="A1496" s="3">
        <v>2464213</v>
      </c>
      <c r="B1496" s="4" t="s">
        <v>4805</v>
      </c>
      <c r="C1496" s="5">
        <v>1677005</v>
      </c>
      <c r="D1496" s="5" t="s">
        <v>3893</v>
      </c>
      <c r="E1496" s="3" t="s">
        <v>14</v>
      </c>
      <c r="F1496" s="6">
        <v>10</v>
      </c>
      <c r="G1496" s="6">
        <v>20</v>
      </c>
      <c r="H1496" s="6" t="s">
        <v>14</v>
      </c>
      <c r="I1496" s="7" t="s">
        <v>5839</v>
      </c>
      <c r="J1496" s="3" t="s">
        <v>5519</v>
      </c>
      <c r="K1496" s="8" t="s">
        <v>14</v>
      </c>
      <c r="L1496" s="9" t="s">
        <v>5826</v>
      </c>
      <c r="M1496" s="1" t="s">
        <v>5840</v>
      </c>
      <c r="N1496" t="s">
        <v>5548</v>
      </c>
    </row>
    <row r="1497" spans="1:14" x14ac:dyDescent="0.3">
      <c r="A1497" s="3">
        <v>2464214</v>
      </c>
      <c r="B1497" s="4" t="s">
        <v>4805</v>
      </c>
      <c r="C1497" s="5">
        <v>1672040</v>
      </c>
      <c r="D1497" s="5" t="s">
        <v>3893</v>
      </c>
      <c r="E1497" s="3" t="s">
        <v>14</v>
      </c>
      <c r="F1497" s="6">
        <v>31</v>
      </c>
      <c r="G1497" s="6">
        <v>66</v>
      </c>
      <c r="H1497" s="6" t="s">
        <v>14</v>
      </c>
      <c r="I1497" s="7" t="s">
        <v>5839</v>
      </c>
      <c r="J1497" s="3" t="s">
        <v>5519</v>
      </c>
      <c r="K1497" s="8" t="s">
        <v>14</v>
      </c>
      <c r="L1497" s="9" t="s">
        <v>5827</v>
      </c>
      <c r="M1497" s="1" t="s">
        <v>5849</v>
      </c>
      <c r="N1497" t="s">
        <v>5548</v>
      </c>
    </row>
    <row r="1498" spans="1:14" x14ac:dyDescent="0.3">
      <c r="A1498" s="3">
        <v>2464215</v>
      </c>
      <c r="B1498" s="4" t="s">
        <v>4805</v>
      </c>
      <c r="C1498" s="5">
        <v>1484008</v>
      </c>
      <c r="D1498" s="5" t="s">
        <v>3893</v>
      </c>
      <c r="E1498" s="3" t="s">
        <v>14</v>
      </c>
      <c r="F1498" s="6" t="s">
        <v>5386</v>
      </c>
      <c r="G1498" s="6" t="s">
        <v>5517</v>
      </c>
      <c r="H1498" s="6" t="s">
        <v>14</v>
      </c>
      <c r="I1498" s="7" t="s">
        <v>5850</v>
      </c>
      <c r="J1498" s="3" t="s">
        <v>5519</v>
      </c>
      <c r="K1498" s="8" t="s">
        <v>14</v>
      </c>
      <c r="L1498" s="9" t="s">
        <v>5828</v>
      </c>
      <c r="M1498" s="1" t="s">
        <v>5851</v>
      </c>
      <c r="N1498" t="s">
        <v>5548</v>
      </c>
    </row>
    <row r="1499" spans="1:14" x14ac:dyDescent="0.3">
      <c r="A1499" s="3">
        <v>2464216</v>
      </c>
      <c r="B1499" s="4" t="s">
        <v>4805</v>
      </c>
      <c r="C1499" s="5">
        <v>1676008</v>
      </c>
      <c r="D1499" s="5" t="s">
        <v>5462</v>
      </c>
      <c r="E1499" s="3" t="s">
        <v>14</v>
      </c>
      <c r="F1499" s="6">
        <v>60</v>
      </c>
      <c r="G1499" s="6">
        <v>60</v>
      </c>
      <c r="H1499" s="6" t="s">
        <v>14</v>
      </c>
      <c r="I1499" s="7" t="s">
        <v>5852</v>
      </c>
      <c r="J1499" s="3" t="s">
        <v>4731</v>
      </c>
      <c r="K1499" s="8">
        <v>0.36</v>
      </c>
      <c r="L1499" s="9" t="s">
        <v>5829</v>
      </c>
      <c r="M1499" s="1" t="s">
        <v>5853</v>
      </c>
      <c r="N1499" t="s">
        <v>5548</v>
      </c>
    </row>
    <row r="1500" spans="1:14" x14ac:dyDescent="0.3">
      <c r="A1500" s="3">
        <v>2464217</v>
      </c>
      <c r="B1500" s="4" t="s">
        <v>4805</v>
      </c>
      <c r="C1500" s="5">
        <v>1419019</v>
      </c>
      <c r="D1500" s="5" t="s">
        <v>90</v>
      </c>
      <c r="E1500" s="3" t="s">
        <v>5837</v>
      </c>
      <c r="F1500" s="6">
        <v>57.5</v>
      </c>
      <c r="G1500" s="6">
        <v>45</v>
      </c>
      <c r="H1500" s="6">
        <v>65</v>
      </c>
      <c r="I1500" s="7">
        <v>32</v>
      </c>
      <c r="J1500" s="3" t="s">
        <v>4317</v>
      </c>
      <c r="K1500" s="8">
        <v>0.37</v>
      </c>
      <c r="L1500" s="9" t="s">
        <v>5830</v>
      </c>
      <c r="M1500" s="1" t="s">
        <v>5854</v>
      </c>
      <c r="N1500" t="s">
        <v>5548</v>
      </c>
    </row>
    <row r="1501" spans="1:14" x14ac:dyDescent="0.3">
      <c r="A1501" s="3">
        <v>2464218</v>
      </c>
      <c r="B1501" s="4" t="s">
        <v>4805</v>
      </c>
      <c r="C1501" s="5">
        <v>1419020</v>
      </c>
      <c r="D1501" s="5" t="s">
        <v>13</v>
      </c>
      <c r="E1501" s="3" t="s">
        <v>5837</v>
      </c>
      <c r="F1501" s="6">
        <v>59.5</v>
      </c>
      <c r="G1501" s="6">
        <v>47</v>
      </c>
      <c r="H1501" s="6">
        <v>8</v>
      </c>
      <c r="I1501" s="7">
        <v>32</v>
      </c>
      <c r="J1501" s="3" t="s">
        <v>4317</v>
      </c>
      <c r="K1501" s="8">
        <v>0.48</v>
      </c>
      <c r="L1501" s="9" t="s">
        <v>5841</v>
      </c>
      <c r="M1501" s="1" t="s">
        <v>5855</v>
      </c>
      <c r="N1501" t="s">
        <v>5548</v>
      </c>
    </row>
    <row r="1502" spans="1:14" x14ac:dyDescent="0.3">
      <c r="A1502" s="3">
        <v>2464219</v>
      </c>
      <c r="B1502" s="4" t="s">
        <v>4805</v>
      </c>
      <c r="C1502" s="5">
        <v>1613015</v>
      </c>
      <c r="D1502" s="5" t="s">
        <v>96</v>
      </c>
      <c r="E1502" s="3" t="s">
        <v>5327</v>
      </c>
      <c r="F1502" s="6">
        <v>61.5</v>
      </c>
      <c r="G1502" s="6">
        <v>51.5</v>
      </c>
      <c r="H1502" s="6">
        <v>67.8</v>
      </c>
      <c r="I1502" s="7">
        <v>32</v>
      </c>
      <c r="J1502" s="3" t="s">
        <v>4317</v>
      </c>
      <c r="K1502" s="8">
        <v>3.26</v>
      </c>
      <c r="L1502" s="9" t="s">
        <v>5842</v>
      </c>
      <c r="M1502" s="1" t="s">
        <v>5856</v>
      </c>
      <c r="N1502" t="s">
        <v>5548</v>
      </c>
    </row>
    <row r="1503" spans="1:14" x14ac:dyDescent="0.3">
      <c r="A1503" s="3">
        <v>2464220</v>
      </c>
      <c r="B1503" s="4" t="s">
        <v>4805</v>
      </c>
      <c r="C1503" s="5">
        <v>1677002</v>
      </c>
      <c r="D1503" s="5" t="s">
        <v>96</v>
      </c>
      <c r="E1503" s="3" t="s">
        <v>5867</v>
      </c>
      <c r="F1503" s="6">
        <v>60.5</v>
      </c>
      <c r="G1503" s="6">
        <v>60.5</v>
      </c>
      <c r="H1503" s="6">
        <v>16.3</v>
      </c>
      <c r="I1503" s="7">
        <v>32</v>
      </c>
      <c r="J1503" s="3" t="s">
        <v>4317</v>
      </c>
      <c r="K1503" s="8">
        <v>1.1499999999999999</v>
      </c>
      <c r="L1503" s="9" t="s">
        <v>5843</v>
      </c>
      <c r="M1503" s="1" t="s">
        <v>5868</v>
      </c>
      <c r="N1503" t="s">
        <v>5548</v>
      </c>
    </row>
    <row r="1504" spans="1:14" x14ac:dyDescent="0.3">
      <c r="A1504" s="3">
        <v>2464221</v>
      </c>
      <c r="B1504" s="4" t="s">
        <v>4805</v>
      </c>
      <c r="C1504" s="5" t="s">
        <v>5871</v>
      </c>
      <c r="D1504" s="5" t="s">
        <v>552</v>
      </c>
      <c r="E1504" s="3" t="s">
        <v>5872</v>
      </c>
      <c r="F1504" s="6" t="s">
        <v>4783</v>
      </c>
      <c r="G1504" s="6" t="s">
        <v>4783</v>
      </c>
      <c r="H1504" s="6">
        <v>86</v>
      </c>
      <c r="I1504" s="7" t="s">
        <v>14</v>
      </c>
      <c r="J1504" s="3" t="s">
        <v>14</v>
      </c>
      <c r="K1504" s="8" t="s">
        <v>14</v>
      </c>
      <c r="L1504" s="9" t="s">
        <v>5844</v>
      </c>
      <c r="M1504" s="1" t="s">
        <v>5873</v>
      </c>
      <c r="N1504" t="s">
        <v>5548</v>
      </c>
    </row>
    <row r="1505" spans="1:14" x14ac:dyDescent="0.3">
      <c r="A1505" s="3">
        <v>2464222</v>
      </c>
      <c r="B1505" s="4" t="s">
        <v>4805</v>
      </c>
      <c r="C1505" s="5">
        <v>1478024</v>
      </c>
      <c r="D1505" s="5" t="s">
        <v>23</v>
      </c>
      <c r="E1505" s="3" t="s">
        <v>5878</v>
      </c>
      <c r="F1505" s="6">
        <v>61</v>
      </c>
      <c r="G1505" s="6">
        <v>45.5</v>
      </c>
      <c r="H1505" s="6">
        <v>22.7</v>
      </c>
      <c r="I1505" s="7">
        <v>32</v>
      </c>
      <c r="J1505" s="3" t="s">
        <v>4317</v>
      </c>
      <c r="K1505" s="8">
        <v>1</v>
      </c>
      <c r="L1505" s="9" t="s">
        <v>5845</v>
      </c>
      <c r="M1505" s="1" t="s">
        <v>5879</v>
      </c>
      <c r="N1505" t="s">
        <v>5548</v>
      </c>
    </row>
    <row r="1506" spans="1:14" x14ac:dyDescent="0.3">
      <c r="A1506" s="3">
        <v>2464223</v>
      </c>
      <c r="B1506" s="4" t="s">
        <v>4805</v>
      </c>
      <c r="C1506" s="5">
        <v>1478026</v>
      </c>
      <c r="D1506" s="5" t="s">
        <v>90</v>
      </c>
      <c r="E1506" s="3" t="s">
        <v>5878</v>
      </c>
      <c r="F1506" s="6">
        <v>60</v>
      </c>
      <c r="G1506" s="6">
        <v>44.5</v>
      </c>
      <c r="H1506" s="6">
        <v>21.6</v>
      </c>
      <c r="I1506" s="7">
        <v>32</v>
      </c>
      <c r="J1506" s="3" t="s">
        <v>4317</v>
      </c>
      <c r="K1506" s="8">
        <v>0.1</v>
      </c>
      <c r="L1506" s="9" t="s">
        <v>5846</v>
      </c>
      <c r="M1506" s="1" t="s">
        <v>5880</v>
      </c>
      <c r="N1506" t="s">
        <v>5548</v>
      </c>
    </row>
    <row r="1507" spans="1:14" x14ac:dyDescent="0.3">
      <c r="A1507" s="3">
        <v>2464224</v>
      </c>
      <c r="B1507" s="4" t="s">
        <v>4805</v>
      </c>
      <c r="C1507" s="5">
        <v>1478025</v>
      </c>
      <c r="D1507" s="5" t="s">
        <v>13</v>
      </c>
      <c r="E1507" s="3" t="s">
        <v>5881</v>
      </c>
      <c r="F1507" s="6">
        <v>62.5</v>
      </c>
      <c r="G1507" s="6">
        <v>47</v>
      </c>
      <c r="H1507" s="6">
        <v>8</v>
      </c>
      <c r="I1507" s="7">
        <v>32</v>
      </c>
      <c r="J1507" s="3" t="s">
        <v>4317</v>
      </c>
      <c r="K1507" s="8">
        <v>0.3</v>
      </c>
      <c r="L1507" s="9" t="s">
        <v>5847</v>
      </c>
      <c r="M1507" s="1" t="s">
        <v>5882</v>
      </c>
      <c r="N1507" t="s">
        <v>5548</v>
      </c>
    </row>
    <row r="1508" spans="1:14" x14ac:dyDescent="0.3">
      <c r="A1508" s="3">
        <v>2464225</v>
      </c>
      <c r="B1508" s="4" t="s">
        <v>4805</v>
      </c>
      <c r="C1508" s="5">
        <v>1674010</v>
      </c>
      <c r="D1508" s="5" t="s">
        <v>90</v>
      </c>
      <c r="E1508" s="3" t="s">
        <v>5884</v>
      </c>
      <c r="F1508" s="6">
        <v>70</v>
      </c>
      <c r="G1508" s="6">
        <v>49.8</v>
      </c>
      <c r="H1508" s="6">
        <v>30.5</v>
      </c>
      <c r="I1508" s="7">
        <v>32</v>
      </c>
      <c r="J1508" s="3" t="s">
        <v>4317</v>
      </c>
      <c r="K1508" s="8">
        <v>1.5</v>
      </c>
      <c r="L1508" s="9" t="s">
        <v>5848</v>
      </c>
      <c r="M1508" s="1" t="s">
        <v>5885</v>
      </c>
      <c r="N1508" t="s">
        <v>5548</v>
      </c>
    </row>
    <row r="1509" spans="1:14" x14ac:dyDescent="0.3">
      <c r="A1509" s="3">
        <v>2464226</v>
      </c>
      <c r="B1509" s="4" t="s">
        <v>4805</v>
      </c>
      <c r="C1509" s="5">
        <v>1676006</v>
      </c>
      <c r="D1509" s="5" t="s">
        <v>23</v>
      </c>
      <c r="E1509" s="3" t="s">
        <v>5886</v>
      </c>
      <c r="F1509" s="6">
        <v>60.6</v>
      </c>
      <c r="G1509" s="6">
        <v>60.6</v>
      </c>
      <c r="H1509" s="6">
        <v>31</v>
      </c>
      <c r="I1509" s="7">
        <v>32</v>
      </c>
      <c r="J1509" s="3" t="s">
        <v>4317</v>
      </c>
      <c r="K1509" s="8">
        <v>1.5</v>
      </c>
      <c r="L1509" s="9" t="s">
        <v>5887</v>
      </c>
      <c r="M1509" s="1" t="s">
        <v>5897</v>
      </c>
      <c r="N1509" t="s">
        <v>5548</v>
      </c>
    </row>
    <row r="1510" spans="1:14" x14ac:dyDescent="0.3">
      <c r="A1510" s="3">
        <v>2464227</v>
      </c>
      <c r="B1510" s="4" t="s">
        <v>4805</v>
      </c>
      <c r="C1510" s="5">
        <v>1676007</v>
      </c>
      <c r="D1510" s="5" t="s">
        <v>90</v>
      </c>
      <c r="E1510" s="3" t="s">
        <v>5886</v>
      </c>
      <c r="F1510" s="6">
        <v>59.5</v>
      </c>
      <c r="G1510" s="6">
        <v>59.5</v>
      </c>
      <c r="H1510" s="6">
        <v>37</v>
      </c>
      <c r="I1510" s="7">
        <v>32</v>
      </c>
      <c r="J1510" s="3" t="s">
        <v>4317</v>
      </c>
      <c r="K1510" s="8">
        <v>0.16</v>
      </c>
      <c r="L1510" s="9" t="s">
        <v>5888</v>
      </c>
      <c r="M1510" s="1" t="s">
        <v>5898</v>
      </c>
      <c r="N1510" t="s">
        <v>5548</v>
      </c>
    </row>
    <row r="1511" spans="1:14" x14ac:dyDescent="0.3">
      <c r="A1511" s="3">
        <v>2464228</v>
      </c>
      <c r="B1511" s="4" t="s">
        <v>4805</v>
      </c>
      <c r="C1511" s="5">
        <v>1728005</v>
      </c>
      <c r="D1511" s="5" t="s">
        <v>96</v>
      </c>
      <c r="E1511" s="3" t="s">
        <v>5899</v>
      </c>
      <c r="F1511" s="6">
        <v>61</v>
      </c>
      <c r="G1511" s="6">
        <v>61</v>
      </c>
      <c r="H1511" s="6">
        <v>36.299999999999997</v>
      </c>
      <c r="I1511" s="7">
        <v>32</v>
      </c>
      <c r="J1511" s="3" t="s">
        <v>4317</v>
      </c>
      <c r="K1511" s="8">
        <v>2.44</v>
      </c>
      <c r="L1511" s="9" t="s">
        <v>5889</v>
      </c>
      <c r="M1511" s="1" t="s">
        <v>5900</v>
      </c>
      <c r="N1511" t="s">
        <v>5548</v>
      </c>
    </row>
    <row r="1512" spans="1:14" x14ac:dyDescent="0.3">
      <c r="A1512" s="3">
        <v>2464229</v>
      </c>
      <c r="B1512" s="4" t="s">
        <v>4805</v>
      </c>
      <c r="C1512" s="5">
        <v>1728006</v>
      </c>
      <c r="D1512" s="5" t="s">
        <v>90</v>
      </c>
      <c r="E1512" s="3" t="s">
        <v>5899</v>
      </c>
      <c r="F1512" s="6">
        <v>60</v>
      </c>
      <c r="G1512" s="6">
        <v>60</v>
      </c>
      <c r="H1512" s="6">
        <v>34.5</v>
      </c>
      <c r="I1512" s="7">
        <v>32</v>
      </c>
      <c r="J1512" s="3" t="s">
        <v>4317</v>
      </c>
      <c r="K1512" s="8">
        <v>0.21</v>
      </c>
      <c r="L1512" s="9" t="s">
        <v>5890</v>
      </c>
      <c r="M1512" s="1" t="s">
        <v>5901</v>
      </c>
      <c r="N1512" t="s">
        <v>5548</v>
      </c>
    </row>
    <row r="1513" spans="1:14" x14ac:dyDescent="0.3">
      <c r="A1513" s="3">
        <v>2464230</v>
      </c>
      <c r="B1513" s="4" t="s">
        <v>4805</v>
      </c>
      <c r="C1513" s="5">
        <v>1728007</v>
      </c>
      <c r="D1513" s="5" t="s">
        <v>74</v>
      </c>
      <c r="E1513" s="3" t="s">
        <v>5899</v>
      </c>
      <c r="F1513" s="6">
        <v>60</v>
      </c>
      <c r="G1513" s="6">
        <v>60</v>
      </c>
      <c r="H1513" s="6" t="s">
        <v>14</v>
      </c>
      <c r="I1513" s="7">
        <v>32</v>
      </c>
      <c r="J1513" s="3" t="s">
        <v>4317</v>
      </c>
      <c r="K1513" s="8">
        <v>0.36</v>
      </c>
      <c r="L1513" s="9" t="s">
        <v>5891</v>
      </c>
      <c r="M1513" s="1" t="s">
        <v>5902</v>
      </c>
      <c r="N1513" t="s">
        <v>5548</v>
      </c>
    </row>
    <row r="1514" spans="1:14" x14ac:dyDescent="0.3">
      <c r="A1514" s="3">
        <v>2464231</v>
      </c>
      <c r="B1514" s="4" t="s">
        <v>4805</v>
      </c>
      <c r="C1514" s="5">
        <v>1251000</v>
      </c>
      <c r="D1514" s="5" t="s">
        <v>74</v>
      </c>
      <c r="E1514" s="3" t="s">
        <v>14</v>
      </c>
      <c r="F1514" s="6">
        <v>58.7</v>
      </c>
      <c r="G1514" s="6">
        <v>55</v>
      </c>
      <c r="H1514" s="6" t="s">
        <v>14</v>
      </c>
      <c r="I1514" s="7">
        <v>32</v>
      </c>
      <c r="J1514" s="3" t="s">
        <v>4317</v>
      </c>
      <c r="K1514" s="8">
        <v>0.32</v>
      </c>
      <c r="L1514" s="9" t="s">
        <v>5892</v>
      </c>
      <c r="M1514" s="1" t="s">
        <v>5917</v>
      </c>
      <c r="N1514" t="s">
        <v>5548</v>
      </c>
    </row>
    <row r="1515" spans="1:14" x14ac:dyDescent="0.3">
      <c r="A1515" s="3">
        <v>2464232</v>
      </c>
      <c r="B1515" s="4" t="s">
        <v>4805</v>
      </c>
      <c r="C1515" s="5">
        <v>1251071</v>
      </c>
      <c r="D1515" s="5" t="s">
        <v>552</v>
      </c>
      <c r="E1515" s="3" t="s">
        <v>5919</v>
      </c>
      <c r="F1515" s="6" t="s">
        <v>4783</v>
      </c>
      <c r="G1515" s="6" t="s">
        <v>4783</v>
      </c>
      <c r="H1515" s="6">
        <v>86</v>
      </c>
      <c r="I1515" s="7" t="s">
        <v>4960</v>
      </c>
      <c r="J1515" s="3" t="s">
        <v>14</v>
      </c>
      <c r="K1515" s="8" t="s">
        <v>14</v>
      </c>
      <c r="L1515" s="9" t="s">
        <v>5893</v>
      </c>
      <c r="M1515" s="1" t="s">
        <v>5920</v>
      </c>
      <c r="N1515" t="s">
        <v>5548</v>
      </c>
    </row>
    <row r="1516" spans="1:14" x14ac:dyDescent="0.3">
      <c r="A1516" s="3">
        <v>2464233</v>
      </c>
      <c r="B1516" s="4" t="s">
        <v>4805</v>
      </c>
      <c r="C1516" s="5">
        <v>1680014</v>
      </c>
      <c r="D1516" s="5" t="s">
        <v>90</v>
      </c>
      <c r="E1516" s="3" t="s">
        <v>5428</v>
      </c>
      <c r="F1516" s="6">
        <v>60</v>
      </c>
      <c r="G1516" s="6">
        <v>37</v>
      </c>
      <c r="H1516" s="6">
        <v>22.9</v>
      </c>
      <c r="I1516" s="7">
        <v>26</v>
      </c>
      <c r="J1516" s="3" t="s">
        <v>4422</v>
      </c>
      <c r="K1516" s="8">
        <v>0.14000000000000001</v>
      </c>
      <c r="L1516" s="9" t="s">
        <v>5894</v>
      </c>
      <c r="M1516" s="1" t="s">
        <v>5921</v>
      </c>
      <c r="N1516" t="s">
        <v>5548</v>
      </c>
    </row>
    <row r="1517" spans="1:14" x14ac:dyDescent="0.3">
      <c r="A1517" s="3">
        <v>2464234</v>
      </c>
      <c r="B1517" s="4" t="s">
        <v>4805</v>
      </c>
      <c r="C1517" s="5">
        <v>1043009</v>
      </c>
      <c r="D1517" s="5" t="s">
        <v>90</v>
      </c>
      <c r="E1517" s="3" t="s">
        <v>5286</v>
      </c>
      <c r="F1517" s="6">
        <v>60</v>
      </c>
      <c r="G1517" s="6">
        <v>50</v>
      </c>
      <c r="H1517" s="6">
        <v>34.5</v>
      </c>
      <c r="I1517" s="7">
        <v>32</v>
      </c>
      <c r="J1517" s="3" t="s">
        <v>4317</v>
      </c>
      <c r="K1517" s="8">
        <v>0.21</v>
      </c>
      <c r="L1517" s="9" t="s">
        <v>5895</v>
      </c>
      <c r="M1517" s="1" t="s">
        <v>5922</v>
      </c>
      <c r="N1517" t="s">
        <v>5548</v>
      </c>
    </row>
    <row r="1518" spans="1:14" x14ac:dyDescent="0.3">
      <c r="A1518" s="3">
        <v>2464235</v>
      </c>
      <c r="B1518" s="4" t="s">
        <v>4805</v>
      </c>
      <c r="C1518" s="5">
        <v>1043008</v>
      </c>
      <c r="D1518" s="5" t="s">
        <v>96</v>
      </c>
      <c r="E1518" s="3" t="s">
        <v>5923</v>
      </c>
      <c r="F1518" s="6">
        <v>60.9</v>
      </c>
      <c r="G1518" s="6">
        <v>50.9</v>
      </c>
      <c r="H1518" s="6">
        <v>36.799999999999997</v>
      </c>
      <c r="I1518" s="7">
        <v>32</v>
      </c>
      <c r="J1518" s="3" t="s">
        <v>4317</v>
      </c>
      <c r="K1518" s="8">
        <v>2.02</v>
      </c>
      <c r="L1518" s="9" t="s">
        <v>5896</v>
      </c>
      <c r="M1518" s="1" t="s">
        <v>5926</v>
      </c>
      <c r="N1518" t="s">
        <v>5548</v>
      </c>
    </row>
    <row r="1519" spans="1:14" x14ac:dyDescent="0.3">
      <c r="A1519" s="3">
        <v>2464236</v>
      </c>
      <c r="B1519" s="4" t="s">
        <v>4805</v>
      </c>
      <c r="C1519" s="5">
        <v>1053009</v>
      </c>
      <c r="D1519" s="5" t="s">
        <v>90</v>
      </c>
      <c r="E1519" s="3" t="s">
        <v>5929</v>
      </c>
      <c r="F1519" s="6">
        <v>60</v>
      </c>
      <c r="G1519" s="6">
        <v>40</v>
      </c>
      <c r="H1519" s="6">
        <v>15</v>
      </c>
      <c r="I1519" s="7">
        <v>32</v>
      </c>
      <c r="J1519" s="3" t="s">
        <v>4317</v>
      </c>
      <c r="K1519" s="8">
        <v>0.06</v>
      </c>
      <c r="L1519" s="9" t="s">
        <v>5924</v>
      </c>
      <c r="M1519" s="1" t="s">
        <v>5930</v>
      </c>
      <c r="N1519" t="s">
        <v>5548</v>
      </c>
    </row>
    <row r="1520" spans="1:14" x14ac:dyDescent="0.3">
      <c r="A1520" s="3">
        <v>2464237</v>
      </c>
      <c r="B1520" s="4" t="s">
        <v>4805</v>
      </c>
      <c r="C1520" s="5">
        <v>1375012</v>
      </c>
      <c r="D1520" s="5" t="s">
        <v>13</v>
      </c>
      <c r="E1520" s="3" t="s">
        <v>5793</v>
      </c>
      <c r="F1520" s="6">
        <v>124.3</v>
      </c>
      <c r="G1520" s="6">
        <v>104.4</v>
      </c>
      <c r="H1520" s="6">
        <v>8</v>
      </c>
      <c r="I1520" s="7">
        <v>32</v>
      </c>
      <c r="J1520" s="3" t="s">
        <v>4317</v>
      </c>
      <c r="K1520" s="8">
        <v>1.69</v>
      </c>
      <c r="L1520" s="9" t="s">
        <v>5925</v>
      </c>
      <c r="M1520" s="1" t="s">
        <v>5931</v>
      </c>
      <c r="N1520" t="s">
        <v>5548</v>
      </c>
    </row>
    <row r="1521" spans="1:13" x14ac:dyDescent="0.3">
      <c r="A1521" s="3">
        <v>2464238</v>
      </c>
      <c r="B1521" s="4" t="s">
        <v>4805</v>
      </c>
      <c r="C1521" s="5" t="s">
        <v>5964</v>
      </c>
      <c r="D1521" s="5" t="s">
        <v>23</v>
      </c>
      <c r="E1521" s="3" t="s">
        <v>5968</v>
      </c>
      <c r="F1521" s="6">
        <v>77.5</v>
      </c>
      <c r="G1521" s="6">
        <v>72.5</v>
      </c>
      <c r="H1521" s="6">
        <v>71</v>
      </c>
      <c r="I1521" s="7">
        <v>44</v>
      </c>
      <c r="J1521" s="3" t="s">
        <v>4317</v>
      </c>
      <c r="K1521" s="8">
        <v>3.29</v>
      </c>
      <c r="L1521" s="9" t="s">
        <v>5969</v>
      </c>
      <c r="M1521" s="1" t="s">
        <v>6424</v>
      </c>
    </row>
    <row r="1522" spans="1:13" x14ac:dyDescent="0.3">
      <c r="A1522" s="3">
        <v>2464239</v>
      </c>
      <c r="B1522" s="4" t="s">
        <v>4805</v>
      </c>
      <c r="C1522" s="5" t="s">
        <v>5965</v>
      </c>
      <c r="D1522" s="5" t="s">
        <v>90</v>
      </c>
      <c r="E1522" s="3" t="s">
        <v>5968</v>
      </c>
      <c r="F1522" s="6">
        <v>76</v>
      </c>
      <c r="G1522" s="6">
        <v>71</v>
      </c>
      <c r="H1522" s="6">
        <v>68</v>
      </c>
      <c r="I1522" s="7">
        <v>32</v>
      </c>
      <c r="J1522" s="3" t="s">
        <v>4317</v>
      </c>
      <c r="K1522" s="8">
        <v>0.52</v>
      </c>
      <c r="L1522" s="9" t="s">
        <v>5970</v>
      </c>
      <c r="M1522" s="1" t="s">
        <v>6425</v>
      </c>
    </row>
    <row r="1523" spans="1:13" x14ac:dyDescent="0.3">
      <c r="A1523" s="3">
        <v>2464240</v>
      </c>
      <c r="B1523" s="4" t="s">
        <v>4805</v>
      </c>
      <c r="C1523" s="5" t="s">
        <v>5966</v>
      </c>
      <c r="D1523" s="5" t="s">
        <v>13</v>
      </c>
      <c r="E1523" s="3" t="s">
        <v>5968</v>
      </c>
      <c r="F1523" s="6">
        <v>79</v>
      </c>
      <c r="G1523" s="6">
        <v>74</v>
      </c>
      <c r="H1523" s="6">
        <v>8</v>
      </c>
      <c r="I1523" s="7">
        <v>32</v>
      </c>
      <c r="J1523" s="3" t="s">
        <v>4317</v>
      </c>
      <c r="K1523" s="8">
        <v>0.86</v>
      </c>
      <c r="L1523" s="9" t="s">
        <v>5971</v>
      </c>
      <c r="M1523" s="1" t="s">
        <v>6427</v>
      </c>
    </row>
    <row r="1524" spans="1:13" x14ac:dyDescent="0.3">
      <c r="A1524" s="3">
        <v>2464241</v>
      </c>
      <c r="B1524" s="4" t="s">
        <v>4805</v>
      </c>
      <c r="C1524" s="5" t="s">
        <v>5967</v>
      </c>
      <c r="D1524" s="5" t="s">
        <v>5462</v>
      </c>
      <c r="E1524" s="3" t="s">
        <v>5968</v>
      </c>
      <c r="F1524" s="6">
        <v>76</v>
      </c>
      <c r="G1524" s="6">
        <v>71</v>
      </c>
      <c r="H1524" s="6" t="s">
        <v>14</v>
      </c>
      <c r="I1524" s="7" t="s">
        <v>5979</v>
      </c>
      <c r="J1524" s="3" t="s">
        <v>4731</v>
      </c>
      <c r="K1524" s="8">
        <v>0.54</v>
      </c>
      <c r="L1524" s="9" t="s">
        <v>5972</v>
      </c>
      <c r="M1524" s="1" t="s">
        <v>6426</v>
      </c>
    </row>
    <row r="1525" spans="1:13" x14ac:dyDescent="0.3">
      <c r="A1525" s="3">
        <v>2464242</v>
      </c>
      <c r="B1525" s="4" t="s">
        <v>4805</v>
      </c>
      <c r="C1525" s="5" t="s">
        <v>5980</v>
      </c>
      <c r="D1525" s="5" t="s">
        <v>23</v>
      </c>
      <c r="E1525" s="3" t="s">
        <v>5981</v>
      </c>
      <c r="F1525" s="6">
        <v>77.5</v>
      </c>
      <c r="G1525" s="6">
        <v>72.5</v>
      </c>
      <c r="H1525" s="6">
        <v>71.3</v>
      </c>
      <c r="I1525" s="7">
        <v>44</v>
      </c>
      <c r="J1525" s="3" t="s">
        <v>4317</v>
      </c>
      <c r="K1525" s="8">
        <v>3.29</v>
      </c>
      <c r="L1525" s="9" t="s">
        <v>5973</v>
      </c>
      <c r="M1525" s="1" t="s">
        <v>6428</v>
      </c>
    </row>
    <row r="1526" spans="1:13" x14ac:dyDescent="0.3">
      <c r="A1526" s="3">
        <v>2464243</v>
      </c>
      <c r="B1526" s="4" t="s">
        <v>4805</v>
      </c>
      <c r="C1526" s="5" t="s">
        <v>5982</v>
      </c>
      <c r="D1526" s="5" t="s">
        <v>90</v>
      </c>
      <c r="E1526" s="3" t="s">
        <v>5981</v>
      </c>
      <c r="F1526" s="6">
        <v>76</v>
      </c>
      <c r="G1526" s="6">
        <v>72</v>
      </c>
      <c r="H1526" s="6">
        <v>71</v>
      </c>
      <c r="I1526" s="7">
        <v>32</v>
      </c>
      <c r="J1526" s="3" t="s">
        <v>4317</v>
      </c>
      <c r="K1526" s="8">
        <v>0.54</v>
      </c>
      <c r="L1526" s="9" t="s">
        <v>5974</v>
      </c>
      <c r="M1526" s="1" t="s">
        <v>6429</v>
      </c>
    </row>
    <row r="1527" spans="1:13" x14ac:dyDescent="0.3">
      <c r="A1527" s="3">
        <v>2464244</v>
      </c>
      <c r="B1527" s="4" t="s">
        <v>4805</v>
      </c>
      <c r="C1527" s="5" t="s">
        <v>5983</v>
      </c>
      <c r="D1527" s="5" t="s">
        <v>5462</v>
      </c>
      <c r="E1527" s="3" t="s">
        <v>5981</v>
      </c>
      <c r="F1527" s="6">
        <v>76</v>
      </c>
      <c r="G1527" s="6">
        <v>71</v>
      </c>
      <c r="H1527" s="6" t="s">
        <v>14</v>
      </c>
      <c r="I1527" s="7" t="s">
        <v>5979</v>
      </c>
      <c r="J1527" s="3" t="s">
        <v>4731</v>
      </c>
      <c r="K1527" s="8">
        <v>0.54</v>
      </c>
      <c r="L1527" s="9" t="s">
        <v>5975</v>
      </c>
      <c r="M1527" s="1" t="s">
        <v>6430</v>
      </c>
    </row>
    <row r="1528" spans="1:13" x14ac:dyDescent="0.3">
      <c r="A1528" s="3">
        <v>2464245</v>
      </c>
      <c r="B1528" s="4" t="s">
        <v>4805</v>
      </c>
      <c r="C1528" s="5" t="s">
        <v>5984</v>
      </c>
      <c r="D1528" s="5" t="s">
        <v>13</v>
      </c>
      <c r="E1528" s="3" t="s">
        <v>5981</v>
      </c>
      <c r="F1528" s="6">
        <v>79</v>
      </c>
      <c r="G1528" s="6">
        <v>74</v>
      </c>
      <c r="H1528" s="6">
        <v>8</v>
      </c>
      <c r="I1528" s="7">
        <v>32</v>
      </c>
      <c r="J1528" s="3" t="s">
        <v>4317</v>
      </c>
      <c r="K1528" s="8">
        <v>0.86</v>
      </c>
      <c r="L1528" s="9" t="s">
        <v>5976</v>
      </c>
      <c r="M1528" s="1" t="s">
        <v>6431</v>
      </c>
    </row>
    <row r="1529" spans="1:13" x14ac:dyDescent="0.3">
      <c r="A1529" s="3">
        <v>2464246</v>
      </c>
      <c r="B1529" s="4" t="s">
        <v>4805</v>
      </c>
      <c r="C1529" s="5">
        <v>1714002</v>
      </c>
      <c r="D1529" s="5" t="s">
        <v>23</v>
      </c>
      <c r="E1529" s="3" t="s">
        <v>6085</v>
      </c>
      <c r="F1529" s="6">
        <v>61</v>
      </c>
      <c r="G1529" s="6">
        <v>57</v>
      </c>
      <c r="H1529" s="6">
        <v>30.3</v>
      </c>
      <c r="I1529" s="7">
        <v>32</v>
      </c>
      <c r="J1529" s="3" t="s">
        <v>4317</v>
      </c>
      <c r="K1529" s="8">
        <v>1.42</v>
      </c>
      <c r="L1529" s="9" t="s">
        <v>5977</v>
      </c>
      <c r="M1529" s="1" t="s">
        <v>6335</v>
      </c>
    </row>
    <row r="1530" spans="1:13" x14ac:dyDescent="0.3">
      <c r="A1530" s="3">
        <v>2464247</v>
      </c>
      <c r="B1530" s="4" t="s">
        <v>4805</v>
      </c>
      <c r="C1530" s="5">
        <v>1714003</v>
      </c>
      <c r="D1530" s="5" t="s">
        <v>90</v>
      </c>
      <c r="E1530" s="3" t="s">
        <v>6085</v>
      </c>
      <c r="F1530" s="6">
        <v>60</v>
      </c>
      <c r="G1530" s="6">
        <v>56</v>
      </c>
      <c r="H1530" s="6">
        <v>14.5</v>
      </c>
      <c r="I1530" s="7" t="s">
        <v>6334</v>
      </c>
      <c r="J1530" s="3" t="s">
        <v>4317</v>
      </c>
      <c r="K1530" s="8">
        <v>0.09</v>
      </c>
      <c r="L1530" s="9" t="s">
        <v>5978</v>
      </c>
      <c r="M1530" s="1" t="s">
        <v>6336</v>
      </c>
    </row>
    <row r="1531" spans="1:13" x14ac:dyDescent="0.3">
      <c r="A1531" s="3">
        <v>2464248</v>
      </c>
      <c r="B1531" s="4" t="s">
        <v>4805</v>
      </c>
      <c r="C1531" s="5">
        <v>1714004</v>
      </c>
      <c r="D1531" s="5" t="s">
        <v>74</v>
      </c>
      <c r="E1531" s="3" t="s">
        <v>6085</v>
      </c>
      <c r="F1531" s="6">
        <v>60</v>
      </c>
      <c r="G1531" s="6">
        <v>56</v>
      </c>
      <c r="H1531" s="6" t="s">
        <v>14</v>
      </c>
      <c r="I1531" s="7">
        <v>32</v>
      </c>
      <c r="J1531" s="3" t="s">
        <v>4317</v>
      </c>
      <c r="K1531" s="8">
        <v>0.34</v>
      </c>
      <c r="L1531" s="9" t="s">
        <v>5978</v>
      </c>
      <c r="M1531" s="1" t="s">
        <v>6337</v>
      </c>
    </row>
    <row r="1532" spans="1:13" x14ac:dyDescent="0.3">
      <c r="A1532" s="3">
        <v>2464249</v>
      </c>
      <c r="B1532" s="4" t="s">
        <v>4805</v>
      </c>
      <c r="C1532" s="5">
        <v>1719005</v>
      </c>
      <c r="D1532" s="5" t="s">
        <v>23</v>
      </c>
      <c r="E1532" s="3" t="s">
        <v>6143</v>
      </c>
      <c r="F1532" s="6">
        <v>115</v>
      </c>
      <c r="G1532" s="6">
        <v>30.5</v>
      </c>
      <c r="H1532" s="6">
        <v>10.5</v>
      </c>
      <c r="I1532" s="7">
        <v>42</v>
      </c>
      <c r="J1532" s="3" t="s">
        <v>4318</v>
      </c>
      <c r="K1532" s="8">
        <v>0.82</v>
      </c>
      <c r="L1532" s="9" t="s">
        <v>6144</v>
      </c>
      <c r="M1532" s="1" t="s">
        <v>6147</v>
      </c>
    </row>
    <row r="1533" spans="1:13" x14ac:dyDescent="0.3">
      <c r="A1533" s="3">
        <v>2464250</v>
      </c>
      <c r="B1533" s="4" t="s">
        <v>4805</v>
      </c>
      <c r="C1533" s="5" t="s">
        <v>6142</v>
      </c>
      <c r="D1533" s="5" t="s">
        <v>5461</v>
      </c>
      <c r="E1533" s="3" t="s">
        <v>6143</v>
      </c>
      <c r="F1533" s="6">
        <v>113</v>
      </c>
      <c r="G1533" s="6">
        <v>29</v>
      </c>
      <c r="H1533" s="6" t="s">
        <v>14</v>
      </c>
      <c r="I1533" s="34" t="s">
        <v>5312</v>
      </c>
      <c r="J1533" s="3" t="s">
        <v>4731</v>
      </c>
      <c r="K1533" s="8">
        <v>0.33</v>
      </c>
      <c r="L1533" s="9" t="s">
        <v>6145</v>
      </c>
      <c r="M1533" s="1" t="s">
        <v>6148</v>
      </c>
    </row>
    <row r="1534" spans="1:13" x14ac:dyDescent="0.3">
      <c r="A1534" s="3">
        <v>2464251</v>
      </c>
      <c r="B1534" s="4" t="s">
        <v>4805</v>
      </c>
      <c r="C1534" s="5">
        <v>1719003</v>
      </c>
      <c r="D1534" s="5" t="s">
        <v>13</v>
      </c>
      <c r="E1534" s="3" t="s">
        <v>6143</v>
      </c>
      <c r="F1534" s="6">
        <v>116</v>
      </c>
      <c r="G1534" s="6">
        <v>31.5</v>
      </c>
      <c r="H1534" s="6">
        <v>12</v>
      </c>
      <c r="I1534" s="7">
        <v>32</v>
      </c>
      <c r="J1534" s="3" t="s">
        <v>4317</v>
      </c>
      <c r="K1534" s="8">
        <v>0.78</v>
      </c>
      <c r="L1534" s="9" t="s">
        <v>6146</v>
      </c>
      <c r="M1534" s="1" t="s">
        <v>6149</v>
      </c>
    </row>
    <row r="1535" spans="1:13" x14ac:dyDescent="0.3">
      <c r="A1535" s="3">
        <v>2464252</v>
      </c>
      <c r="B1535" s="4" t="s">
        <v>4805</v>
      </c>
      <c r="C1535" s="5">
        <v>1720000</v>
      </c>
      <c r="D1535" s="5" t="s">
        <v>23</v>
      </c>
      <c r="E1535" s="3" t="s">
        <v>6163</v>
      </c>
      <c r="F1535" s="6">
        <v>91.5</v>
      </c>
      <c r="G1535" s="6">
        <v>61</v>
      </c>
      <c r="H1535" s="6">
        <v>51</v>
      </c>
      <c r="I1535" s="7">
        <v>42</v>
      </c>
      <c r="J1535" s="3" t="s">
        <v>4318</v>
      </c>
      <c r="K1535" s="8">
        <v>2.54</v>
      </c>
      <c r="L1535" s="9" t="s">
        <v>6164</v>
      </c>
      <c r="M1535" s="1" t="s">
        <v>6169</v>
      </c>
    </row>
    <row r="1536" spans="1:13" x14ac:dyDescent="0.3">
      <c r="A1536" s="3">
        <v>2464253</v>
      </c>
      <c r="B1536" s="4" t="s">
        <v>4805</v>
      </c>
      <c r="C1536" s="5">
        <v>1721000</v>
      </c>
      <c r="D1536" s="5" t="s">
        <v>4792</v>
      </c>
      <c r="E1536" s="3" t="s">
        <v>6163</v>
      </c>
      <c r="F1536" s="6">
        <v>90</v>
      </c>
      <c r="G1536" s="6">
        <v>59.5</v>
      </c>
      <c r="H1536" s="6">
        <v>24.5</v>
      </c>
      <c r="I1536" s="7">
        <v>32</v>
      </c>
      <c r="J1536" s="3" t="s">
        <v>4317</v>
      </c>
      <c r="K1536" s="8">
        <v>0.15</v>
      </c>
      <c r="L1536" s="9" t="s">
        <v>6165</v>
      </c>
      <c r="M1536" s="1" t="s">
        <v>6170</v>
      </c>
    </row>
    <row r="1537" spans="1:13" x14ac:dyDescent="0.3">
      <c r="A1537" s="3">
        <v>2464254</v>
      </c>
      <c r="B1537" s="4" t="s">
        <v>4805</v>
      </c>
      <c r="C1537" s="5">
        <v>1720003</v>
      </c>
      <c r="D1537" s="5" t="s">
        <v>74</v>
      </c>
      <c r="E1537" s="3" t="s">
        <v>6163</v>
      </c>
      <c r="F1537" s="6">
        <v>90</v>
      </c>
      <c r="G1537" s="6">
        <v>56</v>
      </c>
      <c r="H1537" s="6" t="s">
        <v>14</v>
      </c>
      <c r="I1537" s="7">
        <v>32</v>
      </c>
      <c r="J1537" s="3" t="s">
        <v>4317</v>
      </c>
      <c r="K1537" s="8">
        <v>0.5</v>
      </c>
      <c r="L1537" s="9" t="s">
        <v>6166</v>
      </c>
      <c r="M1537" s="1" t="s">
        <v>6171</v>
      </c>
    </row>
    <row r="1538" spans="1:13" x14ac:dyDescent="0.3">
      <c r="A1538" s="3">
        <v>2464255</v>
      </c>
      <c r="B1538" s="4" t="s">
        <v>4805</v>
      </c>
      <c r="C1538" s="5">
        <v>1720002</v>
      </c>
      <c r="D1538" s="5" t="s">
        <v>5461</v>
      </c>
      <c r="E1538" s="3" t="s">
        <v>6163</v>
      </c>
      <c r="F1538" s="6">
        <v>90</v>
      </c>
      <c r="G1538" s="6">
        <v>56</v>
      </c>
      <c r="H1538" s="6" t="s">
        <v>14</v>
      </c>
      <c r="I1538" s="34" t="s">
        <v>5312</v>
      </c>
      <c r="J1538" s="3" t="s">
        <v>4731</v>
      </c>
      <c r="K1538" s="8">
        <v>0.5</v>
      </c>
      <c r="L1538" s="9" t="s">
        <v>6167</v>
      </c>
      <c r="M1538" s="1" t="s">
        <v>6172</v>
      </c>
    </row>
    <row r="1539" spans="1:13" x14ac:dyDescent="0.3">
      <c r="A1539" s="3">
        <v>2464256</v>
      </c>
      <c r="B1539" s="4" t="s">
        <v>4805</v>
      </c>
      <c r="C1539" s="5">
        <v>1720004</v>
      </c>
      <c r="D1539" s="5" t="s">
        <v>6162</v>
      </c>
      <c r="E1539" s="3" t="s">
        <v>6163</v>
      </c>
      <c r="F1539" s="6">
        <v>92</v>
      </c>
      <c r="G1539" s="6">
        <v>62</v>
      </c>
      <c r="H1539" s="6">
        <v>8</v>
      </c>
      <c r="I1539" s="7">
        <v>32</v>
      </c>
      <c r="J1539" s="3" t="s">
        <v>4317</v>
      </c>
      <c r="K1539" s="8">
        <v>0.85</v>
      </c>
      <c r="L1539" s="9" t="s">
        <v>6168</v>
      </c>
      <c r="M1539" s="1" t="s">
        <v>6173</v>
      </c>
    </row>
    <row r="1540" spans="1:13" x14ac:dyDescent="0.3">
      <c r="A1540" s="3">
        <v>2464257</v>
      </c>
      <c r="B1540" s="4" t="s">
        <v>4805</v>
      </c>
      <c r="C1540" s="5">
        <v>1406021</v>
      </c>
      <c r="D1540" s="5" t="s">
        <v>96</v>
      </c>
      <c r="E1540" s="3" t="s">
        <v>6178</v>
      </c>
      <c r="F1540" s="6">
        <v>61</v>
      </c>
      <c r="G1540" s="6">
        <v>46</v>
      </c>
      <c r="H1540" s="6">
        <v>38.799999999999997</v>
      </c>
      <c r="I1540" s="7">
        <v>32</v>
      </c>
      <c r="J1540" s="3" t="s">
        <v>4317</v>
      </c>
      <c r="K1540" s="8">
        <v>1.87</v>
      </c>
      <c r="L1540" s="9" t="s">
        <v>6179</v>
      </c>
      <c r="M1540" s="1" t="s">
        <v>6329</v>
      </c>
    </row>
    <row r="1541" spans="1:13" x14ac:dyDescent="0.3">
      <c r="A1541" s="3">
        <v>2464258</v>
      </c>
      <c r="B1541" s="4" t="s">
        <v>4805</v>
      </c>
      <c r="C1541" s="5">
        <v>1406022</v>
      </c>
      <c r="D1541" s="5" t="s">
        <v>4792</v>
      </c>
      <c r="E1541" s="3" t="s">
        <v>6178</v>
      </c>
      <c r="F1541" s="6">
        <v>60</v>
      </c>
      <c r="G1541" s="6">
        <v>45</v>
      </c>
      <c r="H1541" s="6">
        <v>37</v>
      </c>
      <c r="I1541" s="7">
        <v>32</v>
      </c>
      <c r="J1541" s="3" t="s">
        <v>4317</v>
      </c>
      <c r="K1541" s="8">
        <v>0.22</v>
      </c>
      <c r="L1541" s="9" t="s">
        <v>6180</v>
      </c>
      <c r="M1541" s="1" t="s">
        <v>6330</v>
      </c>
    </row>
    <row r="1542" spans="1:13" x14ac:dyDescent="0.3">
      <c r="A1542" s="3">
        <v>2464259</v>
      </c>
      <c r="B1542" s="4" t="s">
        <v>4805</v>
      </c>
      <c r="C1542" s="5">
        <v>1406012</v>
      </c>
      <c r="D1542" s="5" t="s">
        <v>3893</v>
      </c>
      <c r="E1542" s="3" t="s">
        <v>6178</v>
      </c>
      <c r="F1542" s="6" t="s">
        <v>5661</v>
      </c>
      <c r="G1542" s="6" t="s">
        <v>5376</v>
      </c>
      <c r="H1542" s="6" t="s">
        <v>14</v>
      </c>
      <c r="I1542" s="7" t="s">
        <v>6182</v>
      </c>
      <c r="J1542" s="3" t="s">
        <v>5519</v>
      </c>
      <c r="K1542" s="8" t="s">
        <v>14</v>
      </c>
      <c r="L1542" s="9" t="s">
        <v>6181</v>
      </c>
      <c r="M1542" s="1" t="s">
        <v>6331</v>
      </c>
    </row>
    <row r="1543" spans="1:13" x14ac:dyDescent="0.3">
      <c r="A1543" s="3">
        <v>2464260</v>
      </c>
      <c r="B1543" s="4" t="s">
        <v>4805</v>
      </c>
      <c r="C1543" s="5">
        <v>1406023</v>
      </c>
      <c r="D1543" s="5" t="s">
        <v>96</v>
      </c>
      <c r="E1543" s="3" t="s">
        <v>6183</v>
      </c>
      <c r="F1543" s="6">
        <v>66</v>
      </c>
      <c r="G1543" s="6">
        <v>48.5</v>
      </c>
      <c r="H1543" s="6">
        <v>30.3</v>
      </c>
      <c r="I1543" s="7">
        <v>32</v>
      </c>
      <c r="J1543" s="3" t="s">
        <v>4317</v>
      </c>
      <c r="K1543" s="8">
        <v>1.28</v>
      </c>
      <c r="L1543" s="9" t="s">
        <v>6227</v>
      </c>
      <c r="M1543" s="1" t="s">
        <v>6354</v>
      </c>
    </row>
    <row r="1544" spans="1:13" x14ac:dyDescent="0.3">
      <c r="A1544" s="3">
        <v>2464261</v>
      </c>
      <c r="B1544" s="4" t="s">
        <v>4805</v>
      </c>
      <c r="C1544" s="5">
        <v>1406024</v>
      </c>
      <c r="D1544" s="5" t="s">
        <v>4792</v>
      </c>
      <c r="E1544" s="3" t="s">
        <v>6183</v>
      </c>
      <c r="F1544" s="6">
        <v>65</v>
      </c>
      <c r="G1544" s="6">
        <v>47.5</v>
      </c>
      <c r="H1544" s="6">
        <v>14.5</v>
      </c>
      <c r="I1544" s="7">
        <v>32</v>
      </c>
      <c r="J1544" s="3" t="s">
        <v>4317</v>
      </c>
      <c r="K1544" s="8">
        <v>0.16</v>
      </c>
      <c r="L1544" s="9" t="s">
        <v>6228</v>
      </c>
      <c r="M1544" s="1" t="s">
        <v>6355</v>
      </c>
    </row>
    <row r="1545" spans="1:13" x14ac:dyDescent="0.3">
      <c r="A1545" s="3">
        <v>2464262</v>
      </c>
      <c r="B1545" s="4" t="s">
        <v>4805</v>
      </c>
      <c r="C1545" s="5">
        <v>1604025</v>
      </c>
      <c r="D1545" s="5" t="s">
        <v>74</v>
      </c>
      <c r="E1545" s="3" t="s">
        <v>6183</v>
      </c>
      <c r="F1545" s="6">
        <v>65</v>
      </c>
      <c r="G1545" s="6">
        <v>47.5</v>
      </c>
      <c r="H1545" s="6" t="s">
        <v>14</v>
      </c>
      <c r="I1545" s="7">
        <v>32</v>
      </c>
      <c r="J1545" s="3" t="s">
        <v>4317</v>
      </c>
      <c r="K1545" s="8">
        <v>0.31</v>
      </c>
      <c r="L1545" s="9" t="s">
        <v>6229</v>
      </c>
      <c r="M1545" s="1" t="s">
        <v>6356</v>
      </c>
    </row>
    <row r="1546" spans="1:13" x14ac:dyDescent="0.3">
      <c r="A1546" s="3">
        <v>2464263</v>
      </c>
      <c r="B1546" s="4" t="s">
        <v>4805</v>
      </c>
      <c r="C1546" s="5">
        <v>1406016</v>
      </c>
      <c r="D1546" s="5" t="s">
        <v>3893</v>
      </c>
      <c r="E1546" s="3" t="s">
        <v>6183</v>
      </c>
      <c r="F1546" s="6"/>
      <c r="G1546" s="6"/>
      <c r="H1546" s="6"/>
      <c r="I1546" s="7"/>
      <c r="J1546" s="3"/>
      <c r="K1546" s="8"/>
      <c r="L1546" s="9" t="s">
        <v>6230</v>
      </c>
      <c r="M1546" s="1"/>
    </row>
    <row r="1547" spans="1:13" x14ac:dyDescent="0.3">
      <c r="A1547" s="3">
        <v>2464264</v>
      </c>
      <c r="B1547" s="4" t="s">
        <v>4805</v>
      </c>
      <c r="C1547" s="5">
        <v>1562038</v>
      </c>
      <c r="D1547" s="5" t="s">
        <v>23</v>
      </c>
      <c r="E1547" s="3" t="s">
        <v>6221</v>
      </c>
      <c r="F1547" s="6">
        <v>60</v>
      </c>
      <c r="G1547" s="6">
        <v>37</v>
      </c>
      <c r="H1547" s="6">
        <v>26.5</v>
      </c>
      <c r="I1547" s="7">
        <v>44</v>
      </c>
      <c r="J1547" s="3" t="s">
        <v>4317</v>
      </c>
      <c r="K1547" s="8">
        <v>0.9</v>
      </c>
      <c r="L1547" s="9" t="s">
        <v>6231</v>
      </c>
      <c r="M1547" s="1" t="s">
        <v>6432</v>
      </c>
    </row>
    <row r="1548" spans="1:13" x14ac:dyDescent="0.3">
      <c r="A1548" s="3">
        <v>2464265</v>
      </c>
      <c r="B1548" s="4" t="s">
        <v>4805</v>
      </c>
      <c r="C1548" s="5" t="s">
        <v>6215</v>
      </c>
      <c r="D1548" s="5" t="s">
        <v>13</v>
      </c>
      <c r="E1548" s="3" t="s">
        <v>6221</v>
      </c>
      <c r="F1548" s="6">
        <v>61.5</v>
      </c>
      <c r="G1548" s="6">
        <v>38.5</v>
      </c>
      <c r="H1548" s="6">
        <v>8</v>
      </c>
      <c r="I1548" s="7">
        <v>42</v>
      </c>
      <c r="J1548" s="3" t="s">
        <v>4317</v>
      </c>
      <c r="K1548" s="8">
        <v>0.42</v>
      </c>
      <c r="L1548" s="9" t="s">
        <v>6232</v>
      </c>
      <c r="M1548" s="1" t="s">
        <v>6433</v>
      </c>
    </row>
    <row r="1549" spans="1:13" x14ac:dyDescent="0.3">
      <c r="A1549" s="3">
        <v>2464266</v>
      </c>
      <c r="B1549" s="4" t="s">
        <v>4805</v>
      </c>
      <c r="C1549" s="5">
        <v>1564017</v>
      </c>
      <c r="D1549" s="5" t="s">
        <v>23</v>
      </c>
      <c r="E1549" s="3" t="s">
        <v>6222</v>
      </c>
      <c r="F1549" s="6">
        <v>60</v>
      </c>
      <c r="G1549" s="6">
        <v>37</v>
      </c>
      <c r="H1549" s="6">
        <v>22.5</v>
      </c>
      <c r="I1549" s="7">
        <v>44</v>
      </c>
      <c r="J1549" s="3" t="s">
        <v>4317</v>
      </c>
      <c r="K1549" s="8">
        <v>0.82</v>
      </c>
      <c r="L1549" s="9" t="s">
        <v>6233</v>
      </c>
      <c r="M1549" s="1" t="s">
        <v>6434</v>
      </c>
    </row>
    <row r="1550" spans="1:13" x14ac:dyDescent="0.3">
      <c r="A1550" s="3">
        <v>2464267</v>
      </c>
      <c r="B1550" s="4" t="s">
        <v>4805</v>
      </c>
      <c r="C1550" s="5" t="s">
        <v>6216</v>
      </c>
      <c r="D1550" s="5" t="s">
        <v>13</v>
      </c>
      <c r="E1550" s="3" t="s">
        <v>6222</v>
      </c>
      <c r="F1550" s="6">
        <v>61.5</v>
      </c>
      <c r="G1550" s="6">
        <v>38.5</v>
      </c>
      <c r="H1550" s="6">
        <v>8</v>
      </c>
      <c r="I1550" s="7">
        <v>32</v>
      </c>
      <c r="J1550" s="3" t="s">
        <v>4317</v>
      </c>
      <c r="K1550" s="8">
        <v>0.42</v>
      </c>
      <c r="L1550" s="9" t="s">
        <v>6234</v>
      </c>
      <c r="M1550" s="1" t="s">
        <v>6435</v>
      </c>
    </row>
    <row r="1551" spans="1:13" x14ac:dyDescent="0.3">
      <c r="A1551" s="3">
        <v>2464268</v>
      </c>
      <c r="B1551" s="4" t="s">
        <v>4805</v>
      </c>
      <c r="C1551" s="5">
        <v>1438024</v>
      </c>
      <c r="D1551" s="5" t="s">
        <v>23</v>
      </c>
      <c r="E1551" s="3" t="s">
        <v>6223</v>
      </c>
      <c r="F1551" s="6">
        <v>60</v>
      </c>
      <c r="G1551" s="6">
        <v>37</v>
      </c>
      <c r="H1551" s="6">
        <v>17.5</v>
      </c>
      <c r="I1551" s="7">
        <v>44</v>
      </c>
      <c r="J1551" s="3" t="s">
        <v>4317</v>
      </c>
      <c r="K1551" s="8">
        <v>0.72</v>
      </c>
      <c r="L1551" s="9" t="s">
        <v>6235</v>
      </c>
      <c r="M1551" s="1" t="s">
        <v>6436</v>
      </c>
    </row>
    <row r="1552" spans="1:13" x14ac:dyDescent="0.3">
      <c r="A1552" s="3">
        <v>2464269</v>
      </c>
      <c r="B1552" s="4" t="s">
        <v>4805</v>
      </c>
      <c r="C1552" s="5" t="s">
        <v>6217</v>
      </c>
      <c r="D1552" s="5" t="s">
        <v>13</v>
      </c>
      <c r="E1552" s="3" t="s">
        <v>6223</v>
      </c>
      <c r="F1552" s="6">
        <v>61.5</v>
      </c>
      <c r="G1552" s="6">
        <v>38.5</v>
      </c>
      <c r="H1552" s="6">
        <v>8</v>
      </c>
      <c r="I1552" s="7">
        <v>32</v>
      </c>
      <c r="J1552" s="3" t="s">
        <v>4317</v>
      </c>
      <c r="K1552" s="8">
        <v>0.42</v>
      </c>
      <c r="L1552" s="9" t="s">
        <v>6236</v>
      </c>
      <c r="M1552" s="1" t="s">
        <v>6437</v>
      </c>
    </row>
    <row r="1553" spans="1:13" x14ac:dyDescent="0.3">
      <c r="A1553" s="3">
        <v>2464270</v>
      </c>
      <c r="B1553" s="4" t="s">
        <v>4805</v>
      </c>
      <c r="C1553" s="5">
        <v>1433028</v>
      </c>
      <c r="D1553" s="5" t="s">
        <v>23</v>
      </c>
      <c r="E1553" s="3" t="s">
        <v>6224</v>
      </c>
      <c r="F1553" s="6">
        <v>60</v>
      </c>
      <c r="G1553" s="6">
        <v>55</v>
      </c>
      <c r="H1553" s="6">
        <v>35.5</v>
      </c>
      <c r="I1553" s="7">
        <v>44</v>
      </c>
      <c r="J1553" s="3" t="s">
        <v>4317</v>
      </c>
      <c r="K1553" s="8">
        <v>1.49</v>
      </c>
      <c r="L1553" s="9" t="s">
        <v>6237</v>
      </c>
      <c r="M1553" s="1" t="s">
        <v>6438</v>
      </c>
    </row>
    <row r="1554" spans="1:13" x14ac:dyDescent="0.3">
      <c r="A1554" s="3">
        <v>2464271</v>
      </c>
      <c r="B1554" s="4" t="s">
        <v>4805</v>
      </c>
      <c r="C1554" s="5" t="s">
        <v>6218</v>
      </c>
      <c r="D1554" s="5" t="s">
        <v>13</v>
      </c>
      <c r="E1554" s="3" t="s">
        <v>6224</v>
      </c>
      <c r="F1554" s="6">
        <v>61.5</v>
      </c>
      <c r="G1554" s="6">
        <v>56.5</v>
      </c>
      <c r="H1554" s="6">
        <v>8</v>
      </c>
      <c r="I1554" s="7">
        <v>32</v>
      </c>
      <c r="J1554" s="3" t="s">
        <v>4317</v>
      </c>
      <c r="K1554" s="8">
        <v>0.56000000000000005</v>
      </c>
      <c r="L1554" s="9" t="s">
        <v>6238</v>
      </c>
      <c r="M1554" s="1" t="s">
        <v>6439</v>
      </c>
    </row>
    <row r="1555" spans="1:13" x14ac:dyDescent="0.3">
      <c r="A1555" s="3">
        <v>2464272</v>
      </c>
      <c r="B1555" s="4" t="s">
        <v>4805</v>
      </c>
      <c r="C1555" s="5">
        <v>1432018</v>
      </c>
      <c r="D1555" s="5" t="s">
        <v>23</v>
      </c>
      <c r="E1555" s="3" t="s">
        <v>6225</v>
      </c>
      <c r="F1555" s="6">
        <v>60</v>
      </c>
      <c r="G1555" s="6">
        <v>55</v>
      </c>
      <c r="H1555" s="6">
        <v>17.5</v>
      </c>
      <c r="I1555" s="7">
        <v>44</v>
      </c>
      <c r="J1555" s="3" t="s">
        <v>4317</v>
      </c>
      <c r="K1555" s="8">
        <v>1.06</v>
      </c>
      <c r="L1555" s="9" t="s">
        <v>6239</v>
      </c>
      <c r="M1555" s="1" t="s">
        <v>6440</v>
      </c>
    </row>
    <row r="1556" spans="1:13" x14ac:dyDescent="0.3">
      <c r="A1556" s="3">
        <v>2464273</v>
      </c>
      <c r="B1556" s="4" t="s">
        <v>4805</v>
      </c>
      <c r="C1556" s="5" t="s">
        <v>6219</v>
      </c>
      <c r="D1556" s="5" t="s">
        <v>13</v>
      </c>
      <c r="E1556" s="3" t="s">
        <v>6225</v>
      </c>
      <c r="F1556" s="6">
        <v>61.5</v>
      </c>
      <c r="G1556" s="6">
        <v>65.5</v>
      </c>
      <c r="H1556" s="6">
        <v>8</v>
      </c>
      <c r="I1556" s="7">
        <v>32</v>
      </c>
      <c r="J1556" s="3" t="s">
        <v>4317</v>
      </c>
      <c r="K1556" s="8">
        <v>0.56000000000000005</v>
      </c>
      <c r="L1556" s="9" t="s">
        <v>6240</v>
      </c>
      <c r="M1556" s="1" t="s">
        <v>6441</v>
      </c>
    </row>
    <row r="1557" spans="1:13" x14ac:dyDescent="0.3">
      <c r="A1557" s="3">
        <v>2464274</v>
      </c>
      <c r="B1557" s="4" t="s">
        <v>4805</v>
      </c>
      <c r="C1557" s="5">
        <v>1566022</v>
      </c>
      <c r="D1557" s="5" t="s">
        <v>23</v>
      </c>
      <c r="E1557" s="3" t="s">
        <v>6226</v>
      </c>
      <c r="F1557" s="6">
        <v>60</v>
      </c>
      <c r="G1557" s="6">
        <v>55</v>
      </c>
      <c r="H1557" s="6">
        <v>26.5</v>
      </c>
      <c r="I1557" s="7">
        <v>44</v>
      </c>
      <c r="J1557" s="3" t="s">
        <v>4317</v>
      </c>
      <c r="K1557" s="8">
        <v>1.27</v>
      </c>
      <c r="L1557" s="9" t="s">
        <v>6241</v>
      </c>
      <c r="M1557" s="1" t="s">
        <v>6442</v>
      </c>
    </row>
    <row r="1558" spans="1:13" x14ac:dyDescent="0.3">
      <c r="A1558" s="3">
        <v>2464275</v>
      </c>
      <c r="B1558" s="4" t="s">
        <v>4805</v>
      </c>
      <c r="C1558" s="5" t="s">
        <v>6220</v>
      </c>
      <c r="D1558" s="5" t="s">
        <v>13</v>
      </c>
      <c r="E1558" s="3" t="s">
        <v>6226</v>
      </c>
      <c r="F1558" s="6">
        <v>61.5</v>
      </c>
      <c r="G1558" s="6">
        <v>56.5</v>
      </c>
      <c r="H1558" s="6">
        <v>8</v>
      </c>
      <c r="I1558" s="7">
        <v>32</v>
      </c>
      <c r="J1558" s="3" t="s">
        <v>4317</v>
      </c>
      <c r="K1558" s="8">
        <v>0.56000000000000005</v>
      </c>
      <c r="L1558" s="9" t="s">
        <v>6242</v>
      </c>
      <c r="M1558" s="1" t="s">
        <v>6443</v>
      </c>
    </row>
    <row r="1559" spans="1:13" x14ac:dyDescent="0.3">
      <c r="A1559" s="3">
        <v>2464276</v>
      </c>
      <c r="B1559" s="4" t="s">
        <v>4805</v>
      </c>
      <c r="C1559" s="5">
        <v>1713004</v>
      </c>
      <c r="D1559" s="5" t="s">
        <v>13</v>
      </c>
      <c r="E1559" s="3" t="s">
        <v>6085</v>
      </c>
      <c r="F1559" s="6">
        <v>62.5</v>
      </c>
      <c r="G1559" s="6">
        <v>58</v>
      </c>
      <c r="H1559" s="6">
        <v>8</v>
      </c>
      <c r="I1559" s="7">
        <v>32</v>
      </c>
      <c r="J1559" s="3" t="s">
        <v>4317</v>
      </c>
      <c r="K1559" s="8">
        <v>0.57999999999999996</v>
      </c>
      <c r="L1559" s="9" t="s">
        <v>6344</v>
      </c>
      <c r="M1559" s="1" t="s">
        <v>6338</v>
      </c>
    </row>
    <row r="1560" spans="1:13" x14ac:dyDescent="0.3">
      <c r="A1560" s="3">
        <v>2464277</v>
      </c>
      <c r="B1560" s="4" t="s">
        <v>4805</v>
      </c>
      <c r="C1560" s="5">
        <v>1714005</v>
      </c>
      <c r="D1560" s="5" t="s">
        <v>3893</v>
      </c>
      <c r="E1560" s="3" t="s">
        <v>6085</v>
      </c>
      <c r="F1560" s="6" t="s">
        <v>5536</v>
      </c>
      <c r="G1560" s="6" t="s">
        <v>5386</v>
      </c>
      <c r="H1560" s="6" t="s">
        <v>14</v>
      </c>
      <c r="I1560" s="7" t="s">
        <v>5312</v>
      </c>
      <c r="J1560" s="3" t="s">
        <v>5519</v>
      </c>
      <c r="K1560" s="8" t="s">
        <v>14</v>
      </c>
      <c r="L1560" s="9" t="s">
        <v>6345</v>
      </c>
      <c r="M1560" s="1" t="s">
        <v>6339</v>
      </c>
    </row>
    <row r="1561" spans="1:13" x14ac:dyDescent="0.3">
      <c r="A1561" s="3">
        <v>2464278</v>
      </c>
      <c r="B1561" s="4" t="s">
        <v>4805</v>
      </c>
      <c r="C1561" s="5">
        <v>1189007</v>
      </c>
      <c r="D1561" s="5" t="s">
        <v>96</v>
      </c>
      <c r="E1561" s="3" t="s">
        <v>6343</v>
      </c>
      <c r="F1561" s="6">
        <v>60</v>
      </c>
      <c r="G1561" s="6">
        <v>37.5</v>
      </c>
      <c r="H1561" s="6">
        <v>22.5</v>
      </c>
      <c r="I1561" s="7">
        <v>42</v>
      </c>
      <c r="J1561" s="3" t="s">
        <v>4317</v>
      </c>
      <c r="K1561" s="8">
        <v>1.22</v>
      </c>
      <c r="L1561" s="9" t="s">
        <v>6346</v>
      </c>
      <c r="M1561" s="1" t="s">
        <v>6396</v>
      </c>
    </row>
    <row r="1562" spans="1:13" x14ac:dyDescent="0.3">
      <c r="A1562" s="3">
        <v>2464279</v>
      </c>
      <c r="B1562" s="4" t="s">
        <v>4805</v>
      </c>
      <c r="C1562" s="5">
        <v>1189008</v>
      </c>
      <c r="D1562" s="5" t="s">
        <v>4792</v>
      </c>
      <c r="E1562" s="3" t="s">
        <v>6343</v>
      </c>
      <c r="F1562" s="6">
        <v>82.5</v>
      </c>
      <c r="G1562" s="6">
        <v>82.5</v>
      </c>
      <c r="H1562" s="6">
        <v>21</v>
      </c>
      <c r="I1562" s="7">
        <v>32</v>
      </c>
      <c r="J1562" s="3" t="s">
        <v>4317</v>
      </c>
      <c r="K1562" s="8">
        <v>0.17</v>
      </c>
      <c r="L1562" s="9" t="s">
        <v>6347</v>
      </c>
      <c r="M1562" s="1" t="s">
        <v>6397</v>
      </c>
    </row>
    <row r="1563" spans="1:13" x14ac:dyDescent="0.3">
      <c r="A1563" s="3">
        <v>2464280</v>
      </c>
      <c r="B1563" s="4" t="s">
        <v>4805</v>
      </c>
      <c r="C1563" s="5">
        <v>1189009</v>
      </c>
      <c r="D1563" s="5" t="s">
        <v>5461</v>
      </c>
      <c r="E1563" s="3" t="s">
        <v>6343</v>
      </c>
      <c r="F1563" s="6">
        <v>57.5</v>
      </c>
      <c r="G1563" s="6">
        <v>36.200000000000003</v>
      </c>
      <c r="H1563" s="6" t="s">
        <v>14</v>
      </c>
      <c r="I1563" s="7" t="s">
        <v>5780</v>
      </c>
      <c r="J1563" s="3" t="s">
        <v>4731</v>
      </c>
      <c r="K1563" s="8">
        <v>0.22</v>
      </c>
      <c r="L1563" s="9" t="s">
        <v>6348</v>
      </c>
      <c r="M1563" s="1" t="s">
        <v>6398</v>
      </c>
    </row>
    <row r="1564" spans="1:13" x14ac:dyDescent="0.3">
      <c r="A1564" s="3">
        <v>2464281</v>
      </c>
      <c r="B1564" s="4" t="s">
        <v>4805</v>
      </c>
      <c r="C1564" s="5">
        <v>1188114</v>
      </c>
      <c r="D1564" s="5" t="s">
        <v>96</v>
      </c>
      <c r="E1564" s="3" t="s">
        <v>6352</v>
      </c>
      <c r="F1564" s="6">
        <v>56</v>
      </c>
      <c r="G1564" s="6">
        <v>30</v>
      </c>
      <c r="H1564" s="6">
        <v>37.5</v>
      </c>
      <c r="I1564" s="7">
        <v>42</v>
      </c>
      <c r="J1564" s="3" t="s">
        <v>4318</v>
      </c>
      <c r="K1564" s="8">
        <v>1.21</v>
      </c>
      <c r="L1564" s="9" t="s">
        <v>6349</v>
      </c>
      <c r="M1564" s="1" t="s">
        <v>6399</v>
      </c>
    </row>
    <row r="1565" spans="1:13" x14ac:dyDescent="0.3">
      <c r="A1565" s="3">
        <v>2464282</v>
      </c>
      <c r="B1565" s="4" t="s">
        <v>4805</v>
      </c>
      <c r="C1565" s="5">
        <v>1188117</v>
      </c>
      <c r="D1565" s="5" t="s">
        <v>4792</v>
      </c>
      <c r="E1565" s="3" t="s">
        <v>6352</v>
      </c>
      <c r="F1565" s="6">
        <v>55</v>
      </c>
      <c r="G1565" s="6">
        <v>30</v>
      </c>
      <c r="H1565" s="6">
        <v>35.5</v>
      </c>
      <c r="I1565" s="7">
        <v>32</v>
      </c>
      <c r="J1565" s="3" t="s">
        <v>4317</v>
      </c>
      <c r="K1565" s="8">
        <v>0.3</v>
      </c>
      <c r="L1565" s="9" t="s">
        <v>6350</v>
      </c>
      <c r="M1565" s="1" t="s">
        <v>6400</v>
      </c>
    </row>
    <row r="1566" spans="1:13" x14ac:dyDescent="0.3">
      <c r="A1566" s="3">
        <v>2464283</v>
      </c>
      <c r="B1566" s="4" t="s">
        <v>4805</v>
      </c>
      <c r="C1566" s="5">
        <v>1188116</v>
      </c>
      <c r="D1566" s="5" t="s">
        <v>5461</v>
      </c>
      <c r="E1566" s="3" t="s">
        <v>6352</v>
      </c>
      <c r="F1566" s="6">
        <v>56</v>
      </c>
      <c r="G1566" s="6">
        <v>29</v>
      </c>
      <c r="H1566" s="6" t="s">
        <v>14</v>
      </c>
      <c r="I1566" s="7" t="s">
        <v>5780</v>
      </c>
      <c r="J1566" s="3" t="s">
        <v>4731</v>
      </c>
      <c r="K1566" s="8">
        <v>0.16</v>
      </c>
      <c r="L1566" s="9" t="s">
        <v>6351</v>
      </c>
      <c r="M1566" s="1" t="s">
        <v>6401</v>
      </c>
    </row>
    <row r="1567" spans="1:13" x14ac:dyDescent="0.3">
      <c r="A1567" s="3">
        <v>2464284</v>
      </c>
      <c r="B1567" s="4" t="s">
        <v>4805</v>
      </c>
      <c r="C1567" s="5">
        <v>1314023</v>
      </c>
      <c r="D1567" s="5" t="s">
        <v>4792</v>
      </c>
      <c r="E1567" s="3" t="s">
        <v>6492</v>
      </c>
      <c r="F1567" s="6">
        <v>65</v>
      </c>
      <c r="G1567" s="6">
        <v>47.5</v>
      </c>
      <c r="H1567" s="6">
        <v>8</v>
      </c>
      <c r="I1567" s="7">
        <v>32</v>
      </c>
      <c r="J1567" s="3" t="s">
        <v>4317</v>
      </c>
      <c r="K1567" s="8">
        <f>0.05+0.04</f>
        <v>0.09</v>
      </c>
      <c r="L1567" s="9" t="s">
        <v>6493</v>
      </c>
      <c r="M1567" s="1" t="s">
        <v>6523</v>
      </c>
    </row>
    <row r="1568" spans="1:13" x14ac:dyDescent="0.3">
      <c r="A1568" s="3">
        <v>2464285</v>
      </c>
      <c r="B1568" s="4" t="s">
        <v>4805</v>
      </c>
      <c r="C1568" s="5">
        <v>1656000</v>
      </c>
      <c r="D1568" s="5" t="s">
        <v>96</v>
      </c>
      <c r="E1568" s="3" t="s">
        <v>6509</v>
      </c>
      <c r="F1568" s="6">
        <v>61</v>
      </c>
      <c r="G1568" s="6">
        <v>57</v>
      </c>
      <c r="H1568" s="6">
        <v>35.799999999999997</v>
      </c>
      <c r="I1568" s="7">
        <v>32</v>
      </c>
      <c r="J1568" s="3" t="s">
        <v>4317</v>
      </c>
      <c r="K1568" s="8">
        <v>2.25</v>
      </c>
      <c r="L1568" s="9" t="s">
        <v>6510</v>
      </c>
      <c r="M1568" s="1" t="s">
        <v>6517</v>
      </c>
    </row>
    <row r="1569" spans="1:13" x14ac:dyDescent="0.3">
      <c r="A1569" s="3">
        <v>2464286</v>
      </c>
      <c r="B1569" s="4" t="s">
        <v>4805</v>
      </c>
      <c r="C1569" s="5">
        <v>1656001</v>
      </c>
      <c r="D1569" s="5" t="s">
        <v>4792</v>
      </c>
      <c r="E1569" s="3" t="s">
        <v>6509</v>
      </c>
      <c r="F1569" s="6">
        <v>60</v>
      </c>
      <c r="G1569" s="6">
        <v>56</v>
      </c>
      <c r="H1569" s="6">
        <v>34.5</v>
      </c>
      <c r="I1569" s="7">
        <v>32</v>
      </c>
      <c r="J1569" s="3" t="s">
        <v>4317</v>
      </c>
      <c r="K1569" s="8">
        <f>0.21+0.19</f>
        <v>0.4</v>
      </c>
      <c r="L1569" s="9" t="s">
        <v>6511</v>
      </c>
      <c r="M1569" s="1" t="s">
        <v>6518</v>
      </c>
    </row>
    <row r="1570" spans="1:13" x14ac:dyDescent="0.3">
      <c r="A1570" s="3">
        <v>2464287</v>
      </c>
      <c r="B1570" s="4" t="s">
        <v>4805</v>
      </c>
      <c r="C1570" s="35">
        <v>1714019</v>
      </c>
      <c r="D1570" s="5" t="s">
        <v>4792</v>
      </c>
      <c r="E1570" s="3" t="s">
        <v>14</v>
      </c>
      <c r="F1570" s="6">
        <v>65</v>
      </c>
      <c r="G1570" s="6">
        <v>47.5</v>
      </c>
      <c r="H1570" s="6">
        <v>15.8</v>
      </c>
      <c r="I1570" s="7">
        <v>32</v>
      </c>
      <c r="J1570" s="3" t="s">
        <v>4317</v>
      </c>
      <c r="K1570" s="8">
        <f>0.1+0.08</f>
        <v>0.18</v>
      </c>
      <c r="L1570" s="9" t="s">
        <v>6353</v>
      </c>
      <c r="M1570" s="1" t="s">
        <v>6524</v>
      </c>
    </row>
    <row r="1571" spans="1:13" x14ac:dyDescent="0.3">
      <c r="A1571" s="3">
        <v>2464288</v>
      </c>
      <c r="B1571" s="4" t="s">
        <v>4805</v>
      </c>
      <c r="C1571" s="35">
        <v>1253097</v>
      </c>
      <c r="D1571" s="5" t="s">
        <v>3893</v>
      </c>
      <c r="E1571" s="3" t="s">
        <v>14</v>
      </c>
      <c r="F1571" s="6" t="s">
        <v>5381</v>
      </c>
      <c r="G1571" s="6" t="s">
        <v>6476</v>
      </c>
      <c r="H1571" s="6" t="s">
        <v>14</v>
      </c>
      <c r="I1571" s="7" t="s">
        <v>5377</v>
      </c>
      <c r="J1571" s="3" t="s">
        <v>5519</v>
      </c>
      <c r="K1571" s="8" t="s">
        <v>14</v>
      </c>
      <c r="L1571" s="9" t="s">
        <v>6477</v>
      </c>
      <c r="M1571" s="1"/>
    </row>
    <row r="1572" spans="1:13" x14ac:dyDescent="0.3">
      <c r="A1572" s="3">
        <v>2464289</v>
      </c>
      <c r="B1572" s="4" t="s">
        <v>4805</v>
      </c>
      <c r="C1572" s="35">
        <v>1657000</v>
      </c>
      <c r="D1572" s="5" t="s">
        <v>96</v>
      </c>
      <c r="E1572" s="3" t="s">
        <v>6512</v>
      </c>
      <c r="F1572" s="6">
        <v>61</v>
      </c>
      <c r="G1572" s="6">
        <v>38</v>
      </c>
      <c r="H1572" s="6">
        <v>38</v>
      </c>
      <c r="I1572" s="7">
        <v>32</v>
      </c>
      <c r="J1572" s="3" t="s">
        <v>4317</v>
      </c>
      <c r="K1572" s="8">
        <v>1.55</v>
      </c>
      <c r="L1572" s="9" t="s">
        <v>6513</v>
      </c>
      <c r="M1572" s="1" t="s">
        <v>6519</v>
      </c>
    </row>
    <row r="1573" spans="1:13" x14ac:dyDescent="0.3">
      <c r="A1573" s="3">
        <v>2464290</v>
      </c>
      <c r="B1573" s="4" t="s">
        <v>4805</v>
      </c>
      <c r="C1573" s="35">
        <v>1657001</v>
      </c>
      <c r="D1573" s="5" t="s">
        <v>90</v>
      </c>
      <c r="E1573" s="3" t="s">
        <v>6512</v>
      </c>
      <c r="F1573" s="6">
        <v>60</v>
      </c>
      <c r="G1573" s="6">
        <v>37</v>
      </c>
      <c r="H1573" s="6">
        <v>36.299999999999997</v>
      </c>
      <c r="I1573" s="7">
        <v>32</v>
      </c>
      <c r="J1573" s="3" t="s">
        <v>4317</v>
      </c>
      <c r="K1573" s="8">
        <f>0.22+0.14</f>
        <v>0.36</v>
      </c>
      <c r="L1573" s="9" t="s">
        <v>6514</v>
      </c>
      <c r="M1573" s="1" t="s">
        <v>6520</v>
      </c>
    </row>
    <row r="1574" spans="1:13" x14ac:dyDescent="0.3">
      <c r="A1574" s="3">
        <v>2464291</v>
      </c>
      <c r="B1574" s="4" t="s">
        <v>4805</v>
      </c>
      <c r="C1574" s="35">
        <v>1657004</v>
      </c>
      <c r="D1574" s="5" t="s">
        <v>74</v>
      </c>
      <c r="E1574" s="3" t="s">
        <v>6512</v>
      </c>
      <c r="F1574" s="6">
        <v>60</v>
      </c>
      <c r="G1574" s="6">
        <v>37</v>
      </c>
      <c r="H1574" s="6" t="s">
        <v>14</v>
      </c>
      <c r="I1574" s="7" t="s">
        <v>5312</v>
      </c>
      <c r="J1574" s="3" t="s">
        <v>4317</v>
      </c>
      <c r="K1574" s="8">
        <v>0.22</v>
      </c>
      <c r="L1574" s="9" t="s">
        <v>6515</v>
      </c>
      <c r="M1574" s="1" t="s">
        <v>6521</v>
      </c>
    </row>
    <row r="1575" spans="1:13" x14ac:dyDescent="0.3">
      <c r="A1575" s="3">
        <v>2464292</v>
      </c>
      <c r="B1575" s="4" t="s">
        <v>4805</v>
      </c>
      <c r="C1575" s="35">
        <v>1657002</v>
      </c>
      <c r="D1575" s="5" t="s">
        <v>3893</v>
      </c>
      <c r="E1575" s="3" t="s">
        <v>6512</v>
      </c>
      <c r="F1575" s="6" t="s">
        <v>5536</v>
      </c>
      <c r="G1575" s="6" t="s">
        <v>5544</v>
      </c>
      <c r="H1575" s="6" t="s">
        <v>14</v>
      </c>
      <c r="I1575" s="7" t="s">
        <v>5372</v>
      </c>
      <c r="J1575" s="3" t="s">
        <v>5519</v>
      </c>
      <c r="K1575" s="8" t="s">
        <v>14</v>
      </c>
      <c r="L1575" s="9" t="s">
        <v>6516</v>
      </c>
      <c r="M1575" s="1" t="s">
        <v>6522</v>
      </c>
    </row>
    <row r="1576" spans="1:13" x14ac:dyDescent="0.3">
      <c r="A1576" s="3">
        <v>2464293</v>
      </c>
      <c r="B1576" s="4" t="s">
        <v>4805</v>
      </c>
      <c r="C1576" s="35" t="s">
        <v>6576</v>
      </c>
      <c r="D1576" s="5" t="s">
        <v>23</v>
      </c>
      <c r="E1576" s="3" t="s">
        <v>6581</v>
      </c>
      <c r="F1576" s="6">
        <v>60</v>
      </c>
      <c r="G1576" s="6">
        <v>55</v>
      </c>
      <c r="H1576" s="6">
        <v>17.5</v>
      </c>
      <c r="I1576" s="7">
        <v>42</v>
      </c>
      <c r="J1576" s="3" t="s">
        <v>4318</v>
      </c>
      <c r="K1576" s="8">
        <v>1.07</v>
      </c>
      <c r="L1576" s="9" t="s">
        <v>6582</v>
      </c>
      <c r="M1576" s="1" t="s">
        <v>6587</v>
      </c>
    </row>
    <row r="1577" spans="1:13" x14ac:dyDescent="0.3">
      <c r="A1577" s="3">
        <v>2464294</v>
      </c>
      <c r="B1577" s="4" t="s">
        <v>4805</v>
      </c>
      <c r="C1577" s="35" t="s">
        <v>6577</v>
      </c>
      <c r="D1577" s="5" t="s">
        <v>90</v>
      </c>
      <c r="E1577" s="3" t="s">
        <v>6581</v>
      </c>
      <c r="F1577" s="6">
        <v>59.5</v>
      </c>
      <c r="G1577" s="6">
        <v>54.5</v>
      </c>
      <c r="H1577" s="6">
        <v>16.5</v>
      </c>
      <c r="I1577" s="7" t="s">
        <v>6648</v>
      </c>
      <c r="J1577" s="3" t="s">
        <v>4422</v>
      </c>
      <c r="K1577" s="8">
        <f>0.1+0.09</f>
        <v>0.19</v>
      </c>
      <c r="L1577" s="9" t="s">
        <v>6583</v>
      </c>
      <c r="M1577" s="1" t="s">
        <v>6588</v>
      </c>
    </row>
    <row r="1578" spans="1:13" x14ac:dyDescent="0.3">
      <c r="A1578" s="3">
        <v>2464295</v>
      </c>
      <c r="B1578" s="4" t="s">
        <v>4805</v>
      </c>
      <c r="C1578" s="35" t="s">
        <v>6578</v>
      </c>
      <c r="D1578" s="5" t="s">
        <v>5461</v>
      </c>
      <c r="E1578" s="3" t="s">
        <v>6581</v>
      </c>
      <c r="F1578" s="6">
        <v>58</v>
      </c>
      <c r="G1578" s="6">
        <v>54</v>
      </c>
      <c r="H1578" s="6" t="s">
        <v>14</v>
      </c>
      <c r="I1578" s="7" t="s">
        <v>5312</v>
      </c>
      <c r="J1578" s="3" t="s">
        <v>4731</v>
      </c>
      <c r="K1578" s="8">
        <v>0.31</v>
      </c>
      <c r="L1578" s="9" t="s">
        <v>6584</v>
      </c>
      <c r="M1578" s="1" t="s">
        <v>6589</v>
      </c>
    </row>
    <row r="1579" spans="1:13" x14ac:dyDescent="0.3">
      <c r="A1579" s="3">
        <v>2464296</v>
      </c>
      <c r="B1579" s="4" t="s">
        <v>4805</v>
      </c>
      <c r="C1579" s="35" t="s">
        <v>6579</v>
      </c>
      <c r="D1579" s="5" t="s">
        <v>4731</v>
      </c>
      <c r="E1579" s="3" t="s">
        <v>6581</v>
      </c>
      <c r="F1579" s="6">
        <v>53.5</v>
      </c>
      <c r="G1579" s="6">
        <v>13</v>
      </c>
      <c r="H1579" s="6">
        <v>5</v>
      </c>
      <c r="I1579" s="7" t="s">
        <v>4731</v>
      </c>
      <c r="J1579" s="3" t="s">
        <v>4731</v>
      </c>
      <c r="K1579" s="8" t="s">
        <v>14</v>
      </c>
      <c r="L1579" s="9" t="s">
        <v>6585</v>
      </c>
      <c r="M1579" s="1" t="s">
        <v>6590</v>
      </c>
    </row>
    <row r="1580" spans="1:13" x14ac:dyDescent="0.3">
      <c r="A1580" s="3">
        <v>2464297</v>
      </c>
      <c r="B1580" s="4" t="s">
        <v>4805</v>
      </c>
      <c r="C1580" s="35" t="s">
        <v>6580</v>
      </c>
      <c r="D1580" s="5" t="s">
        <v>13</v>
      </c>
      <c r="E1580" s="3" t="s">
        <v>6581</v>
      </c>
      <c r="F1580" s="6">
        <v>61.5</v>
      </c>
      <c r="G1580" s="6">
        <v>56.5</v>
      </c>
      <c r="H1580" s="6">
        <v>10</v>
      </c>
      <c r="I1580" s="7">
        <v>32</v>
      </c>
      <c r="J1580" s="3" t="s">
        <v>4317</v>
      </c>
      <c r="K1580" s="8">
        <v>0.62</v>
      </c>
      <c r="L1580" s="9" t="s">
        <v>6586</v>
      </c>
      <c r="M1580" s="1" t="s">
        <v>6591</v>
      </c>
    </row>
    <row r="1581" spans="1:13" x14ac:dyDescent="0.3">
      <c r="A1581" s="3">
        <v>2464298</v>
      </c>
      <c r="B1581" s="4" t="s">
        <v>4805</v>
      </c>
      <c r="C1581" s="35">
        <v>1259000</v>
      </c>
      <c r="D1581" s="5" t="s">
        <v>96</v>
      </c>
      <c r="E1581" s="3" t="s">
        <v>14</v>
      </c>
      <c r="F1581" s="6">
        <v>60</v>
      </c>
      <c r="G1581" s="6">
        <v>40</v>
      </c>
      <c r="H1581" s="6">
        <v>34.200000000000003</v>
      </c>
      <c r="I1581" s="7">
        <v>32</v>
      </c>
      <c r="J1581" s="3" t="s">
        <v>4317</v>
      </c>
      <c r="K1581" s="8">
        <v>1.5</v>
      </c>
      <c r="L1581" s="9" t="s">
        <v>6604</v>
      </c>
      <c r="M1581" s="1" t="s">
        <v>6606</v>
      </c>
    </row>
    <row r="1582" spans="1:13" x14ac:dyDescent="0.3">
      <c r="A1582" s="3">
        <v>2464299</v>
      </c>
      <c r="B1582" s="4" t="s">
        <v>4805</v>
      </c>
      <c r="C1582" s="35">
        <v>1259018</v>
      </c>
      <c r="D1582" s="5" t="s">
        <v>6649</v>
      </c>
      <c r="E1582" s="3" t="s">
        <v>14</v>
      </c>
      <c r="F1582" s="6">
        <v>59.2</v>
      </c>
      <c r="G1582" s="6">
        <v>38.700000000000003</v>
      </c>
      <c r="H1582" s="6" t="s">
        <v>14</v>
      </c>
      <c r="I1582" s="7">
        <v>32</v>
      </c>
      <c r="J1582" s="3" t="s">
        <v>4317</v>
      </c>
      <c r="K1582" s="8">
        <v>0.2</v>
      </c>
      <c r="L1582" s="9" t="s">
        <v>6605</v>
      </c>
      <c r="M1582" s="1" t="s">
        <v>6607</v>
      </c>
    </row>
    <row r="1583" spans="1:13" x14ac:dyDescent="0.3">
      <c r="A1583" s="3">
        <v>2564327</v>
      </c>
      <c r="B1583" s="4" t="s">
        <v>4805</v>
      </c>
      <c r="C1583" s="35" t="s">
        <v>6651</v>
      </c>
      <c r="D1583" s="5" t="s">
        <v>23</v>
      </c>
      <c r="E1583" s="3" t="s">
        <v>6651</v>
      </c>
      <c r="F1583" s="6">
        <v>122.5</v>
      </c>
      <c r="G1583" s="6">
        <v>60</v>
      </c>
      <c r="H1583" s="6">
        <v>24</v>
      </c>
      <c r="I1583" s="7">
        <v>48</v>
      </c>
      <c r="J1583" s="3" t="s">
        <v>4318</v>
      </c>
      <c r="K1583" s="8">
        <v>2.0099999999999998</v>
      </c>
      <c r="L1583" s="9" t="s">
        <v>6643</v>
      </c>
      <c r="M1583" s="1"/>
    </row>
    <row r="1584" spans="1:13" x14ac:dyDescent="0.3">
      <c r="A1584" s="3">
        <v>2464328</v>
      </c>
      <c r="B1584" s="4" t="s">
        <v>4805</v>
      </c>
      <c r="C1584" s="35" t="s">
        <v>6651</v>
      </c>
      <c r="D1584" s="5" t="s">
        <v>6649</v>
      </c>
      <c r="E1584" s="3" t="s">
        <v>6651</v>
      </c>
      <c r="F1584" s="6">
        <v>121</v>
      </c>
      <c r="G1584" s="6">
        <v>10</v>
      </c>
      <c r="H1584" s="6" t="s">
        <v>14</v>
      </c>
      <c r="I1584" s="7" t="s">
        <v>6652</v>
      </c>
      <c r="J1584" s="3" t="s">
        <v>4870</v>
      </c>
      <c r="K1584" s="8">
        <v>0.12</v>
      </c>
      <c r="L1584" s="9" t="s">
        <v>6644</v>
      </c>
      <c r="M1584" s="1"/>
    </row>
    <row r="1585" spans="1:14" x14ac:dyDescent="0.3">
      <c r="A1585" s="3">
        <v>2464329</v>
      </c>
      <c r="B1585" s="4" t="s">
        <v>4805</v>
      </c>
      <c r="C1585" s="35" t="s">
        <v>6651</v>
      </c>
      <c r="D1585" s="5" t="s">
        <v>13</v>
      </c>
      <c r="E1585" s="3" t="s">
        <v>6651</v>
      </c>
      <c r="F1585" s="6">
        <v>120.5</v>
      </c>
      <c r="G1585" s="6">
        <v>57.5</v>
      </c>
      <c r="H1585" s="6">
        <v>10.6</v>
      </c>
      <c r="I1585" s="7">
        <v>32</v>
      </c>
      <c r="J1585" s="3" t="s">
        <v>4317</v>
      </c>
      <c r="K1585" s="8">
        <v>1.1200000000000001</v>
      </c>
      <c r="L1585" s="9" t="s">
        <v>6645</v>
      </c>
      <c r="M1585" s="1"/>
    </row>
    <row r="1586" spans="1:14" x14ac:dyDescent="0.3">
      <c r="A1586" s="3">
        <v>2464330</v>
      </c>
      <c r="B1586" s="4" t="s">
        <v>4805</v>
      </c>
      <c r="C1586" s="35" t="s">
        <v>6651</v>
      </c>
      <c r="D1586" s="5" t="s">
        <v>5462</v>
      </c>
      <c r="E1586" s="3" t="s">
        <v>6651</v>
      </c>
      <c r="F1586" s="6">
        <v>119</v>
      </c>
      <c r="G1586" s="6">
        <v>56</v>
      </c>
      <c r="H1586" s="6" t="s">
        <v>14</v>
      </c>
      <c r="I1586" s="7" t="s">
        <v>5312</v>
      </c>
      <c r="J1586" s="3" t="s">
        <v>4731</v>
      </c>
      <c r="K1586" s="8">
        <v>0.67</v>
      </c>
      <c r="L1586" s="9" t="s">
        <v>6646</v>
      </c>
      <c r="M1586" s="1"/>
    </row>
    <row r="1587" spans="1:14" x14ac:dyDescent="0.3">
      <c r="A1587" s="3">
        <v>2464331</v>
      </c>
      <c r="B1587" s="4" t="s">
        <v>4805</v>
      </c>
      <c r="C1587" s="35" t="s">
        <v>6651</v>
      </c>
      <c r="D1587" s="5" t="s">
        <v>13</v>
      </c>
      <c r="E1587" s="3" t="s">
        <v>6651</v>
      </c>
      <c r="F1587" s="6">
        <v>123.5</v>
      </c>
      <c r="G1587" s="6">
        <v>61.5</v>
      </c>
      <c r="H1587" s="6">
        <v>7.5</v>
      </c>
      <c r="I1587" s="7">
        <v>32</v>
      </c>
      <c r="J1587" s="3" t="s">
        <v>4317</v>
      </c>
      <c r="K1587" s="8">
        <v>1.06</v>
      </c>
      <c r="L1587" s="9" t="s">
        <v>6647</v>
      </c>
      <c r="M1587" s="1"/>
    </row>
    <row r="1588" spans="1:14" x14ac:dyDescent="0.3">
      <c r="A1588" s="3">
        <v>2464332</v>
      </c>
      <c r="B1588" s="4" t="s">
        <v>4805</v>
      </c>
      <c r="C1588" s="35">
        <v>1725007</v>
      </c>
      <c r="D1588" s="5" t="s">
        <v>96</v>
      </c>
      <c r="E1588" s="3" t="s">
        <v>7033</v>
      </c>
      <c r="F1588" s="6">
        <v>61</v>
      </c>
      <c r="G1588" s="6">
        <v>57</v>
      </c>
      <c r="H1588" s="6">
        <v>28.4</v>
      </c>
      <c r="I1588" s="7">
        <v>32</v>
      </c>
      <c r="J1588" s="3" t="s">
        <v>4317</v>
      </c>
      <c r="K1588" s="8">
        <v>2.0699999999999998</v>
      </c>
      <c r="L1588" s="9" t="s">
        <v>7034</v>
      </c>
      <c r="M1588" s="1" t="s">
        <v>7039</v>
      </c>
    </row>
    <row r="1589" spans="1:14" x14ac:dyDescent="0.3">
      <c r="A1589" s="3">
        <v>2464333</v>
      </c>
      <c r="B1589" s="4" t="s">
        <v>4805</v>
      </c>
      <c r="C1589" s="35">
        <v>1725008</v>
      </c>
      <c r="D1589" s="5" t="s">
        <v>4792</v>
      </c>
      <c r="E1589" s="3" t="s">
        <v>7033</v>
      </c>
      <c r="F1589" s="6">
        <v>60</v>
      </c>
      <c r="G1589" s="6">
        <v>56</v>
      </c>
      <c r="H1589" s="6">
        <v>27</v>
      </c>
      <c r="I1589" s="7">
        <v>32</v>
      </c>
      <c r="J1589" s="3" t="s">
        <v>4317</v>
      </c>
      <c r="K1589" s="8">
        <f>0.16+0.15</f>
        <v>0.31</v>
      </c>
      <c r="L1589" s="9" t="s">
        <v>7035</v>
      </c>
      <c r="M1589" s="1" t="s">
        <v>7040</v>
      </c>
    </row>
    <row r="1590" spans="1:14" x14ac:dyDescent="0.3">
      <c r="A1590" s="3">
        <v>2464334</v>
      </c>
      <c r="B1590" s="4" t="s">
        <v>4805</v>
      </c>
      <c r="C1590" s="35">
        <v>1489052</v>
      </c>
      <c r="D1590" s="5" t="s">
        <v>74</v>
      </c>
      <c r="E1590" s="3" t="s">
        <v>7033</v>
      </c>
      <c r="F1590" s="6">
        <v>60</v>
      </c>
      <c r="G1590" s="6">
        <v>56</v>
      </c>
      <c r="H1590" s="6" t="s">
        <v>14</v>
      </c>
      <c r="I1590" s="7" t="s">
        <v>5312</v>
      </c>
      <c r="J1590" s="3" t="s">
        <v>4731</v>
      </c>
      <c r="K1590" s="8">
        <v>0.34</v>
      </c>
      <c r="L1590" s="9" t="s">
        <v>7036</v>
      </c>
      <c r="M1590" s="1" t="s">
        <v>7041</v>
      </c>
    </row>
    <row r="1591" spans="1:14" x14ac:dyDescent="0.3">
      <c r="A1591" s="3">
        <v>2464335</v>
      </c>
      <c r="B1591" s="4" t="s">
        <v>4805</v>
      </c>
      <c r="C1591" s="35">
        <v>1725010</v>
      </c>
      <c r="D1591" s="5" t="s">
        <v>3893</v>
      </c>
      <c r="E1591" s="3" t="s">
        <v>7033</v>
      </c>
      <c r="F1591" s="6" t="s">
        <v>5544</v>
      </c>
      <c r="G1591" s="6" t="s">
        <v>5386</v>
      </c>
      <c r="H1591" s="6" t="s">
        <v>14</v>
      </c>
      <c r="I1591" s="7" t="s">
        <v>7038</v>
      </c>
      <c r="J1591" s="3" t="s">
        <v>5519</v>
      </c>
      <c r="K1591" s="8" t="s">
        <v>14</v>
      </c>
      <c r="L1591" s="9" t="s">
        <v>7037</v>
      </c>
      <c r="M1591" s="1" t="s">
        <v>7042</v>
      </c>
    </row>
    <row r="1592" spans="1:14" x14ac:dyDescent="0.3">
      <c r="A1592" s="3">
        <v>2464336</v>
      </c>
      <c r="B1592" s="4" t="s">
        <v>4805</v>
      </c>
      <c r="C1592" s="35">
        <v>1770036</v>
      </c>
      <c r="D1592" s="5" t="s">
        <v>96</v>
      </c>
      <c r="E1592" s="3" t="s">
        <v>7751</v>
      </c>
      <c r="F1592" s="6">
        <v>58.5</v>
      </c>
      <c r="G1592" s="6">
        <v>38.5</v>
      </c>
      <c r="H1592" s="6">
        <v>23.7</v>
      </c>
      <c r="I1592" s="7">
        <v>42</v>
      </c>
      <c r="J1592" s="3" t="s">
        <v>4318</v>
      </c>
      <c r="K1592" s="8">
        <v>1.25</v>
      </c>
      <c r="L1592" s="9" t="s">
        <v>7752</v>
      </c>
      <c r="M1592" s="1" t="s">
        <v>8025</v>
      </c>
    </row>
    <row r="1593" spans="1:14" x14ac:dyDescent="0.3">
      <c r="A1593" s="3">
        <v>2464337</v>
      </c>
      <c r="B1593" s="4" t="s">
        <v>4805</v>
      </c>
      <c r="C1593" s="35">
        <v>1770037</v>
      </c>
      <c r="D1593" s="5" t="s">
        <v>3893</v>
      </c>
      <c r="E1593" s="3" t="s">
        <v>7751</v>
      </c>
      <c r="F1593" s="6">
        <v>50</v>
      </c>
      <c r="G1593" s="6">
        <v>70</v>
      </c>
      <c r="H1593" s="6" t="s">
        <v>14</v>
      </c>
      <c r="I1593" s="7" t="s">
        <v>14</v>
      </c>
      <c r="J1593" s="3" t="s">
        <v>5519</v>
      </c>
      <c r="K1593" s="8" t="s">
        <v>14</v>
      </c>
      <c r="L1593" s="9" t="s">
        <v>7753</v>
      </c>
      <c r="M1593" s="1" t="s">
        <v>8026</v>
      </c>
    </row>
    <row r="1594" spans="1:14" x14ac:dyDescent="0.3">
      <c r="A1594" s="3">
        <v>2464338</v>
      </c>
      <c r="B1594" s="4" t="s">
        <v>4805</v>
      </c>
      <c r="C1594" s="35">
        <v>1487020</v>
      </c>
      <c r="D1594" s="5" t="s">
        <v>23</v>
      </c>
      <c r="E1594" s="3" t="s">
        <v>7836</v>
      </c>
      <c r="F1594" s="6">
        <v>61</v>
      </c>
      <c r="G1594" s="6">
        <v>37.5</v>
      </c>
      <c r="H1594" s="6">
        <v>27</v>
      </c>
      <c r="I1594" s="7">
        <v>32</v>
      </c>
      <c r="J1594" s="3" t="s">
        <v>4317</v>
      </c>
      <c r="K1594" s="8">
        <v>0.93</v>
      </c>
      <c r="L1594" s="9" t="s">
        <v>7837</v>
      </c>
      <c r="M1594" s="1" t="s">
        <v>7840</v>
      </c>
    </row>
    <row r="1595" spans="1:14" x14ac:dyDescent="0.3">
      <c r="A1595" s="3">
        <v>2464339</v>
      </c>
      <c r="B1595" s="4" t="s">
        <v>4805</v>
      </c>
      <c r="C1595" s="35">
        <v>1487021</v>
      </c>
      <c r="D1595" s="5" t="s">
        <v>5021</v>
      </c>
      <c r="E1595" s="3" t="s">
        <v>7839</v>
      </c>
      <c r="F1595" s="6">
        <v>36.5</v>
      </c>
      <c r="G1595" s="6">
        <v>26.5</v>
      </c>
      <c r="H1595" s="6" t="s">
        <v>14</v>
      </c>
      <c r="I1595" s="7" t="s">
        <v>6600</v>
      </c>
      <c r="J1595" s="3" t="s">
        <v>4870</v>
      </c>
      <c r="K1595" s="8">
        <v>0.1</v>
      </c>
      <c r="L1595" s="9" t="s">
        <v>7838</v>
      </c>
      <c r="M1595" s="1" t="s">
        <v>7841</v>
      </c>
    </row>
    <row r="1596" spans="1:14" x14ac:dyDescent="0.3">
      <c r="A1596" s="3">
        <v>2910001</v>
      </c>
      <c r="B1596" s="4" t="s">
        <v>2524</v>
      </c>
      <c r="C1596" s="5">
        <v>1259000</v>
      </c>
      <c r="D1596" s="5" t="s">
        <v>96</v>
      </c>
      <c r="E1596" s="3" t="s">
        <v>14</v>
      </c>
      <c r="F1596" s="6">
        <v>60</v>
      </c>
      <c r="G1596" s="6">
        <v>40</v>
      </c>
      <c r="H1596" s="6">
        <v>34.200000000000003</v>
      </c>
      <c r="I1596" s="7" t="s">
        <v>4315</v>
      </c>
      <c r="J1596" s="3" t="s">
        <v>4317</v>
      </c>
      <c r="K1596" s="8" t="s">
        <v>4666</v>
      </c>
      <c r="L1596" s="9" t="s">
        <v>2525</v>
      </c>
      <c r="M1596" s="1" t="s">
        <v>2526</v>
      </c>
    </row>
    <row r="1597" spans="1:14" x14ac:dyDescent="0.3">
      <c r="A1597" s="3">
        <v>2919002</v>
      </c>
      <c r="B1597" s="4" t="s">
        <v>2524</v>
      </c>
      <c r="C1597" s="5">
        <v>1259018</v>
      </c>
      <c r="D1597" s="5" t="s">
        <v>74</v>
      </c>
      <c r="E1597" s="3" t="s">
        <v>14</v>
      </c>
      <c r="F1597" s="6">
        <v>59.2</v>
      </c>
      <c r="G1597" s="6">
        <v>38.700000000000003</v>
      </c>
      <c r="H1597" s="6">
        <v>0</v>
      </c>
      <c r="I1597" s="7" t="s">
        <v>4315</v>
      </c>
      <c r="J1597" s="3" t="s">
        <v>4317</v>
      </c>
      <c r="K1597" s="8" t="s">
        <v>4427</v>
      </c>
      <c r="L1597" s="9" t="s">
        <v>2527</v>
      </c>
      <c r="M1597" s="1" t="s">
        <v>2528</v>
      </c>
    </row>
    <row r="1598" spans="1:14" x14ac:dyDescent="0.3">
      <c r="A1598" s="3">
        <v>2910003</v>
      </c>
      <c r="B1598" s="4" t="s">
        <v>2524</v>
      </c>
      <c r="C1598" s="5">
        <v>1426028</v>
      </c>
      <c r="D1598" s="5" t="s">
        <v>96</v>
      </c>
      <c r="E1598" s="3" t="s">
        <v>2529</v>
      </c>
      <c r="F1598" s="6">
        <v>71</v>
      </c>
      <c r="G1598" s="6">
        <v>50.5</v>
      </c>
      <c r="H1598" s="6">
        <v>31.5</v>
      </c>
      <c r="I1598" s="7" t="s">
        <v>4315</v>
      </c>
      <c r="J1598" s="3" t="s">
        <v>4317</v>
      </c>
      <c r="K1598" s="8" t="s">
        <v>4684</v>
      </c>
      <c r="L1598" s="9" t="s">
        <v>2530</v>
      </c>
      <c r="M1598" s="1" t="s">
        <v>2531</v>
      </c>
    </row>
    <row r="1599" spans="1:14" x14ac:dyDescent="0.3">
      <c r="A1599" s="3">
        <v>2901004</v>
      </c>
      <c r="B1599" s="4" t="s">
        <v>2524</v>
      </c>
      <c r="C1599" s="5">
        <v>1266000</v>
      </c>
      <c r="D1599" s="5" t="s">
        <v>96</v>
      </c>
      <c r="E1599" s="3" t="s">
        <v>14</v>
      </c>
      <c r="F1599" s="6">
        <v>81</v>
      </c>
      <c r="G1599" s="6">
        <v>61</v>
      </c>
      <c r="H1599" s="6">
        <v>38</v>
      </c>
      <c r="I1599" s="7">
        <v>32</v>
      </c>
      <c r="J1599" s="3" t="s">
        <v>4317</v>
      </c>
      <c r="K1599" s="8">
        <v>2.94</v>
      </c>
      <c r="L1599" s="9" t="s">
        <v>2532</v>
      </c>
      <c r="M1599" s="24" t="s">
        <v>5950</v>
      </c>
      <c r="N1599" t="s">
        <v>5548</v>
      </c>
    </row>
    <row r="1600" spans="1:14" x14ac:dyDescent="0.3">
      <c r="A1600" s="3">
        <v>2920005</v>
      </c>
      <c r="B1600" s="4" t="s">
        <v>2524</v>
      </c>
      <c r="C1600" s="5">
        <v>1426029</v>
      </c>
      <c r="D1600" s="5" t="s">
        <v>264</v>
      </c>
      <c r="E1600" s="3" t="s">
        <v>2533</v>
      </c>
      <c r="F1600" s="6">
        <v>72.5</v>
      </c>
      <c r="G1600" s="6">
        <v>8</v>
      </c>
      <c r="H1600" s="6">
        <v>0</v>
      </c>
      <c r="I1600" s="7" t="s">
        <v>4315</v>
      </c>
      <c r="J1600" s="3" t="s">
        <v>4317</v>
      </c>
      <c r="K1600" s="8" t="s">
        <v>4425</v>
      </c>
      <c r="L1600" s="9" t="s">
        <v>2534</v>
      </c>
      <c r="M1600" s="1" t="s">
        <v>2535</v>
      </c>
    </row>
    <row r="1601" spans="1:14" x14ac:dyDescent="0.3">
      <c r="A1601" s="3">
        <v>2921006</v>
      </c>
      <c r="B1601" s="4" t="s">
        <v>2524</v>
      </c>
      <c r="C1601" s="5">
        <v>1426029</v>
      </c>
      <c r="D1601" s="5" t="s">
        <v>267</v>
      </c>
      <c r="E1601" s="3" t="s">
        <v>2533</v>
      </c>
      <c r="F1601" s="6">
        <v>46.5</v>
      </c>
      <c r="G1601" s="6">
        <v>8</v>
      </c>
      <c r="H1601" s="6">
        <v>0</v>
      </c>
      <c r="I1601" s="7" t="s">
        <v>4315</v>
      </c>
      <c r="J1601" s="3" t="s">
        <v>4317</v>
      </c>
      <c r="K1601" s="8" t="s">
        <v>4595</v>
      </c>
      <c r="L1601" s="9" t="s">
        <v>2536</v>
      </c>
      <c r="M1601" s="1" t="s">
        <v>2537</v>
      </c>
    </row>
    <row r="1602" spans="1:14" x14ac:dyDescent="0.3">
      <c r="A1602" s="3">
        <v>2919007</v>
      </c>
      <c r="B1602" s="4" t="s">
        <v>2524</v>
      </c>
      <c r="C1602" s="5">
        <v>1426030</v>
      </c>
      <c r="D1602" s="5" t="s">
        <v>74</v>
      </c>
      <c r="E1602" s="3" t="s">
        <v>2533</v>
      </c>
      <c r="F1602" s="6">
        <v>72.7</v>
      </c>
      <c r="G1602" s="6">
        <v>47.3</v>
      </c>
      <c r="H1602" s="6">
        <v>0</v>
      </c>
      <c r="I1602" s="7" t="s">
        <v>4315</v>
      </c>
      <c r="J1602" s="3" t="s">
        <v>4317</v>
      </c>
      <c r="K1602" s="8" t="s">
        <v>4450</v>
      </c>
      <c r="L1602" s="9" t="s">
        <v>2538</v>
      </c>
      <c r="M1602" s="1" t="s">
        <v>2539</v>
      </c>
    </row>
    <row r="1603" spans="1:14" x14ac:dyDescent="0.3">
      <c r="A1603" s="3">
        <v>2917008</v>
      </c>
      <c r="B1603" s="4" t="s">
        <v>2524</v>
      </c>
      <c r="C1603" s="5">
        <v>148045</v>
      </c>
      <c r="D1603" s="5" t="s">
        <v>96</v>
      </c>
      <c r="E1603" s="3" t="s">
        <v>6264</v>
      </c>
      <c r="F1603" s="6">
        <v>61</v>
      </c>
      <c r="G1603" s="6">
        <v>57</v>
      </c>
      <c r="H1603" s="6">
        <v>57.2</v>
      </c>
      <c r="I1603" s="7">
        <v>42</v>
      </c>
      <c r="J1603" s="3" t="s">
        <v>4318</v>
      </c>
      <c r="K1603" s="8">
        <v>2.77</v>
      </c>
      <c r="L1603" s="9" t="s">
        <v>2540</v>
      </c>
      <c r="M1603" s="24" t="s">
        <v>5951</v>
      </c>
      <c r="N1603" t="s">
        <v>5548</v>
      </c>
    </row>
    <row r="1604" spans="1:14" x14ac:dyDescent="0.3">
      <c r="A1604" s="3">
        <v>2915009</v>
      </c>
      <c r="B1604" s="4" t="s">
        <v>2524</v>
      </c>
      <c r="C1604" s="5">
        <v>148046</v>
      </c>
      <c r="D1604" s="5" t="s">
        <v>90</v>
      </c>
      <c r="E1604" s="3" t="s">
        <v>6264</v>
      </c>
      <c r="F1604" s="6">
        <v>85</v>
      </c>
      <c r="G1604" s="6">
        <v>82</v>
      </c>
      <c r="H1604" s="6">
        <v>55</v>
      </c>
      <c r="I1604" s="7">
        <v>32</v>
      </c>
      <c r="J1604" s="3" t="s">
        <v>4422</v>
      </c>
      <c r="K1604" s="8">
        <v>0.47</v>
      </c>
      <c r="L1604" s="9" t="s">
        <v>2541</v>
      </c>
      <c r="M1604" s="24" t="s">
        <v>5952</v>
      </c>
      <c r="N1604" t="s">
        <v>5548</v>
      </c>
    </row>
    <row r="1605" spans="1:14" x14ac:dyDescent="0.3">
      <c r="A1605" s="3">
        <v>2911011</v>
      </c>
      <c r="B1605" s="4" t="s">
        <v>2524</v>
      </c>
      <c r="C1605" s="5">
        <v>1355014</v>
      </c>
      <c r="D1605" s="5" t="s">
        <v>96</v>
      </c>
      <c r="E1605" s="3" t="s">
        <v>5311</v>
      </c>
      <c r="F1605" s="6">
        <v>61</v>
      </c>
      <c r="G1605" s="6">
        <v>46</v>
      </c>
      <c r="H1605" s="6">
        <v>22.3</v>
      </c>
      <c r="I1605" s="7" t="s">
        <v>4315</v>
      </c>
      <c r="J1605" s="3" t="s">
        <v>4317</v>
      </c>
      <c r="K1605" s="8">
        <v>1.53</v>
      </c>
      <c r="L1605" s="9" t="s">
        <v>2542</v>
      </c>
      <c r="M1605" s="24" t="s">
        <v>5953</v>
      </c>
      <c r="N1605" t="s">
        <v>5548</v>
      </c>
    </row>
    <row r="1606" spans="1:14" x14ac:dyDescent="0.3">
      <c r="A1606" s="3">
        <v>2909012</v>
      </c>
      <c r="B1606" s="4" t="s">
        <v>2524</v>
      </c>
      <c r="C1606" s="5">
        <v>1355015</v>
      </c>
      <c r="D1606" s="5" t="s">
        <v>90</v>
      </c>
      <c r="E1606" s="3" t="s">
        <v>5311</v>
      </c>
      <c r="F1606" s="6">
        <v>60</v>
      </c>
      <c r="G1606" s="6">
        <v>45</v>
      </c>
      <c r="H1606" s="6">
        <v>22</v>
      </c>
      <c r="I1606" s="7" t="s">
        <v>4315</v>
      </c>
      <c r="J1606" s="3" t="s">
        <v>4317</v>
      </c>
      <c r="K1606" s="8">
        <v>0.1</v>
      </c>
      <c r="L1606" s="9" t="s">
        <v>2543</v>
      </c>
      <c r="M1606" s="24" t="s">
        <v>5954</v>
      </c>
      <c r="N1606" t="s">
        <v>5548</v>
      </c>
    </row>
    <row r="1607" spans="1:14" x14ac:dyDescent="0.3">
      <c r="A1607" s="3">
        <v>2907013</v>
      </c>
      <c r="B1607" s="4" t="s">
        <v>2524</v>
      </c>
      <c r="C1607" s="5">
        <v>1355016</v>
      </c>
      <c r="D1607" s="5" t="s">
        <v>74</v>
      </c>
      <c r="E1607" s="3" t="s">
        <v>5311</v>
      </c>
      <c r="F1607" s="6">
        <v>60</v>
      </c>
      <c r="G1607" s="6">
        <v>45</v>
      </c>
      <c r="H1607" s="6" t="s">
        <v>14</v>
      </c>
      <c r="I1607" s="7" t="s">
        <v>5312</v>
      </c>
      <c r="J1607" s="3" t="s">
        <v>14</v>
      </c>
      <c r="K1607" s="8" t="s">
        <v>14</v>
      </c>
      <c r="L1607" s="9" t="s">
        <v>2544</v>
      </c>
      <c r="M1607" s="24" t="s">
        <v>5955</v>
      </c>
      <c r="N1607" t="s">
        <v>5548</v>
      </c>
    </row>
    <row r="1608" spans="1:14" x14ac:dyDescent="0.3">
      <c r="A1608" s="3">
        <v>2920014</v>
      </c>
      <c r="B1608" s="4" t="s">
        <v>2524</v>
      </c>
      <c r="C1608" s="5">
        <v>1266004</v>
      </c>
      <c r="D1608" s="5" t="s">
        <v>264</v>
      </c>
      <c r="E1608" s="3" t="s">
        <v>2545</v>
      </c>
      <c r="F1608" s="6">
        <v>80</v>
      </c>
      <c r="G1608" s="6">
        <v>36</v>
      </c>
      <c r="H1608" s="6">
        <v>0</v>
      </c>
      <c r="I1608" s="7" t="s">
        <v>4315</v>
      </c>
      <c r="J1608" s="3" t="s">
        <v>4317</v>
      </c>
      <c r="K1608" s="8" t="s">
        <v>4677</v>
      </c>
      <c r="L1608" s="9" t="s">
        <v>2546</v>
      </c>
      <c r="M1608" s="1" t="s">
        <v>2547</v>
      </c>
    </row>
    <row r="1609" spans="1:14" x14ac:dyDescent="0.3">
      <c r="A1609" s="3">
        <v>2921015</v>
      </c>
      <c r="B1609" s="4" t="s">
        <v>2524</v>
      </c>
      <c r="C1609" s="5">
        <v>1266004</v>
      </c>
      <c r="D1609" s="5" t="s">
        <v>267</v>
      </c>
      <c r="E1609" s="3" t="s">
        <v>2545</v>
      </c>
      <c r="F1609" s="6">
        <v>60</v>
      </c>
      <c r="G1609" s="6">
        <v>36</v>
      </c>
      <c r="H1609" s="6">
        <v>0</v>
      </c>
      <c r="I1609" s="7" t="s">
        <v>4315</v>
      </c>
      <c r="J1609" s="3" t="s">
        <v>4317</v>
      </c>
      <c r="K1609" s="8" t="s">
        <v>4348</v>
      </c>
      <c r="L1609" s="9" t="s">
        <v>2548</v>
      </c>
      <c r="M1609" s="1" t="s">
        <v>2549</v>
      </c>
    </row>
    <row r="1610" spans="1:14" x14ac:dyDescent="0.3">
      <c r="A1610" s="3">
        <v>2910016</v>
      </c>
      <c r="B1610" s="4" t="s">
        <v>2524</v>
      </c>
      <c r="C1610" s="5">
        <v>2910016</v>
      </c>
      <c r="D1610" s="5" t="s">
        <v>96</v>
      </c>
      <c r="E1610" s="3" t="s">
        <v>14</v>
      </c>
      <c r="F1610" s="6">
        <v>80.5</v>
      </c>
      <c r="G1610" s="6">
        <v>60</v>
      </c>
      <c r="H1610" s="6">
        <v>36</v>
      </c>
      <c r="I1610" s="7" t="s">
        <v>4316</v>
      </c>
      <c r="J1610" s="3" t="s">
        <v>4318</v>
      </c>
      <c r="K1610" s="8" t="s">
        <v>4655</v>
      </c>
      <c r="L1610" s="9" t="s">
        <v>2550</v>
      </c>
      <c r="M1610" s="1" t="s">
        <v>2551</v>
      </c>
    </row>
    <row r="1611" spans="1:14" x14ac:dyDescent="0.3">
      <c r="A1611" s="3">
        <v>2910017</v>
      </c>
      <c r="B1611" s="4" t="s">
        <v>2524</v>
      </c>
      <c r="C1611" s="5">
        <v>2910017</v>
      </c>
      <c r="D1611" s="5" t="s">
        <v>96</v>
      </c>
      <c r="E1611" s="3" t="s">
        <v>14</v>
      </c>
      <c r="F1611" s="6">
        <v>81</v>
      </c>
      <c r="G1611" s="6">
        <v>61</v>
      </c>
      <c r="H1611" s="6">
        <v>38</v>
      </c>
      <c r="I1611" s="7" t="s">
        <v>4315</v>
      </c>
      <c r="J1611" s="3" t="s">
        <v>4317</v>
      </c>
      <c r="K1611" s="8" t="s">
        <v>4685</v>
      </c>
      <c r="L1611" s="9" t="s">
        <v>2552</v>
      </c>
      <c r="M1611" s="1" t="s">
        <v>2553</v>
      </c>
    </row>
    <row r="1612" spans="1:14" x14ac:dyDescent="0.3">
      <c r="A1612" s="3">
        <v>2910018</v>
      </c>
      <c r="B1612" s="4" t="s">
        <v>2524</v>
      </c>
      <c r="C1612" s="5">
        <v>1355010</v>
      </c>
      <c r="D1612" s="5" t="s">
        <v>96</v>
      </c>
      <c r="E1612" s="3" t="s">
        <v>2554</v>
      </c>
      <c r="F1612" s="6">
        <v>60.9</v>
      </c>
      <c r="G1612" s="6">
        <v>45.9</v>
      </c>
      <c r="H1612" s="6">
        <v>43.5</v>
      </c>
      <c r="I1612" s="7" t="s">
        <v>4315</v>
      </c>
      <c r="J1612" s="3" t="s">
        <v>4317</v>
      </c>
      <c r="K1612" s="8">
        <v>1.97</v>
      </c>
      <c r="L1612" s="9" t="s">
        <v>2555</v>
      </c>
      <c r="M1612" s="1" t="s">
        <v>2556</v>
      </c>
    </row>
    <row r="1613" spans="1:14" x14ac:dyDescent="0.3">
      <c r="A1613" s="3">
        <v>2910019</v>
      </c>
      <c r="B1613" s="4" t="s">
        <v>2524</v>
      </c>
      <c r="C1613" s="5">
        <v>1355011</v>
      </c>
      <c r="D1613" s="5" t="s">
        <v>264</v>
      </c>
      <c r="E1613" s="3" t="s">
        <v>2554</v>
      </c>
      <c r="F1613" s="6">
        <v>60</v>
      </c>
      <c r="G1613" s="6">
        <v>45</v>
      </c>
      <c r="H1613" s="6">
        <v>42</v>
      </c>
      <c r="I1613" s="7" t="s">
        <v>4315</v>
      </c>
      <c r="J1613" s="3" t="s">
        <v>4317</v>
      </c>
      <c r="K1613" s="8">
        <v>0.25</v>
      </c>
      <c r="L1613" s="9" t="s">
        <v>2557</v>
      </c>
      <c r="M1613" s="1" t="s">
        <v>2558</v>
      </c>
    </row>
    <row r="1614" spans="1:14" x14ac:dyDescent="0.3">
      <c r="A1614" s="3">
        <v>2921020</v>
      </c>
      <c r="B1614" s="4" t="s">
        <v>2524</v>
      </c>
      <c r="C1614" s="5">
        <v>1355011</v>
      </c>
      <c r="D1614" s="5" t="s">
        <v>267</v>
      </c>
      <c r="E1614" s="3" t="s">
        <v>2554</v>
      </c>
      <c r="F1614" s="6">
        <v>60</v>
      </c>
      <c r="G1614" s="6">
        <v>45</v>
      </c>
      <c r="H1614" s="6">
        <v>42</v>
      </c>
      <c r="I1614" s="7" t="s">
        <v>4315</v>
      </c>
      <c r="J1614" s="3" t="s">
        <v>4317</v>
      </c>
      <c r="K1614" s="8">
        <v>0.19</v>
      </c>
      <c r="L1614" s="9" t="s">
        <v>2559</v>
      </c>
      <c r="M1614" s="1" t="s">
        <v>2560</v>
      </c>
    </row>
    <row r="1615" spans="1:14" x14ac:dyDescent="0.3">
      <c r="A1615" s="3">
        <v>2921021</v>
      </c>
      <c r="B1615" s="4" t="s">
        <v>2524</v>
      </c>
      <c r="C1615" s="5">
        <v>1489043</v>
      </c>
      <c r="D1615" s="5" t="s">
        <v>96</v>
      </c>
      <c r="E1615" s="3" t="s">
        <v>6265</v>
      </c>
      <c r="F1615" s="6">
        <v>60</v>
      </c>
      <c r="G1615" s="6">
        <v>56</v>
      </c>
      <c r="H1615" s="6">
        <v>71</v>
      </c>
      <c r="I1615" s="7" t="s">
        <v>4316</v>
      </c>
      <c r="J1615" s="3" t="s">
        <v>4318</v>
      </c>
      <c r="K1615" s="8">
        <v>3.05</v>
      </c>
      <c r="L1615" s="9" t="s">
        <v>2561</v>
      </c>
      <c r="M1615" s="1" t="s">
        <v>2562</v>
      </c>
    </row>
    <row r="1616" spans="1:14" x14ac:dyDescent="0.3">
      <c r="A1616" s="3">
        <v>2921022</v>
      </c>
      <c r="B1616" s="4" t="s">
        <v>2524</v>
      </c>
      <c r="C1616" s="5">
        <v>1489044</v>
      </c>
      <c r="D1616" s="5" t="s">
        <v>90</v>
      </c>
      <c r="E1616" s="3" t="s">
        <v>6265</v>
      </c>
      <c r="F1616" s="6">
        <v>82</v>
      </c>
      <c r="G1616" s="6">
        <v>85</v>
      </c>
      <c r="H1616" s="6">
        <v>68</v>
      </c>
      <c r="I1616" s="7" t="s">
        <v>4687</v>
      </c>
      <c r="J1616" s="3" t="s">
        <v>4422</v>
      </c>
      <c r="K1616" s="8">
        <v>0.56000000000000005</v>
      </c>
      <c r="L1616" s="9" t="s">
        <v>2563</v>
      </c>
      <c r="M1616" s="1" t="s">
        <v>2564</v>
      </c>
    </row>
    <row r="1617" spans="1:13" x14ac:dyDescent="0.3">
      <c r="A1617" s="3">
        <v>1455011</v>
      </c>
      <c r="B1617" s="4" t="s">
        <v>2565</v>
      </c>
      <c r="C1617" s="5" t="s">
        <v>2566</v>
      </c>
      <c r="D1617" s="5" t="s">
        <v>96</v>
      </c>
      <c r="E1617" s="3" t="s">
        <v>2567</v>
      </c>
      <c r="F1617" s="6">
        <v>60.5</v>
      </c>
      <c r="G1617" s="6">
        <v>56.5</v>
      </c>
      <c r="H1617" s="6">
        <v>58</v>
      </c>
      <c r="I1617" s="7" t="s">
        <v>4315</v>
      </c>
      <c r="J1617" s="3" t="s">
        <v>4317</v>
      </c>
      <c r="K1617" s="8">
        <v>2.75</v>
      </c>
      <c r="L1617" s="5" t="s">
        <v>2568</v>
      </c>
      <c r="M1617" s="1" t="s">
        <v>2569</v>
      </c>
    </row>
    <row r="1618" spans="1:13" x14ac:dyDescent="0.3">
      <c r="A1618" s="3">
        <v>1455012</v>
      </c>
      <c r="B1618" s="4" t="s">
        <v>2565</v>
      </c>
      <c r="C1618" s="5" t="s">
        <v>2570</v>
      </c>
      <c r="D1618" s="5" t="s">
        <v>90</v>
      </c>
      <c r="E1618" s="3" t="s">
        <v>2571</v>
      </c>
      <c r="F1618" s="6">
        <v>60</v>
      </c>
      <c r="G1618" s="6">
        <v>56</v>
      </c>
      <c r="H1618" s="6">
        <v>57</v>
      </c>
      <c r="I1618" s="7" t="s">
        <v>4315</v>
      </c>
      <c r="J1618" s="3" t="s">
        <v>4317</v>
      </c>
      <c r="K1618" s="8">
        <v>0.34</v>
      </c>
      <c r="L1618" s="9" t="s">
        <v>2572</v>
      </c>
      <c r="M1618" s="1" t="s">
        <v>2573</v>
      </c>
    </row>
    <row r="1619" spans="1:13" x14ac:dyDescent="0.3">
      <c r="A1619" s="3">
        <v>1455013</v>
      </c>
      <c r="B1619" s="4" t="s">
        <v>2565</v>
      </c>
      <c r="C1619" s="5" t="s">
        <v>2574</v>
      </c>
      <c r="D1619" s="5" t="s">
        <v>96</v>
      </c>
      <c r="E1619" s="3" t="s">
        <v>2575</v>
      </c>
      <c r="F1619" s="6">
        <v>60.5</v>
      </c>
      <c r="G1619" s="6">
        <v>56.5</v>
      </c>
      <c r="H1619" s="6">
        <v>70.5</v>
      </c>
      <c r="I1619" s="7" t="s">
        <v>4315</v>
      </c>
      <c r="J1619" s="3" t="s">
        <v>4317</v>
      </c>
      <c r="K1619" s="8">
        <v>3.05</v>
      </c>
      <c r="L1619" s="5" t="s">
        <v>2576</v>
      </c>
      <c r="M1619" s="1" t="s">
        <v>2577</v>
      </c>
    </row>
    <row r="1620" spans="1:13" x14ac:dyDescent="0.3">
      <c r="A1620" s="3">
        <v>1455014</v>
      </c>
      <c r="B1620" s="4" t="s">
        <v>2565</v>
      </c>
      <c r="C1620" s="5" t="s">
        <v>2578</v>
      </c>
      <c r="D1620" s="5" t="s">
        <v>90</v>
      </c>
      <c r="E1620" s="3" t="s">
        <v>2575</v>
      </c>
      <c r="F1620" s="6">
        <v>60</v>
      </c>
      <c r="G1620" s="6">
        <v>56</v>
      </c>
      <c r="H1620" s="6">
        <v>69.599999999999994</v>
      </c>
      <c r="I1620" s="7" t="s">
        <v>4315</v>
      </c>
      <c r="J1620" s="3" t="s">
        <v>4317</v>
      </c>
      <c r="K1620" s="8">
        <v>0.42</v>
      </c>
      <c r="L1620" s="9" t="s">
        <v>2579</v>
      </c>
      <c r="M1620" s="1" t="s">
        <v>2580</v>
      </c>
    </row>
    <row r="1621" spans="1:13" x14ac:dyDescent="0.3">
      <c r="A1621" s="3">
        <v>8927001</v>
      </c>
      <c r="B1621" s="4" t="s">
        <v>6794</v>
      </c>
      <c r="C1621" s="5" t="s">
        <v>6790</v>
      </c>
      <c r="D1621" s="5" t="s">
        <v>96</v>
      </c>
      <c r="E1621" s="3" t="s">
        <v>6791</v>
      </c>
      <c r="F1621" s="6">
        <v>62.5</v>
      </c>
      <c r="G1621" s="6">
        <v>30.5</v>
      </c>
      <c r="H1621" s="6">
        <v>34.799999999999997</v>
      </c>
      <c r="I1621" s="7">
        <v>32</v>
      </c>
      <c r="J1621" s="3" t="s">
        <v>4317</v>
      </c>
      <c r="K1621" s="8">
        <v>1.26</v>
      </c>
      <c r="L1621" s="9" t="s">
        <v>6792</v>
      </c>
      <c r="M1621" s="1" t="s">
        <v>6793</v>
      </c>
    </row>
    <row r="1622" spans="1:13" x14ac:dyDescent="0.3">
      <c r="A1622" s="3">
        <v>6834001</v>
      </c>
      <c r="B1622" s="4" t="s">
        <v>7610</v>
      </c>
      <c r="C1622" s="5" t="s">
        <v>7618</v>
      </c>
      <c r="D1622" s="5" t="s">
        <v>74</v>
      </c>
      <c r="E1622" s="3" t="s">
        <v>7618</v>
      </c>
      <c r="F1622" s="6">
        <v>107.7</v>
      </c>
      <c r="G1622" s="6">
        <v>45.5</v>
      </c>
      <c r="H1622" s="6" t="s">
        <v>14</v>
      </c>
      <c r="I1622" s="7">
        <v>32</v>
      </c>
      <c r="J1622" s="3" t="s">
        <v>4317</v>
      </c>
      <c r="K1622" s="8">
        <v>0.49</v>
      </c>
      <c r="L1622" s="9" t="s">
        <v>7625</v>
      </c>
      <c r="M1622" s="1"/>
    </row>
    <row r="1623" spans="1:13" x14ac:dyDescent="0.3">
      <c r="A1623" s="3">
        <v>6834002</v>
      </c>
      <c r="B1623" s="4" t="s">
        <v>7610</v>
      </c>
      <c r="C1623" s="5" t="s">
        <v>7619</v>
      </c>
      <c r="D1623" s="5" t="s">
        <v>74</v>
      </c>
      <c r="E1623" s="3" t="s">
        <v>7619</v>
      </c>
      <c r="F1623" s="6">
        <v>112.2</v>
      </c>
      <c r="G1623" s="6">
        <v>51.5</v>
      </c>
      <c r="H1623" s="6" t="s">
        <v>14</v>
      </c>
      <c r="I1623" s="7">
        <v>32</v>
      </c>
      <c r="J1623" s="3" t="s">
        <v>4317</v>
      </c>
      <c r="K1623" s="8">
        <v>0.57999999999999996</v>
      </c>
      <c r="L1623" s="9" t="s">
        <v>7626</v>
      </c>
      <c r="M1623" s="1"/>
    </row>
    <row r="1624" spans="1:13" x14ac:dyDescent="0.3">
      <c r="A1624" s="3">
        <v>6834003</v>
      </c>
      <c r="B1624" s="4" t="s">
        <v>7610</v>
      </c>
      <c r="C1624" s="5" t="s">
        <v>7620</v>
      </c>
      <c r="D1624" s="5" t="s">
        <v>74</v>
      </c>
      <c r="E1624" s="3" t="s">
        <v>7620</v>
      </c>
      <c r="F1624" s="6">
        <v>112.2</v>
      </c>
      <c r="G1624" s="6">
        <v>104.5</v>
      </c>
      <c r="H1624" s="6" t="s">
        <v>14</v>
      </c>
      <c r="I1624" s="7">
        <v>32</v>
      </c>
      <c r="J1624" s="3" t="s">
        <v>4317</v>
      </c>
      <c r="K1624" s="8">
        <v>1.17</v>
      </c>
      <c r="L1624" s="9" t="s">
        <v>7627</v>
      </c>
      <c r="M1624" s="1"/>
    </row>
    <row r="1625" spans="1:13" x14ac:dyDescent="0.3">
      <c r="A1625" s="3">
        <v>6834004</v>
      </c>
      <c r="B1625" s="4" t="s">
        <v>7610</v>
      </c>
      <c r="C1625" s="5" t="s">
        <v>7621</v>
      </c>
      <c r="D1625" s="5" t="s">
        <v>74</v>
      </c>
      <c r="E1625" s="3" t="s">
        <v>7621</v>
      </c>
      <c r="F1625" s="6">
        <v>99</v>
      </c>
      <c r="G1625" s="6">
        <v>28</v>
      </c>
      <c r="H1625" s="6" t="s">
        <v>14</v>
      </c>
      <c r="I1625" s="7">
        <v>32</v>
      </c>
      <c r="J1625" s="3" t="s">
        <v>4317</v>
      </c>
      <c r="K1625" s="8">
        <v>0.28000000000000003</v>
      </c>
      <c r="L1625" s="9" t="s">
        <v>7628</v>
      </c>
      <c r="M1625" s="1"/>
    </row>
    <row r="1626" spans="1:13" x14ac:dyDescent="0.3">
      <c r="A1626" s="3">
        <v>6834005</v>
      </c>
      <c r="B1626" s="4" t="s">
        <v>7610</v>
      </c>
      <c r="C1626" s="5" t="s">
        <v>7623</v>
      </c>
      <c r="D1626" s="5" t="s">
        <v>4792</v>
      </c>
      <c r="E1626" s="3" t="s">
        <v>7623</v>
      </c>
      <c r="F1626" s="6">
        <v>60</v>
      </c>
      <c r="G1626" s="6">
        <v>54</v>
      </c>
      <c r="H1626" s="6">
        <v>33</v>
      </c>
      <c r="I1626" s="7">
        <v>32</v>
      </c>
      <c r="J1626" s="3" t="s">
        <v>4317</v>
      </c>
      <c r="K1626" s="8">
        <f>0.38+0.18</f>
        <v>0.56000000000000005</v>
      </c>
      <c r="L1626" s="9" t="s">
        <v>7629</v>
      </c>
      <c r="M1626" s="1"/>
    </row>
    <row r="1627" spans="1:13" x14ac:dyDescent="0.3">
      <c r="A1627" s="3">
        <v>6834006</v>
      </c>
      <c r="B1627" s="4" t="s">
        <v>7610</v>
      </c>
      <c r="C1627" s="5" t="s">
        <v>7622</v>
      </c>
      <c r="D1627" s="5" t="s">
        <v>4792</v>
      </c>
      <c r="E1627" s="3" t="s">
        <v>7622</v>
      </c>
      <c r="F1627" s="6">
        <v>59.8</v>
      </c>
      <c r="G1627" s="6">
        <v>55</v>
      </c>
      <c r="H1627" s="6">
        <v>43.5</v>
      </c>
      <c r="I1627" s="7">
        <v>32</v>
      </c>
      <c r="J1627" s="3" t="s">
        <v>4317</v>
      </c>
      <c r="K1627" s="8">
        <f>0.44+0.24</f>
        <v>0.67999999999999994</v>
      </c>
      <c r="L1627" s="9" t="s">
        <v>7630</v>
      </c>
      <c r="M1627" s="1"/>
    </row>
    <row r="1628" spans="1:13" x14ac:dyDescent="0.3">
      <c r="A1628" s="3">
        <v>6834007</v>
      </c>
      <c r="B1628" s="4" t="s">
        <v>7610</v>
      </c>
      <c r="C1628" s="5" t="s">
        <v>7624</v>
      </c>
      <c r="D1628" s="5" t="s">
        <v>4792</v>
      </c>
      <c r="E1628" s="3" t="s">
        <v>7624</v>
      </c>
      <c r="F1628" s="6">
        <v>59</v>
      </c>
      <c r="G1628" s="6">
        <v>55</v>
      </c>
      <c r="H1628" s="6">
        <v>43.5</v>
      </c>
      <c r="I1628" s="7">
        <v>32</v>
      </c>
      <c r="J1628" s="3" t="s">
        <v>4317</v>
      </c>
      <c r="K1628" s="8">
        <f>0.44+0.24</f>
        <v>0.67999999999999994</v>
      </c>
      <c r="L1628" s="9" t="s">
        <v>7631</v>
      </c>
      <c r="M1628" s="1"/>
    </row>
    <row r="1629" spans="1:13" x14ac:dyDescent="0.3">
      <c r="A1629" s="3">
        <v>6834008</v>
      </c>
      <c r="B1629" s="4" t="s">
        <v>7610</v>
      </c>
      <c r="C1629" s="5" t="s">
        <v>7637</v>
      </c>
      <c r="D1629" s="5" t="s">
        <v>96</v>
      </c>
      <c r="E1629" s="3" t="s">
        <v>7637</v>
      </c>
      <c r="F1629" s="6">
        <v>102</v>
      </c>
      <c r="G1629" s="6">
        <v>29</v>
      </c>
      <c r="H1629" s="6">
        <v>44.5</v>
      </c>
      <c r="I1629" s="7">
        <v>44</v>
      </c>
      <c r="J1629" s="3" t="s">
        <v>4317</v>
      </c>
      <c r="K1629" s="8">
        <v>1.98</v>
      </c>
      <c r="L1629" s="9" t="s">
        <v>7632</v>
      </c>
      <c r="M1629" s="1"/>
    </row>
    <row r="1630" spans="1:13" x14ac:dyDescent="0.3">
      <c r="A1630" s="3">
        <v>6834009</v>
      </c>
      <c r="B1630" s="4" t="s">
        <v>7610</v>
      </c>
      <c r="C1630" s="5" t="s">
        <v>7618</v>
      </c>
      <c r="D1630" s="5" t="s">
        <v>96</v>
      </c>
      <c r="E1630" s="3" t="s">
        <v>7618</v>
      </c>
      <c r="F1630" s="6">
        <v>110</v>
      </c>
      <c r="G1630" s="6">
        <v>46</v>
      </c>
      <c r="H1630" s="6">
        <v>28</v>
      </c>
      <c r="I1630" s="7">
        <v>44</v>
      </c>
      <c r="J1630" s="3" t="s">
        <v>4317</v>
      </c>
      <c r="K1630" s="8">
        <v>2.36</v>
      </c>
      <c r="L1630" s="9" t="s">
        <v>7633</v>
      </c>
      <c r="M1630" s="1"/>
    </row>
    <row r="1631" spans="1:13" x14ac:dyDescent="0.3">
      <c r="A1631" s="3">
        <v>6834010</v>
      </c>
      <c r="B1631" s="4" t="s">
        <v>7610</v>
      </c>
      <c r="C1631" s="5" t="s">
        <v>7638</v>
      </c>
      <c r="D1631" s="5" t="s">
        <v>96</v>
      </c>
      <c r="E1631" s="3" t="s">
        <v>7638</v>
      </c>
      <c r="F1631" s="6">
        <v>61</v>
      </c>
      <c r="G1631" s="6">
        <v>56</v>
      </c>
      <c r="H1631" s="6">
        <v>45</v>
      </c>
      <c r="I1631" s="7">
        <v>44</v>
      </c>
      <c r="J1631" s="3" t="s">
        <v>4317</v>
      </c>
      <c r="K1631" s="8">
        <v>2.4300000000000002</v>
      </c>
      <c r="L1631" s="9" t="s">
        <v>7634</v>
      </c>
      <c r="M1631" s="1"/>
    </row>
    <row r="1632" spans="1:13" x14ac:dyDescent="0.3">
      <c r="A1632" s="3">
        <v>6834011</v>
      </c>
      <c r="B1632" s="4" t="s">
        <v>7610</v>
      </c>
      <c r="C1632" s="5" t="s">
        <v>7639</v>
      </c>
      <c r="D1632" s="5" t="s">
        <v>96</v>
      </c>
      <c r="E1632" s="3" t="s">
        <v>7639</v>
      </c>
      <c r="F1632" s="6">
        <v>60</v>
      </c>
      <c r="G1632" s="6">
        <v>56</v>
      </c>
      <c r="H1632" s="6">
        <v>45</v>
      </c>
      <c r="I1632" s="7">
        <v>44</v>
      </c>
      <c r="J1632" s="3" t="s">
        <v>4317</v>
      </c>
      <c r="K1632" s="8">
        <v>2.41</v>
      </c>
      <c r="L1632" s="9" t="s">
        <v>7635</v>
      </c>
      <c r="M1632" s="1"/>
    </row>
    <row r="1633" spans="1:13" x14ac:dyDescent="0.3">
      <c r="A1633" s="3">
        <v>6834012</v>
      </c>
      <c r="B1633" s="4" t="s">
        <v>7610</v>
      </c>
      <c r="C1633" s="5" t="s">
        <v>7640</v>
      </c>
      <c r="D1633" s="5" t="s">
        <v>96</v>
      </c>
      <c r="E1633" s="3" t="s">
        <v>7640</v>
      </c>
      <c r="F1633" s="6">
        <v>61</v>
      </c>
      <c r="G1633" s="6">
        <v>55.5</v>
      </c>
      <c r="H1633" s="6">
        <v>35</v>
      </c>
      <c r="I1633" s="7">
        <v>44</v>
      </c>
      <c r="J1633" s="3" t="s">
        <v>4317</v>
      </c>
      <c r="K1633" s="8">
        <v>2.17</v>
      </c>
      <c r="L1633" s="9" t="s">
        <v>7636</v>
      </c>
      <c r="M1633" s="1"/>
    </row>
    <row r="1634" spans="1:13" x14ac:dyDescent="0.3">
      <c r="A1634" s="3">
        <v>8213001</v>
      </c>
      <c r="B1634" s="4" t="s">
        <v>2581</v>
      </c>
      <c r="C1634" s="5" t="s">
        <v>491</v>
      </c>
      <c r="D1634" s="5" t="s">
        <v>491</v>
      </c>
      <c r="E1634" s="3" t="s">
        <v>491</v>
      </c>
      <c r="F1634" s="6">
        <v>36.799999999999997</v>
      </c>
      <c r="G1634" s="6">
        <v>42.2</v>
      </c>
      <c r="H1634" s="6">
        <v>21.3</v>
      </c>
      <c r="I1634" s="7" t="s">
        <v>4505</v>
      </c>
      <c r="J1634" s="3" t="s">
        <v>4422</v>
      </c>
      <c r="K1634" s="8" t="s">
        <v>4552</v>
      </c>
      <c r="L1634" s="9" t="s">
        <v>2582</v>
      </c>
      <c r="M1634" s="1" t="s">
        <v>2583</v>
      </c>
    </row>
    <row r="1635" spans="1:13" x14ac:dyDescent="0.3">
      <c r="A1635" s="3">
        <v>8213002</v>
      </c>
      <c r="B1635" s="4" t="s">
        <v>2581</v>
      </c>
      <c r="C1635" s="5" t="s">
        <v>2584</v>
      </c>
      <c r="D1635" s="5" t="s">
        <v>524</v>
      </c>
      <c r="E1635" s="3" t="s">
        <v>2584</v>
      </c>
      <c r="F1635" s="6">
        <v>39</v>
      </c>
      <c r="G1635" s="6">
        <v>42</v>
      </c>
      <c r="H1635" s="6">
        <v>8</v>
      </c>
      <c r="I1635" s="7" t="s">
        <v>4505</v>
      </c>
      <c r="J1635" s="3" t="s">
        <v>4422</v>
      </c>
      <c r="K1635" s="8" t="s">
        <v>4500</v>
      </c>
      <c r="L1635" s="9" t="s">
        <v>2585</v>
      </c>
      <c r="M1635" s="1" t="s">
        <v>2586</v>
      </c>
    </row>
    <row r="1636" spans="1:13" x14ac:dyDescent="0.3">
      <c r="A1636" s="3">
        <v>8237003</v>
      </c>
      <c r="B1636" s="4" t="s">
        <v>2581</v>
      </c>
      <c r="C1636" s="5" t="s">
        <v>2587</v>
      </c>
      <c r="D1636" s="5" t="s">
        <v>2587</v>
      </c>
      <c r="E1636" s="3" t="s">
        <v>2587</v>
      </c>
      <c r="F1636" s="6">
        <v>40.9</v>
      </c>
      <c r="G1636" s="6">
        <v>36.4</v>
      </c>
      <c r="H1636" s="6">
        <v>13</v>
      </c>
      <c r="I1636" s="7" t="s">
        <v>4505</v>
      </c>
      <c r="J1636" s="3" t="s">
        <v>4422</v>
      </c>
      <c r="K1636" s="8" t="s">
        <v>4438</v>
      </c>
      <c r="L1636" s="9" t="s">
        <v>2588</v>
      </c>
      <c r="M1636" s="1" t="s">
        <v>2589</v>
      </c>
    </row>
    <row r="1637" spans="1:13" x14ac:dyDescent="0.3">
      <c r="A1637" s="3">
        <v>8213004</v>
      </c>
      <c r="B1637" s="4" t="s">
        <v>2581</v>
      </c>
      <c r="C1637" s="5" t="s">
        <v>2590</v>
      </c>
      <c r="D1637" s="5" t="s">
        <v>2591</v>
      </c>
      <c r="E1637" s="3" t="s">
        <v>2592</v>
      </c>
      <c r="F1637" s="6">
        <v>39.799999999999997</v>
      </c>
      <c r="G1637" s="6">
        <v>45.2</v>
      </c>
      <c r="H1637" s="6">
        <v>21.3</v>
      </c>
      <c r="I1637" s="7" t="s">
        <v>4505</v>
      </c>
      <c r="J1637" s="3" t="s">
        <v>4422</v>
      </c>
      <c r="K1637" s="8" t="s">
        <v>4625</v>
      </c>
      <c r="L1637" s="9" t="s">
        <v>2593</v>
      </c>
      <c r="M1637" s="1" t="s">
        <v>2594</v>
      </c>
    </row>
    <row r="1638" spans="1:13" x14ac:dyDescent="0.3">
      <c r="A1638" s="3">
        <v>8213005</v>
      </c>
      <c r="B1638" s="4" t="s">
        <v>2581</v>
      </c>
      <c r="C1638" s="5" t="s">
        <v>2595</v>
      </c>
      <c r="D1638" s="5" t="s">
        <v>2596</v>
      </c>
      <c r="E1638" s="3" t="s">
        <v>2596</v>
      </c>
      <c r="F1638" s="6">
        <v>42</v>
      </c>
      <c r="G1638" s="6">
        <v>45</v>
      </c>
      <c r="H1638" s="6">
        <v>8</v>
      </c>
      <c r="I1638" s="7" t="s">
        <v>4505</v>
      </c>
      <c r="J1638" s="3" t="s">
        <v>4422</v>
      </c>
      <c r="K1638" s="8" t="s">
        <v>4602</v>
      </c>
      <c r="L1638" s="9" t="s">
        <v>2597</v>
      </c>
      <c r="M1638" s="1" t="s">
        <v>2598</v>
      </c>
    </row>
    <row r="1639" spans="1:13" x14ac:dyDescent="0.3">
      <c r="A1639" s="3">
        <v>8237006</v>
      </c>
      <c r="B1639" s="4" t="s">
        <v>2581</v>
      </c>
      <c r="C1639" s="5" t="s">
        <v>2599</v>
      </c>
      <c r="D1639" s="5" t="s">
        <v>2600</v>
      </c>
      <c r="E1639" s="3" t="s">
        <v>2600</v>
      </c>
      <c r="F1639" s="6">
        <v>43.9</v>
      </c>
      <c r="G1639" s="6">
        <v>39.4</v>
      </c>
      <c r="H1639" s="6">
        <v>13</v>
      </c>
      <c r="I1639" s="7" t="s">
        <v>4505</v>
      </c>
      <c r="J1639" s="3" t="s">
        <v>4422</v>
      </c>
      <c r="K1639" s="8" t="s">
        <v>4450</v>
      </c>
      <c r="L1639" s="9" t="s">
        <v>2601</v>
      </c>
      <c r="M1639" s="1" t="s">
        <v>2602</v>
      </c>
    </row>
    <row r="1640" spans="1:13" x14ac:dyDescent="0.3">
      <c r="A1640" s="3">
        <v>8237007</v>
      </c>
      <c r="B1640" s="4" t="s">
        <v>2581</v>
      </c>
      <c r="C1640" s="5" t="s">
        <v>2603</v>
      </c>
      <c r="D1640" s="5" t="s">
        <v>2587</v>
      </c>
      <c r="E1640" s="3" t="s">
        <v>2604</v>
      </c>
      <c r="F1640" s="6">
        <v>17</v>
      </c>
      <c r="G1640" s="6">
        <v>2</v>
      </c>
      <c r="H1640" s="6">
        <v>34</v>
      </c>
      <c r="I1640" s="7" t="s">
        <v>4505</v>
      </c>
      <c r="J1640" s="3" t="s">
        <v>4422</v>
      </c>
      <c r="K1640" s="8" t="s">
        <v>4453</v>
      </c>
      <c r="L1640" s="9" t="s">
        <v>2605</v>
      </c>
      <c r="M1640" s="1" t="s">
        <v>2606</v>
      </c>
    </row>
    <row r="1641" spans="1:13" x14ac:dyDescent="0.3">
      <c r="A1641" s="3">
        <v>8237006</v>
      </c>
      <c r="B1641" s="4" t="s">
        <v>2581</v>
      </c>
      <c r="C1641" s="5" t="s">
        <v>2607</v>
      </c>
      <c r="D1641" s="5" t="s">
        <v>2587</v>
      </c>
      <c r="E1641" s="3" t="s">
        <v>2608</v>
      </c>
      <c r="F1641" s="6">
        <v>27.5</v>
      </c>
      <c r="G1641" s="6">
        <v>21.5</v>
      </c>
      <c r="H1641" s="6">
        <v>8</v>
      </c>
      <c r="I1641" s="7" t="s">
        <v>4505</v>
      </c>
      <c r="J1641" s="3" t="s">
        <v>4422</v>
      </c>
      <c r="K1641" s="8" t="s">
        <v>4433</v>
      </c>
      <c r="L1641" s="9" t="s">
        <v>2609</v>
      </c>
      <c r="M1641" s="1" t="s">
        <v>2610</v>
      </c>
    </row>
    <row r="1642" spans="1:13" x14ac:dyDescent="0.3">
      <c r="A1642" s="3">
        <v>3019001</v>
      </c>
      <c r="B1642" s="4" t="s">
        <v>2611</v>
      </c>
      <c r="C1642" s="5" t="s">
        <v>2612</v>
      </c>
      <c r="D1642" s="5" t="s">
        <v>74</v>
      </c>
      <c r="E1642" s="3" t="s">
        <v>14</v>
      </c>
      <c r="F1642" s="6">
        <v>68.599999999999994</v>
      </c>
      <c r="G1642" s="6">
        <v>73.7</v>
      </c>
      <c r="H1642" s="6">
        <v>0</v>
      </c>
      <c r="I1642" s="7" t="s">
        <v>4317</v>
      </c>
      <c r="J1642" s="3" t="s">
        <v>4317</v>
      </c>
      <c r="K1642" s="8" t="s">
        <v>4391</v>
      </c>
      <c r="L1642" s="9" t="s">
        <v>2613</v>
      </c>
      <c r="M1642" s="1" t="s">
        <v>2617</v>
      </c>
    </row>
    <row r="1643" spans="1:13" x14ac:dyDescent="0.3">
      <c r="A1643" s="3">
        <v>3017002</v>
      </c>
      <c r="B1643" s="4" t="s">
        <v>2611</v>
      </c>
      <c r="C1643" s="5" t="s">
        <v>2615</v>
      </c>
      <c r="D1643" s="5" t="s">
        <v>167</v>
      </c>
      <c r="E1643" s="3" t="s">
        <v>14</v>
      </c>
      <c r="F1643" s="6">
        <v>122</v>
      </c>
      <c r="G1643" s="6">
        <v>114</v>
      </c>
      <c r="H1643" s="6">
        <v>84</v>
      </c>
      <c r="I1643" s="7" t="s">
        <v>4347</v>
      </c>
      <c r="J1643" s="3" t="s">
        <v>4347</v>
      </c>
      <c r="K1643" s="8" t="s">
        <v>4688</v>
      </c>
      <c r="L1643" s="9" t="s">
        <v>2616</v>
      </c>
      <c r="M1643" s="1" t="s">
        <v>2614</v>
      </c>
    </row>
    <row r="1644" spans="1:13" x14ac:dyDescent="0.3">
      <c r="A1644" s="3">
        <v>3014003</v>
      </c>
      <c r="B1644" s="4" t="s">
        <v>2611</v>
      </c>
      <c r="C1644" s="5" t="s">
        <v>2618</v>
      </c>
      <c r="D1644" s="5" t="s">
        <v>392</v>
      </c>
      <c r="E1644" s="3" t="s">
        <v>14</v>
      </c>
      <c r="F1644" s="6">
        <v>124</v>
      </c>
      <c r="G1644" s="6">
        <v>116</v>
      </c>
      <c r="H1644" s="6">
        <v>10</v>
      </c>
      <c r="I1644" s="7" t="s">
        <v>4318</v>
      </c>
      <c r="J1644" s="3" t="s">
        <v>4318</v>
      </c>
      <c r="K1644" s="8" t="s">
        <v>4445</v>
      </c>
      <c r="L1644" s="9" t="s">
        <v>2619</v>
      </c>
      <c r="M1644" s="1" t="s">
        <v>2620</v>
      </c>
    </row>
    <row r="1645" spans="1:13" x14ac:dyDescent="0.3">
      <c r="A1645" s="3">
        <v>1171002</v>
      </c>
      <c r="B1645" s="4" t="s">
        <v>2621</v>
      </c>
      <c r="C1645" s="5" t="s">
        <v>2622</v>
      </c>
      <c r="D1645" s="5" t="s">
        <v>96</v>
      </c>
      <c r="E1645" s="3" t="s">
        <v>14</v>
      </c>
      <c r="F1645" s="6">
        <v>45.7</v>
      </c>
      <c r="G1645" s="6">
        <v>21.6</v>
      </c>
      <c r="H1645" s="6">
        <v>15.2</v>
      </c>
      <c r="I1645" s="7" t="s">
        <v>4315</v>
      </c>
      <c r="J1645" s="3" t="s">
        <v>4317</v>
      </c>
      <c r="K1645" s="8" t="s">
        <v>4350</v>
      </c>
      <c r="L1645" s="9" t="s">
        <v>2623</v>
      </c>
      <c r="M1645" s="1" t="s">
        <v>2624</v>
      </c>
    </row>
    <row r="1646" spans="1:13" x14ac:dyDescent="0.3">
      <c r="A1646" s="3">
        <v>11717003</v>
      </c>
      <c r="B1646" s="4" t="s">
        <v>2621</v>
      </c>
      <c r="C1646" s="5" t="s">
        <v>2625</v>
      </c>
      <c r="D1646" s="5" t="s">
        <v>167</v>
      </c>
      <c r="E1646" s="3" t="s">
        <v>2625</v>
      </c>
      <c r="F1646" s="6">
        <v>121.9</v>
      </c>
      <c r="G1646" s="6">
        <v>96.5</v>
      </c>
      <c r="H1646" s="6">
        <v>73.7</v>
      </c>
      <c r="I1646" s="7" t="s">
        <v>4446</v>
      </c>
      <c r="J1646" s="3" t="s">
        <v>4318</v>
      </c>
      <c r="K1646" s="8">
        <v>4.1900000000000004</v>
      </c>
      <c r="L1646" s="9" t="s">
        <v>2626</v>
      </c>
      <c r="M1646" s="1" t="s">
        <v>2627</v>
      </c>
    </row>
    <row r="1647" spans="1:13" x14ac:dyDescent="0.3">
      <c r="A1647" s="3">
        <v>11717003</v>
      </c>
      <c r="B1647" s="4" t="s">
        <v>2621</v>
      </c>
      <c r="C1647" s="5" t="s">
        <v>2625</v>
      </c>
      <c r="D1647" s="5" t="s">
        <v>392</v>
      </c>
      <c r="E1647" s="3" t="s">
        <v>2625</v>
      </c>
      <c r="F1647" s="6">
        <v>129.9</v>
      </c>
      <c r="G1647" s="6">
        <v>96.1</v>
      </c>
      <c r="H1647" s="6">
        <v>10</v>
      </c>
      <c r="I1647" s="7" t="s">
        <v>4315</v>
      </c>
      <c r="J1647" s="3" t="s">
        <v>4317</v>
      </c>
      <c r="K1647" s="8">
        <v>1.74</v>
      </c>
      <c r="L1647" s="9" t="s">
        <v>2628</v>
      </c>
      <c r="M1647" s="1" t="s">
        <v>2629</v>
      </c>
    </row>
    <row r="1648" spans="1:13" x14ac:dyDescent="0.3">
      <c r="A1648" s="3">
        <v>11810001</v>
      </c>
      <c r="B1648" s="4" t="s">
        <v>2630</v>
      </c>
      <c r="C1648" s="5" t="s">
        <v>2631</v>
      </c>
      <c r="D1648" s="5" t="s">
        <v>96</v>
      </c>
      <c r="E1648" s="3" t="s">
        <v>2632</v>
      </c>
      <c r="F1648" s="6">
        <v>48</v>
      </c>
      <c r="G1648" s="6">
        <v>45.4</v>
      </c>
      <c r="H1648" s="6">
        <v>42.3</v>
      </c>
      <c r="I1648" s="7" t="s">
        <v>4585</v>
      </c>
      <c r="J1648" s="3" t="s">
        <v>4317</v>
      </c>
      <c r="K1648" s="8" t="s">
        <v>4569</v>
      </c>
      <c r="L1648" s="9" t="s">
        <v>2633</v>
      </c>
      <c r="M1648" s="1" t="s">
        <v>2634</v>
      </c>
    </row>
    <row r="1649" spans="1:13" x14ac:dyDescent="0.3">
      <c r="A1649" s="3">
        <v>3110001</v>
      </c>
      <c r="B1649" s="4" t="s">
        <v>2635</v>
      </c>
      <c r="C1649" s="5" t="s">
        <v>102</v>
      </c>
      <c r="D1649" s="5" t="s">
        <v>96</v>
      </c>
      <c r="E1649" s="3" t="s">
        <v>14</v>
      </c>
      <c r="F1649" s="6">
        <v>119.5</v>
      </c>
      <c r="G1649" s="6">
        <v>20</v>
      </c>
      <c r="H1649" s="6">
        <v>86.5</v>
      </c>
      <c r="I1649" s="7" t="s">
        <v>4315</v>
      </c>
      <c r="J1649" s="3" t="s">
        <v>4317</v>
      </c>
      <c r="K1649" s="8" t="s">
        <v>4353</v>
      </c>
      <c r="L1649" s="9" t="s">
        <v>2636</v>
      </c>
      <c r="M1649" s="1" t="s">
        <v>2637</v>
      </c>
    </row>
    <row r="1650" spans="1:13" x14ac:dyDescent="0.3">
      <c r="A1650" s="3">
        <v>5417001</v>
      </c>
      <c r="B1650" s="4" t="s">
        <v>2638</v>
      </c>
      <c r="C1650" s="5" t="s">
        <v>176</v>
      </c>
      <c r="D1650" s="5" t="s">
        <v>167</v>
      </c>
      <c r="E1650" s="3" t="s">
        <v>14</v>
      </c>
      <c r="F1650" s="6">
        <v>122.5</v>
      </c>
      <c r="G1650" s="6">
        <v>114</v>
      </c>
      <c r="H1650" s="6">
        <v>74.5</v>
      </c>
      <c r="I1650" s="7" t="s">
        <v>4345</v>
      </c>
      <c r="J1650" s="3" t="s">
        <v>4347</v>
      </c>
      <c r="K1650" s="8" t="s">
        <v>4372</v>
      </c>
      <c r="L1650" s="9" t="s">
        <v>2639</v>
      </c>
      <c r="M1650" s="1" t="s">
        <v>2640</v>
      </c>
    </row>
    <row r="1651" spans="1:13" x14ac:dyDescent="0.3">
      <c r="A1651" s="3">
        <v>3214016</v>
      </c>
      <c r="B1651" s="4" t="s">
        <v>2641</v>
      </c>
      <c r="C1651" s="5" t="s">
        <v>2642</v>
      </c>
      <c r="D1651" s="5" t="s">
        <v>392</v>
      </c>
      <c r="E1651" s="3" t="s">
        <v>2643</v>
      </c>
      <c r="F1651" s="6">
        <v>122.4</v>
      </c>
      <c r="G1651" s="6">
        <v>110.9</v>
      </c>
      <c r="H1651" s="6">
        <v>10</v>
      </c>
      <c r="I1651" s="7" t="s">
        <v>4315</v>
      </c>
      <c r="J1651" s="3" t="s">
        <v>4317</v>
      </c>
      <c r="K1651" s="8" t="s">
        <v>4608</v>
      </c>
      <c r="L1651" s="9" t="s">
        <v>2644</v>
      </c>
      <c r="M1651" s="1" t="s">
        <v>2645</v>
      </c>
    </row>
    <row r="1652" spans="1:13" x14ac:dyDescent="0.3">
      <c r="A1652" s="3">
        <v>3212017</v>
      </c>
      <c r="B1652" s="4" t="s">
        <v>2641</v>
      </c>
      <c r="C1652" s="5" t="s">
        <v>2646</v>
      </c>
      <c r="D1652" s="5" t="s">
        <v>161</v>
      </c>
      <c r="E1652" s="3" t="s">
        <v>2647</v>
      </c>
      <c r="F1652" s="6">
        <v>55.7</v>
      </c>
      <c r="G1652" s="6">
        <v>51.7</v>
      </c>
      <c r="H1652" s="6">
        <v>18.7</v>
      </c>
      <c r="I1652" s="7" t="s">
        <v>4316</v>
      </c>
      <c r="J1652" s="3" t="s">
        <v>4318</v>
      </c>
      <c r="K1652" s="8" t="s">
        <v>4356</v>
      </c>
      <c r="L1652" s="9" t="s">
        <v>2648</v>
      </c>
      <c r="M1652" s="1" t="s">
        <v>2649</v>
      </c>
    </row>
    <row r="1653" spans="1:13" x14ac:dyDescent="0.3">
      <c r="A1653" s="3">
        <v>3214018</v>
      </c>
      <c r="B1653" s="4" t="s">
        <v>2641</v>
      </c>
      <c r="C1653" s="5" t="s">
        <v>2646</v>
      </c>
      <c r="D1653" s="5" t="s">
        <v>392</v>
      </c>
      <c r="E1653" s="3" t="s">
        <v>2650</v>
      </c>
      <c r="F1653" s="6">
        <v>114.7</v>
      </c>
      <c r="G1653" s="6">
        <v>106.7</v>
      </c>
      <c r="H1653" s="6">
        <v>9.6999999999999993</v>
      </c>
      <c r="I1653" s="7" t="s">
        <v>4316</v>
      </c>
      <c r="J1653" s="3" t="s">
        <v>4318</v>
      </c>
      <c r="K1653" s="8" t="s">
        <v>4569</v>
      </c>
      <c r="L1653" s="9" t="s">
        <v>2651</v>
      </c>
      <c r="M1653" s="1" t="s">
        <v>2652</v>
      </c>
    </row>
    <row r="1654" spans="1:13" x14ac:dyDescent="0.3">
      <c r="A1654" s="3">
        <v>3212019</v>
      </c>
      <c r="B1654" s="4" t="s">
        <v>2641</v>
      </c>
      <c r="C1654" s="5" t="s">
        <v>2653</v>
      </c>
      <c r="D1654" s="5" t="s">
        <v>2654</v>
      </c>
      <c r="E1654" s="3" t="s">
        <v>2655</v>
      </c>
      <c r="F1654" s="6">
        <v>69.7</v>
      </c>
      <c r="G1654" s="6">
        <v>48.7</v>
      </c>
      <c r="H1654" s="6">
        <v>16.7</v>
      </c>
      <c r="I1654" s="7" t="s">
        <v>4446</v>
      </c>
      <c r="J1654" s="3" t="s">
        <v>4318</v>
      </c>
      <c r="K1654" s="8" t="s">
        <v>4591</v>
      </c>
      <c r="L1654" s="9" t="s">
        <v>2656</v>
      </c>
      <c r="M1654" s="1" t="s">
        <v>2657</v>
      </c>
    </row>
    <row r="1655" spans="1:13" x14ac:dyDescent="0.3">
      <c r="A1655" s="3">
        <v>3214020</v>
      </c>
      <c r="B1655" s="4" t="s">
        <v>2641</v>
      </c>
      <c r="C1655" s="5" t="s">
        <v>2653</v>
      </c>
      <c r="D1655" s="5" t="s">
        <v>392</v>
      </c>
      <c r="E1655" s="3" t="s">
        <v>2658</v>
      </c>
      <c r="F1655" s="6">
        <v>121.7</v>
      </c>
      <c r="G1655" s="6">
        <v>121.7</v>
      </c>
      <c r="H1655" s="6">
        <v>9.6999999999999993</v>
      </c>
      <c r="I1655" s="7" t="s">
        <v>4316</v>
      </c>
      <c r="J1655" s="3" t="s">
        <v>4318</v>
      </c>
      <c r="K1655" s="8" t="s">
        <v>4691</v>
      </c>
      <c r="L1655" s="9" t="s">
        <v>2659</v>
      </c>
      <c r="M1655" s="1" t="s">
        <v>2660</v>
      </c>
    </row>
    <row r="1656" spans="1:13" x14ac:dyDescent="0.3">
      <c r="A1656" s="3">
        <v>3211021</v>
      </c>
      <c r="B1656" s="4" t="s">
        <v>2641</v>
      </c>
      <c r="C1656" s="5" t="s">
        <v>2661</v>
      </c>
      <c r="D1656" s="5" t="s">
        <v>154</v>
      </c>
      <c r="E1656" s="3" t="s">
        <v>2661</v>
      </c>
      <c r="F1656" s="6">
        <v>108</v>
      </c>
      <c r="G1656" s="6">
        <v>42.5</v>
      </c>
      <c r="H1656" s="6">
        <v>32.5</v>
      </c>
      <c r="I1656" s="7" t="s">
        <v>4473</v>
      </c>
      <c r="J1656" s="3" t="s">
        <v>4317</v>
      </c>
      <c r="K1656" s="8" t="s">
        <v>4686</v>
      </c>
      <c r="L1656" s="9" t="s">
        <v>2662</v>
      </c>
      <c r="M1656" s="1" t="s">
        <v>2663</v>
      </c>
    </row>
    <row r="1657" spans="1:13" x14ac:dyDescent="0.3">
      <c r="A1657" s="3">
        <v>3220022</v>
      </c>
      <c r="B1657" s="4" t="s">
        <v>2641</v>
      </c>
      <c r="C1657" s="5" t="s">
        <v>2661</v>
      </c>
      <c r="D1657" s="5" t="s">
        <v>264</v>
      </c>
      <c r="E1657" s="3" t="s">
        <v>2661</v>
      </c>
      <c r="F1657" s="6">
        <v>113</v>
      </c>
      <c r="G1657" s="6">
        <v>32</v>
      </c>
      <c r="H1657" s="6">
        <v>0</v>
      </c>
      <c r="I1657" s="7" t="s">
        <v>4315</v>
      </c>
      <c r="J1657" s="3" t="s">
        <v>4317</v>
      </c>
      <c r="K1657" s="8" t="s">
        <v>4320</v>
      </c>
      <c r="L1657" s="9" t="s">
        <v>2664</v>
      </c>
      <c r="M1657" s="1" t="s">
        <v>2665</v>
      </c>
    </row>
    <row r="1658" spans="1:13" x14ac:dyDescent="0.3">
      <c r="A1658" s="3">
        <v>3221023</v>
      </c>
      <c r="B1658" s="4" t="s">
        <v>2641</v>
      </c>
      <c r="C1658" s="5" t="s">
        <v>2661</v>
      </c>
      <c r="D1658" s="5" t="s">
        <v>267</v>
      </c>
      <c r="E1658" s="3" t="s">
        <v>2661</v>
      </c>
      <c r="F1658" s="6">
        <v>42</v>
      </c>
      <c r="G1658" s="6">
        <v>32</v>
      </c>
      <c r="H1658" s="6">
        <v>0</v>
      </c>
      <c r="I1658" s="7" t="s">
        <v>4315</v>
      </c>
      <c r="J1658" s="3" t="s">
        <v>4317</v>
      </c>
      <c r="K1658" s="8" t="s">
        <v>4580</v>
      </c>
      <c r="L1658" s="9" t="s">
        <v>2666</v>
      </c>
      <c r="M1658" s="1" t="s">
        <v>2667</v>
      </c>
    </row>
    <row r="1659" spans="1:13" x14ac:dyDescent="0.3">
      <c r="A1659" s="3">
        <v>3214024</v>
      </c>
      <c r="B1659" s="4" t="s">
        <v>2641</v>
      </c>
      <c r="C1659" s="5" t="s">
        <v>2661</v>
      </c>
      <c r="D1659" s="5" t="s">
        <v>392</v>
      </c>
      <c r="E1659" s="3" t="s">
        <v>2661</v>
      </c>
      <c r="F1659" s="6">
        <v>128.5</v>
      </c>
      <c r="G1659" s="6">
        <v>109</v>
      </c>
      <c r="H1659" s="6">
        <v>10</v>
      </c>
      <c r="I1659" s="7" t="s">
        <v>4315</v>
      </c>
      <c r="J1659" s="3" t="s">
        <v>4317</v>
      </c>
      <c r="K1659" s="8" t="s">
        <v>4692</v>
      </c>
      <c r="L1659" s="9" t="s">
        <v>2668</v>
      </c>
      <c r="M1659" s="1" t="s">
        <v>2669</v>
      </c>
    </row>
    <row r="1660" spans="1:13" x14ac:dyDescent="0.3">
      <c r="A1660" s="3">
        <v>3219025</v>
      </c>
      <c r="B1660" s="4" t="s">
        <v>2641</v>
      </c>
      <c r="C1660" s="5" t="s">
        <v>2661</v>
      </c>
      <c r="D1660" s="5" t="s">
        <v>74</v>
      </c>
      <c r="E1660" s="3" t="s">
        <v>2661</v>
      </c>
      <c r="F1660" s="6">
        <v>107</v>
      </c>
      <c r="G1660" s="6">
        <v>41</v>
      </c>
      <c r="H1660" s="6">
        <v>0</v>
      </c>
      <c r="I1660" s="7" t="s">
        <v>4681</v>
      </c>
      <c r="J1660" s="3" t="s">
        <v>4681</v>
      </c>
      <c r="K1660" s="8" t="s">
        <v>4500</v>
      </c>
      <c r="L1660" s="9" t="s">
        <v>2670</v>
      </c>
      <c r="M1660" s="1" t="s">
        <v>2671</v>
      </c>
    </row>
    <row r="1661" spans="1:13" x14ac:dyDescent="0.3">
      <c r="A1661" s="3">
        <v>7213001</v>
      </c>
      <c r="B1661" s="4" t="s">
        <v>2672</v>
      </c>
      <c r="C1661" s="5" t="s">
        <v>2673</v>
      </c>
      <c r="D1661" s="5" t="s">
        <v>2674</v>
      </c>
      <c r="E1661" s="3" t="s">
        <v>2675</v>
      </c>
      <c r="F1661" s="6">
        <v>36.200000000000003</v>
      </c>
      <c r="G1661" s="6">
        <v>12.2</v>
      </c>
      <c r="H1661" s="6">
        <v>31.5</v>
      </c>
      <c r="I1661" s="7" t="s">
        <v>4315</v>
      </c>
      <c r="J1661" s="3" t="s">
        <v>4317</v>
      </c>
      <c r="K1661" s="8" t="s">
        <v>4479</v>
      </c>
      <c r="L1661" s="9" t="s">
        <v>2676</v>
      </c>
      <c r="M1661" s="1" t="s">
        <v>2677</v>
      </c>
    </row>
    <row r="1662" spans="1:13" x14ac:dyDescent="0.3">
      <c r="A1662" s="3">
        <v>12020001</v>
      </c>
      <c r="B1662" s="4" t="s">
        <v>2678</v>
      </c>
      <c r="C1662" s="5" t="s">
        <v>2679</v>
      </c>
      <c r="D1662" s="5" t="s">
        <v>90</v>
      </c>
      <c r="E1662" s="3" t="s">
        <v>14</v>
      </c>
      <c r="F1662" s="6">
        <v>35.299999999999997</v>
      </c>
      <c r="G1662" s="6">
        <v>32.700000000000003</v>
      </c>
      <c r="H1662" s="6">
        <v>0</v>
      </c>
      <c r="I1662" s="7" t="s">
        <v>4315</v>
      </c>
      <c r="J1662" s="3" t="s">
        <v>4317</v>
      </c>
      <c r="K1662" s="8" t="s">
        <v>4425</v>
      </c>
      <c r="L1662" s="9" t="s">
        <v>2680</v>
      </c>
      <c r="M1662" s="1" t="s">
        <v>2681</v>
      </c>
    </row>
    <row r="1663" spans="1:13" x14ac:dyDescent="0.3">
      <c r="A1663" s="3">
        <v>5810001</v>
      </c>
      <c r="B1663" s="4" t="s">
        <v>2682</v>
      </c>
      <c r="C1663" s="5" t="s">
        <v>2683</v>
      </c>
      <c r="D1663" s="5" t="s">
        <v>96</v>
      </c>
      <c r="E1663" s="3" t="s">
        <v>14</v>
      </c>
      <c r="F1663" s="6">
        <v>50.5</v>
      </c>
      <c r="G1663" s="6">
        <v>30.5</v>
      </c>
      <c r="H1663" s="6">
        <v>24</v>
      </c>
      <c r="I1663" s="7" t="s">
        <v>4316</v>
      </c>
      <c r="J1663" s="3" t="s">
        <v>4318</v>
      </c>
      <c r="K1663" s="8" t="s">
        <v>4359</v>
      </c>
      <c r="L1663" s="9" t="s">
        <v>2684</v>
      </c>
      <c r="M1663" s="1" t="s">
        <v>2685</v>
      </c>
    </row>
    <row r="1664" spans="1:13" x14ac:dyDescent="0.3">
      <c r="A1664" s="3">
        <v>5722001</v>
      </c>
      <c r="B1664" s="4" t="s">
        <v>7601</v>
      </c>
      <c r="C1664" s="5" t="s">
        <v>7602</v>
      </c>
      <c r="D1664" s="5" t="s">
        <v>96</v>
      </c>
      <c r="E1664" s="3" t="s">
        <v>14</v>
      </c>
      <c r="F1664" s="6">
        <v>47</v>
      </c>
      <c r="G1664" s="6">
        <v>31.5</v>
      </c>
      <c r="H1664" s="6">
        <v>34</v>
      </c>
      <c r="I1664" s="7">
        <v>32</v>
      </c>
      <c r="J1664" s="3" t="s">
        <v>4317</v>
      </c>
      <c r="K1664" s="8">
        <v>1.07</v>
      </c>
      <c r="L1664" s="9" t="s">
        <v>7605</v>
      </c>
      <c r="M1664" s="1" t="s">
        <v>7613</v>
      </c>
    </row>
    <row r="1665" spans="1:13" x14ac:dyDescent="0.3">
      <c r="A1665" s="3">
        <v>5722002</v>
      </c>
      <c r="B1665" s="4" t="s">
        <v>7601</v>
      </c>
      <c r="C1665" s="5" t="s">
        <v>7603</v>
      </c>
      <c r="D1665" s="5" t="s">
        <v>96</v>
      </c>
      <c r="E1665" s="3" t="s">
        <v>14</v>
      </c>
      <c r="F1665" s="6">
        <v>60.5</v>
      </c>
      <c r="G1665" s="6">
        <v>38</v>
      </c>
      <c r="H1665" s="6">
        <v>24</v>
      </c>
      <c r="I1665" s="7">
        <v>32</v>
      </c>
      <c r="J1665" s="3" t="s">
        <v>4317</v>
      </c>
      <c r="K1665" s="8">
        <v>1.26</v>
      </c>
      <c r="L1665" s="9" t="s">
        <v>7606</v>
      </c>
      <c r="M1665" s="1" t="s">
        <v>7614</v>
      </c>
    </row>
    <row r="1666" spans="1:13" x14ac:dyDescent="0.3">
      <c r="A1666" s="3">
        <v>5722003</v>
      </c>
      <c r="B1666" s="4" t="s">
        <v>7601</v>
      </c>
      <c r="C1666" s="5" t="s">
        <v>7604</v>
      </c>
      <c r="D1666" s="5" t="s">
        <v>96</v>
      </c>
      <c r="E1666" s="3" t="s">
        <v>14</v>
      </c>
      <c r="F1666" s="6">
        <v>51</v>
      </c>
      <c r="G1666" s="6">
        <v>37</v>
      </c>
      <c r="H1666" s="6">
        <v>25.5</v>
      </c>
      <c r="I1666" s="7">
        <v>32</v>
      </c>
      <c r="J1666" s="3" t="s">
        <v>4317</v>
      </c>
      <c r="K1666" s="8">
        <v>1.1399999999999999</v>
      </c>
      <c r="L1666" s="9" t="s">
        <v>7607</v>
      </c>
      <c r="M1666" s="1" t="s">
        <v>7615</v>
      </c>
    </row>
    <row r="1667" spans="1:13" x14ac:dyDescent="0.3">
      <c r="A1667" s="3">
        <v>5722004</v>
      </c>
      <c r="B1667" s="4" t="s">
        <v>7601</v>
      </c>
      <c r="C1667" s="5" t="s">
        <v>7611</v>
      </c>
      <c r="D1667" s="5" t="s">
        <v>96</v>
      </c>
      <c r="E1667" s="3" t="s">
        <v>14</v>
      </c>
      <c r="F1667" s="6">
        <v>57</v>
      </c>
      <c r="G1667" s="6">
        <v>33.5</v>
      </c>
      <c r="H1667" s="6">
        <v>17</v>
      </c>
      <c r="I1667" s="7">
        <v>32</v>
      </c>
      <c r="J1667" s="3" t="s">
        <v>4317</v>
      </c>
      <c r="K1667" s="8">
        <v>0.95</v>
      </c>
      <c r="L1667" s="9" t="s">
        <v>7608</v>
      </c>
      <c r="M1667" s="1" t="s">
        <v>7616</v>
      </c>
    </row>
    <row r="1668" spans="1:13" x14ac:dyDescent="0.3">
      <c r="A1668" s="3">
        <v>5722005</v>
      </c>
      <c r="B1668" s="4" t="s">
        <v>7601</v>
      </c>
      <c r="C1668" s="5" t="s">
        <v>7612</v>
      </c>
      <c r="D1668" s="5" t="s">
        <v>96</v>
      </c>
      <c r="E1668" s="3" t="s">
        <v>14</v>
      </c>
      <c r="F1668" s="6">
        <v>108</v>
      </c>
      <c r="G1668" s="6">
        <v>57.5</v>
      </c>
      <c r="H1668" s="6">
        <v>60</v>
      </c>
      <c r="I1668" s="7">
        <v>42</v>
      </c>
      <c r="J1668" s="3" t="s">
        <v>4318</v>
      </c>
      <c r="K1668" s="8">
        <f>3.98/2</f>
        <v>1.99</v>
      </c>
      <c r="L1668" s="9" t="s">
        <v>7609</v>
      </c>
      <c r="M1668" s="1" t="s">
        <v>7617</v>
      </c>
    </row>
    <row r="1669" spans="1:13" x14ac:dyDescent="0.3">
      <c r="A1669" s="3">
        <v>46110010</v>
      </c>
      <c r="B1669" s="4" t="s">
        <v>5415</v>
      </c>
      <c r="C1669" s="5" t="s">
        <v>2686</v>
      </c>
      <c r="D1669" s="5" t="s">
        <v>682</v>
      </c>
      <c r="E1669" s="3" t="s">
        <v>2686</v>
      </c>
      <c r="F1669" s="6">
        <v>118</v>
      </c>
      <c r="G1669" s="6">
        <v>111</v>
      </c>
      <c r="H1669" s="6">
        <v>74</v>
      </c>
      <c r="I1669" s="7" t="s">
        <v>4316</v>
      </c>
      <c r="J1669" s="3" t="s">
        <v>4318</v>
      </c>
      <c r="K1669" s="8">
        <v>8.57</v>
      </c>
      <c r="L1669" s="9" t="s">
        <v>7765</v>
      </c>
      <c r="M1669" s="1" t="s">
        <v>2687</v>
      </c>
    </row>
    <row r="1670" spans="1:13" x14ac:dyDescent="0.3">
      <c r="A1670" s="3">
        <v>46110011</v>
      </c>
      <c r="B1670" s="4" t="s">
        <v>5415</v>
      </c>
      <c r="C1670" s="5" t="s">
        <v>2688</v>
      </c>
      <c r="D1670" s="5" t="s">
        <v>392</v>
      </c>
      <c r="E1670" s="3" t="s">
        <v>2688</v>
      </c>
      <c r="F1670" s="6">
        <v>120</v>
      </c>
      <c r="G1670" s="6">
        <v>113</v>
      </c>
      <c r="H1670" s="6">
        <v>10</v>
      </c>
      <c r="I1670" s="7" t="s">
        <v>4315</v>
      </c>
      <c r="J1670" s="3" t="s">
        <v>4317</v>
      </c>
      <c r="K1670" s="8">
        <v>1.86</v>
      </c>
      <c r="L1670" s="9" t="s">
        <v>7766</v>
      </c>
      <c r="M1670" s="1" t="s">
        <v>2689</v>
      </c>
    </row>
    <row r="1671" spans="1:13" x14ac:dyDescent="0.3">
      <c r="A1671" s="3">
        <v>46110012</v>
      </c>
      <c r="B1671" s="4" t="s">
        <v>5415</v>
      </c>
      <c r="C1671" s="5" t="s">
        <v>2686</v>
      </c>
      <c r="D1671" s="5" t="s">
        <v>906</v>
      </c>
      <c r="E1671" s="3" t="s">
        <v>2686</v>
      </c>
      <c r="F1671" s="6">
        <v>120</v>
      </c>
      <c r="G1671" s="6">
        <v>113</v>
      </c>
      <c r="H1671" s="6">
        <v>10</v>
      </c>
      <c r="I1671" s="7">
        <v>32</v>
      </c>
      <c r="J1671" s="3" t="s">
        <v>4317</v>
      </c>
      <c r="K1671" s="8">
        <v>1.86</v>
      </c>
      <c r="L1671" s="9" t="s">
        <v>7768</v>
      </c>
      <c r="M1671" s="1" t="s">
        <v>2690</v>
      </c>
    </row>
    <row r="1672" spans="1:13" x14ac:dyDescent="0.3">
      <c r="A1672" s="3">
        <v>46110013</v>
      </c>
      <c r="B1672" s="4" t="s">
        <v>5415</v>
      </c>
      <c r="C1672" s="5" t="s">
        <v>2686</v>
      </c>
      <c r="D1672" s="5" t="s">
        <v>74</v>
      </c>
      <c r="E1672" s="3" t="s">
        <v>2686</v>
      </c>
      <c r="F1672" s="6">
        <v>116</v>
      </c>
      <c r="G1672" s="6">
        <v>92</v>
      </c>
      <c r="H1672" s="6"/>
      <c r="I1672" s="7">
        <v>32</v>
      </c>
      <c r="J1672" s="3" t="s">
        <v>4317</v>
      </c>
      <c r="K1672" s="8" t="s">
        <v>14</v>
      </c>
      <c r="L1672" s="9" t="s">
        <v>7767</v>
      </c>
      <c r="M1672" s="1" t="s">
        <v>2691</v>
      </c>
    </row>
    <row r="1673" spans="1:13" x14ac:dyDescent="0.3">
      <c r="A1673" s="3">
        <v>46110014</v>
      </c>
      <c r="B1673" s="4" t="s">
        <v>5415</v>
      </c>
      <c r="C1673" s="5" t="s">
        <v>4794</v>
      </c>
      <c r="D1673" s="5" t="s">
        <v>552</v>
      </c>
      <c r="E1673" s="3" t="s">
        <v>14</v>
      </c>
      <c r="F1673" s="6">
        <v>7.6</v>
      </c>
      <c r="G1673" s="6">
        <v>7.6</v>
      </c>
      <c r="H1673" s="6">
        <v>120</v>
      </c>
      <c r="I1673" s="7" t="s">
        <v>14</v>
      </c>
      <c r="J1673" s="3" t="s">
        <v>14</v>
      </c>
      <c r="K1673" s="8" t="s">
        <v>14</v>
      </c>
      <c r="L1673" s="9" t="s">
        <v>7769</v>
      </c>
      <c r="M1673" s="1"/>
    </row>
    <row r="1674" spans="1:13" x14ac:dyDescent="0.3">
      <c r="A1674" s="3">
        <v>46110015</v>
      </c>
      <c r="B1674" s="4" t="s">
        <v>5415</v>
      </c>
      <c r="C1674" s="5" t="s">
        <v>4795</v>
      </c>
      <c r="D1674" s="5" t="s">
        <v>552</v>
      </c>
      <c r="E1674" s="3" t="s">
        <v>14</v>
      </c>
      <c r="F1674" s="6">
        <v>7.6</v>
      </c>
      <c r="G1674" s="6">
        <v>7.6</v>
      </c>
      <c r="H1674" s="6">
        <v>140</v>
      </c>
      <c r="I1674" s="7" t="s">
        <v>14</v>
      </c>
      <c r="J1674" s="3"/>
      <c r="K1674" s="8"/>
      <c r="L1674" s="9" t="s">
        <v>7770</v>
      </c>
      <c r="M1674" s="1"/>
    </row>
    <row r="1675" spans="1:13" x14ac:dyDescent="0.3">
      <c r="A1675" s="3">
        <v>46110016</v>
      </c>
      <c r="B1675" s="4" t="s">
        <v>5415</v>
      </c>
      <c r="C1675" s="5" t="s">
        <v>7584</v>
      </c>
      <c r="D1675" s="5" t="s">
        <v>154</v>
      </c>
      <c r="E1675" s="3" t="s">
        <v>1182</v>
      </c>
      <c r="F1675" s="6">
        <v>68.5</v>
      </c>
      <c r="G1675" s="6">
        <v>55.5</v>
      </c>
      <c r="H1675" s="6">
        <v>55.6</v>
      </c>
      <c r="I1675" s="7">
        <v>32</v>
      </c>
      <c r="J1675" s="3" t="s">
        <v>4317</v>
      </c>
      <c r="K1675" s="8">
        <v>2.09</v>
      </c>
      <c r="L1675" s="9" t="s">
        <v>7771</v>
      </c>
      <c r="M1675" s="1" t="s">
        <v>5148</v>
      </c>
    </row>
    <row r="1676" spans="1:13" x14ac:dyDescent="0.3">
      <c r="A1676" s="3">
        <v>46110017</v>
      </c>
      <c r="B1676" s="4" t="s">
        <v>5415</v>
      </c>
      <c r="C1676" s="5" t="s">
        <v>7585</v>
      </c>
      <c r="D1676" s="5" t="s">
        <v>261</v>
      </c>
      <c r="E1676" s="3" t="s">
        <v>1182</v>
      </c>
      <c r="F1676" s="6">
        <v>68</v>
      </c>
      <c r="G1676" s="6">
        <v>68</v>
      </c>
      <c r="H1676" s="6">
        <v>11</v>
      </c>
      <c r="I1676" s="7">
        <v>32</v>
      </c>
      <c r="J1676" s="3" t="s">
        <v>4317</v>
      </c>
      <c r="K1676" s="8">
        <v>7.0000000000000007E-2</v>
      </c>
      <c r="L1676" s="9" t="s">
        <v>7772</v>
      </c>
      <c r="M1676" s="1" t="s">
        <v>5149</v>
      </c>
    </row>
    <row r="1677" spans="1:13" x14ac:dyDescent="0.3">
      <c r="A1677" s="3">
        <v>46110018</v>
      </c>
      <c r="B1677" s="4" t="s">
        <v>5415</v>
      </c>
      <c r="C1677" s="5" t="s">
        <v>7587</v>
      </c>
      <c r="D1677" s="5" t="s">
        <v>4914</v>
      </c>
      <c r="E1677" s="3" t="s">
        <v>1182</v>
      </c>
      <c r="F1677" s="6">
        <v>85</v>
      </c>
      <c r="G1677" s="6">
        <v>55</v>
      </c>
      <c r="H1677" s="6">
        <v>0</v>
      </c>
      <c r="I1677" s="7">
        <v>32</v>
      </c>
      <c r="J1677" s="3" t="s">
        <v>4317</v>
      </c>
      <c r="K1677" s="8">
        <v>0.46</v>
      </c>
      <c r="L1677" s="9" t="s">
        <v>7773</v>
      </c>
      <c r="M1677" s="1" t="s">
        <v>5150</v>
      </c>
    </row>
    <row r="1678" spans="1:13" x14ac:dyDescent="0.3">
      <c r="A1678" s="3">
        <v>46110019</v>
      </c>
      <c r="B1678" s="4" t="s">
        <v>5415</v>
      </c>
      <c r="C1678" s="5" t="s">
        <v>7586</v>
      </c>
      <c r="D1678" s="5" t="s">
        <v>13</v>
      </c>
      <c r="E1678" s="3" t="s">
        <v>1182</v>
      </c>
      <c r="F1678" s="6">
        <v>125.5</v>
      </c>
      <c r="G1678" s="6">
        <v>125.5</v>
      </c>
      <c r="H1678" s="6">
        <v>8</v>
      </c>
      <c r="I1678" s="7">
        <v>32</v>
      </c>
      <c r="J1678" s="3" t="s">
        <v>4317</v>
      </c>
      <c r="K1678" s="8">
        <v>2</v>
      </c>
      <c r="L1678" s="9" t="s">
        <v>7774</v>
      </c>
      <c r="M1678" s="1" t="s">
        <v>5151</v>
      </c>
    </row>
    <row r="1679" spans="1:13" x14ac:dyDescent="0.3">
      <c r="A1679" s="3">
        <v>46110020</v>
      </c>
      <c r="B1679" s="4" t="s">
        <v>5415</v>
      </c>
      <c r="C1679" s="5">
        <v>1500145</v>
      </c>
      <c r="D1679" s="5" t="s">
        <v>23</v>
      </c>
      <c r="E1679" s="3" t="s">
        <v>14</v>
      </c>
      <c r="F1679" s="6">
        <v>60</v>
      </c>
      <c r="G1679" s="6">
        <v>56</v>
      </c>
      <c r="H1679" s="6">
        <v>48.5</v>
      </c>
      <c r="I1679" s="7" t="s">
        <v>5241</v>
      </c>
      <c r="J1679" s="3" t="s">
        <v>4422</v>
      </c>
      <c r="K1679" s="8">
        <v>1.82</v>
      </c>
      <c r="L1679" s="9" t="s">
        <v>7775</v>
      </c>
      <c r="M1679" s="1" t="s">
        <v>5260</v>
      </c>
    </row>
    <row r="1680" spans="1:13" x14ac:dyDescent="0.3">
      <c r="A1680" s="3">
        <v>46110021</v>
      </c>
      <c r="B1680" s="4" t="s">
        <v>5415</v>
      </c>
      <c r="C1680" s="5">
        <v>1500145</v>
      </c>
      <c r="D1680" s="5" t="s">
        <v>90</v>
      </c>
      <c r="E1680" s="3" t="s">
        <v>14</v>
      </c>
      <c r="F1680" s="6">
        <v>107</v>
      </c>
      <c r="G1680" s="6">
        <v>70.3</v>
      </c>
      <c r="H1680" s="6">
        <v>48</v>
      </c>
      <c r="I1680" s="7" t="s">
        <v>5241</v>
      </c>
      <c r="J1680" s="3" t="s">
        <v>4422</v>
      </c>
      <c r="K1680" s="8">
        <v>0.51</v>
      </c>
      <c r="L1680" s="9" t="s">
        <v>7776</v>
      </c>
      <c r="M1680" s="1" t="s">
        <v>5261</v>
      </c>
    </row>
    <row r="1681" spans="1:13" x14ac:dyDescent="0.3">
      <c r="A1681" s="3">
        <v>46110022</v>
      </c>
      <c r="B1681" s="4" t="s">
        <v>5415</v>
      </c>
      <c r="C1681" s="5">
        <v>1500144</v>
      </c>
      <c r="D1681" s="5" t="s">
        <v>23</v>
      </c>
      <c r="E1681" s="3" t="s">
        <v>14</v>
      </c>
      <c r="F1681" s="6">
        <v>88.5</v>
      </c>
      <c r="G1681" s="6">
        <v>43.5</v>
      </c>
      <c r="H1681" s="6">
        <v>94.5</v>
      </c>
      <c r="I1681" s="7" t="s">
        <v>5241</v>
      </c>
      <c r="J1681" s="3" t="s">
        <v>4422</v>
      </c>
      <c r="K1681" s="8">
        <v>2.23</v>
      </c>
      <c r="L1681" s="9" t="s">
        <v>7777</v>
      </c>
      <c r="M1681" s="1" t="s">
        <v>5258</v>
      </c>
    </row>
    <row r="1682" spans="1:13" x14ac:dyDescent="0.3">
      <c r="A1682" s="3">
        <v>46110023</v>
      </c>
      <c r="B1682" s="4" t="s">
        <v>5415</v>
      </c>
      <c r="C1682" s="5">
        <v>1500144</v>
      </c>
      <c r="D1682" s="5" t="s">
        <v>90</v>
      </c>
      <c r="E1682" s="3" t="s">
        <v>14</v>
      </c>
      <c r="F1682" s="6"/>
      <c r="G1682" s="6"/>
      <c r="H1682" s="6"/>
      <c r="I1682" s="7" t="s">
        <v>5241</v>
      </c>
      <c r="J1682" s="3" t="s">
        <v>4422</v>
      </c>
      <c r="K1682" s="8">
        <v>0.56999999999999995</v>
      </c>
      <c r="L1682" s="9" t="s">
        <v>7778</v>
      </c>
      <c r="M1682" s="1" t="s">
        <v>5259</v>
      </c>
    </row>
    <row r="1683" spans="1:13" x14ac:dyDescent="0.3">
      <c r="A1683" s="3">
        <v>46110024</v>
      </c>
      <c r="B1683" s="4" t="s">
        <v>5415</v>
      </c>
      <c r="C1683" s="5">
        <v>1500843</v>
      </c>
      <c r="D1683" s="5" t="s">
        <v>23</v>
      </c>
      <c r="E1683" s="3" t="s">
        <v>5299</v>
      </c>
      <c r="F1683" s="6">
        <v>54</v>
      </c>
      <c r="G1683" s="6">
        <v>31</v>
      </c>
      <c r="H1683" s="6">
        <v>24</v>
      </c>
      <c r="I1683" s="7">
        <v>32</v>
      </c>
      <c r="J1683" s="3" t="s">
        <v>4317</v>
      </c>
      <c r="K1683" s="8">
        <v>0.69</v>
      </c>
      <c r="L1683" s="9" t="s">
        <v>7779</v>
      </c>
      <c r="M1683" s="1" t="s">
        <v>5300</v>
      </c>
    </row>
    <row r="1684" spans="1:13" x14ac:dyDescent="0.3">
      <c r="A1684" s="3">
        <v>46110025</v>
      </c>
      <c r="B1684" s="4" t="s">
        <v>5415</v>
      </c>
      <c r="C1684" s="5">
        <v>1500845</v>
      </c>
      <c r="D1684" s="5" t="s">
        <v>90</v>
      </c>
      <c r="E1684" s="3" t="s">
        <v>5299</v>
      </c>
      <c r="F1684" s="6">
        <v>56</v>
      </c>
      <c r="G1684" s="6">
        <v>33</v>
      </c>
      <c r="H1684" s="6">
        <v>7</v>
      </c>
      <c r="I1684" s="7">
        <v>32</v>
      </c>
      <c r="J1684" s="3" t="s">
        <v>4317</v>
      </c>
      <c r="K1684" s="8">
        <v>0.12</v>
      </c>
      <c r="L1684" s="9" t="s">
        <v>7780</v>
      </c>
      <c r="M1684" s="1" t="s">
        <v>5301</v>
      </c>
    </row>
    <row r="1685" spans="1:13" x14ac:dyDescent="0.3">
      <c r="A1685" s="3">
        <v>46110026</v>
      </c>
      <c r="B1685" s="4" t="s">
        <v>5415</v>
      </c>
      <c r="C1685" s="5">
        <v>1500844</v>
      </c>
      <c r="D1685" s="5" t="s">
        <v>13</v>
      </c>
      <c r="E1685" s="3" t="s">
        <v>5299</v>
      </c>
      <c r="F1685" s="6">
        <v>52.8</v>
      </c>
      <c r="G1685" s="6">
        <v>38</v>
      </c>
      <c r="H1685" s="6">
        <v>23</v>
      </c>
      <c r="I1685" s="7">
        <v>32</v>
      </c>
      <c r="J1685" s="3" t="s">
        <v>4317</v>
      </c>
      <c r="K1685" s="8">
        <v>0.33</v>
      </c>
      <c r="L1685" s="9" t="s">
        <v>7781</v>
      </c>
      <c r="M1685" s="1" t="s">
        <v>5302</v>
      </c>
    </row>
    <row r="1686" spans="1:13" x14ac:dyDescent="0.3">
      <c r="A1686" s="3">
        <v>46110047</v>
      </c>
      <c r="B1686" s="4" t="s">
        <v>5415</v>
      </c>
      <c r="C1686" s="5" t="s">
        <v>6071</v>
      </c>
      <c r="D1686" s="5" t="s">
        <v>23</v>
      </c>
      <c r="E1686" s="3" t="s">
        <v>6083</v>
      </c>
      <c r="F1686" s="6">
        <v>60.5</v>
      </c>
      <c r="G1686" s="6">
        <v>37.5</v>
      </c>
      <c r="H1686" s="6">
        <v>36</v>
      </c>
      <c r="I1686" s="7">
        <v>32</v>
      </c>
      <c r="J1686" s="3" t="s">
        <v>4317</v>
      </c>
      <c r="K1686" s="8">
        <v>1.1299999999999999</v>
      </c>
      <c r="L1686" s="9" t="s">
        <v>7782</v>
      </c>
      <c r="M1686" s="1" t="s">
        <v>5434</v>
      </c>
    </row>
    <row r="1687" spans="1:13" x14ac:dyDescent="0.3">
      <c r="A1687" s="3">
        <v>46110048</v>
      </c>
      <c r="B1687" s="4" t="s">
        <v>5415</v>
      </c>
      <c r="C1687" s="5" t="s">
        <v>6072</v>
      </c>
      <c r="D1687" s="5" t="s">
        <v>4792</v>
      </c>
      <c r="E1687" s="3" t="s">
        <v>6083</v>
      </c>
      <c r="F1687" s="6">
        <v>60</v>
      </c>
      <c r="G1687" s="6">
        <v>37</v>
      </c>
      <c r="H1687" s="6">
        <v>35.5</v>
      </c>
      <c r="I1687" s="7">
        <v>32</v>
      </c>
      <c r="J1687" s="3" t="s">
        <v>4317</v>
      </c>
      <c r="K1687" s="8">
        <v>0.21</v>
      </c>
      <c r="L1687" s="9" t="s">
        <v>7783</v>
      </c>
      <c r="M1687" s="1" t="s">
        <v>5435</v>
      </c>
    </row>
    <row r="1688" spans="1:13" x14ac:dyDescent="0.3">
      <c r="A1688" s="3">
        <v>46110049</v>
      </c>
      <c r="B1688" s="4" t="s">
        <v>5415</v>
      </c>
      <c r="C1688" s="5" t="s">
        <v>5438</v>
      </c>
      <c r="D1688" s="5" t="s">
        <v>13</v>
      </c>
      <c r="E1688" s="3" t="s">
        <v>5429</v>
      </c>
      <c r="F1688" s="6">
        <v>62</v>
      </c>
      <c r="G1688" s="6">
        <v>39</v>
      </c>
      <c r="H1688" s="6">
        <v>6</v>
      </c>
      <c r="I1688" s="7">
        <v>32</v>
      </c>
      <c r="J1688" s="3" t="s">
        <v>4317</v>
      </c>
      <c r="K1688" s="8">
        <v>0.38</v>
      </c>
      <c r="L1688" s="9" t="s">
        <v>7784</v>
      </c>
      <c r="M1688" s="1" t="s">
        <v>5015</v>
      </c>
    </row>
    <row r="1689" spans="1:13" x14ac:dyDescent="0.3">
      <c r="A1689" s="3">
        <v>46110050</v>
      </c>
      <c r="B1689" s="4" t="s">
        <v>5415</v>
      </c>
      <c r="C1689" s="5" t="s">
        <v>6073</v>
      </c>
      <c r="D1689" s="5" t="s">
        <v>23</v>
      </c>
      <c r="E1689" s="3" t="s">
        <v>6084</v>
      </c>
      <c r="F1689" s="6">
        <v>61</v>
      </c>
      <c r="G1689" s="6">
        <v>38</v>
      </c>
      <c r="H1689" s="6">
        <v>70.3</v>
      </c>
      <c r="I1689" s="7">
        <v>32</v>
      </c>
      <c r="J1689" s="3" t="s">
        <v>4317</v>
      </c>
      <c r="K1689" s="8">
        <v>1.82</v>
      </c>
      <c r="L1689" s="9" t="s">
        <v>7785</v>
      </c>
      <c r="M1689" s="1" t="s">
        <v>5436</v>
      </c>
    </row>
    <row r="1690" spans="1:13" x14ac:dyDescent="0.3">
      <c r="A1690" s="27">
        <v>46110051</v>
      </c>
      <c r="B1690" s="28" t="s">
        <v>5415</v>
      </c>
      <c r="C1690" s="29" t="s">
        <v>6074</v>
      </c>
      <c r="D1690" s="29" t="s">
        <v>4792</v>
      </c>
      <c r="E1690" s="27" t="s">
        <v>6084</v>
      </c>
      <c r="F1690" s="36">
        <v>60</v>
      </c>
      <c r="G1690" s="36">
        <v>37</v>
      </c>
      <c r="H1690" s="36">
        <v>69.5</v>
      </c>
      <c r="I1690" s="37">
        <v>32</v>
      </c>
      <c r="J1690" s="27" t="s">
        <v>4317</v>
      </c>
      <c r="K1690" s="38">
        <v>0.42</v>
      </c>
      <c r="L1690" s="9" t="s">
        <v>7786</v>
      </c>
      <c r="M1690" s="40" t="s">
        <v>5437</v>
      </c>
    </row>
    <row r="1691" spans="1:13" x14ac:dyDescent="0.3">
      <c r="A1691" s="3">
        <v>46110052</v>
      </c>
      <c r="B1691" s="4" t="s">
        <v>5415</v>
      </c>
      <c r="C1691" s="5" t="s">
        <v>5438</v>
      </c>
      <c r="D1691" s="5" t="s">
        <v>13</v>
      </c>
      <c r="E1691" s="3" t="s">
        <v>5430</v>
      </c>
      <c r="F1691" s="6">
        <v>62</v>
      </c>
      <c r="G1691" s="6">
        <v>39</v>
      </c>
      <c r="H1691" s="6">
        <v>6</v>
      </c>
      <c r="I1691" s="7">
        <v>32</v>
      </c>
      <c r="J1691" s="3" t="s">
        <v>4317</v>
      </c>
      <c r="K1691" s="8">
        <v>0.38</v>
      </c>
      <c r="L1691" s="9" t="s">
        <v>7787</v>
      </c>
      <c r="M1691" s="1" t="s">
        <v>5015</v>
      </c>
    </row>
    <row r="1692" spans="1:13" x14ac:dyDescent="0.3">
      <c r="A1692" s="3">
        <v>46110065</v>
      </c>
      <c r="B1692" s="4" t="s">
        <v>5415</v>
      </c>
      <c r="C1692" s="5" t="s">
        <v>6185</v>
      </c>
      <c r="D1692" s="5" t="s">
        <v>23</v>
      </c>
      <c r="E1692" s="3" t="s">
        <v>6114</v>
      </c>
      <c r="F1692" s="6">
        <v>57</v>
      </c>
      <c r="G1692" s="6">
        <v>40</v>
      </c>
      <c r="H1692" s="6">
        <v>121.8</v>
      </c>
      <c r="I1692" s="7">
        <v>32</v>
      </c>
      <c r="J1692" s="3" t="s">
        <v>4317</v>
      </c>
      <c r="K1692" s="8">
        <v>2.83</v>
      </c>
      <c r="L1692" s="9" t="s">
        <v>7788</v>
      </c>
      <c r="M1692" s="1" t="s">
        <v>6089</v>
      </c>
    </row>
    <row r="1693" spans="1:13" x14ac:dyDescent="0.3">
      <c r="A1693" s="3">
        <v>46110066</v>
      </c>
      <c r="B1693" s="4" t="s">
        <v>5415</v>
      </c>
      <c r="C1693" s="5" t="s">
        <v>6184</v>
      </c>
      <c r="D1693" s="5" t="s">
        <v>4792</v>
      </c>
      <c r="E1693" s="3" t="s">
        <v>6114</v>
      </c>
      <c r="F1693" s="6">
        <v>56</v>
      </c>
      <c r="G1693" s="6">
        <v>39</v>
      </c>
      <c r="H1693" s="6">
        <v>121</v>
      </c>
      <c r="I1693" s="7">
        <v>32</v>
      </c>
      <c r="J1693" s="3" t="s">
        <v>4317</v>
      </c>
      <c r="K1693" s="8">
        <v>0.68</v>
      </c>
      <c r="L1693" s="9" t="s">
        <v>7789</v>
      </c>
      <c r="M1693" s="1" t="s">
        <v>6090</v>
      </c>
    </row>
    <row r="1694" spans="1:13" x14ac:dyDescent="0.3">
      <c r="A1694" s="3">
        <v>46110068</v>
      </c>
      <c r="B1694" s="4" t="s">
        <v>5415</v>
      </c>
      <c r="C1694" s="5" t="s">
        <v>6186</v>
      </c>
      <c r="D1694" s="5" t="s">
        <v>23</v>
      </c>
      <c r="E1694" s="3" t="s">
        <v>6115</v>
      </c>
      <c r="F1694" s="6">
        <v>61</v>
      </c>
      <c r="G1694" s="6">
        <v>37</v>
      </c>
      <c r="H1694" s="6">
        <v>33.799999999999997</v>
      </c>
      <c r="I1694" s="7">
        <v>32</v>
      </c>
      <c r="J1694" s="3" t="s">
        <v>4317</v>
      </c>
      <c r="K1694" s="8">
        <v>1.06</v>
      </c>
      <c r="L1694" s="9" t="s">
        <v>7790</v>
      </c>
      <c r="M1694" s="1" t="s">
        <v>6091</v>
      </c>
    </row>
    <row r="1695" spans="1:13" x14ac:dyDescent="0.3">
      <c r="A1695" s="3">
        <v>46110069</v>
      </c>
      <c r="B1695" s="4" t="s">
        <v>5415</v>
      </c>
      <c r="C1695" s="5" t="s">
        <v>6187</v>
      </c>
      <c r="D1695" s="5" t="s">
        <v>4792</v>
      </c>
      <c r="E1695" s="3" t="s">
        <v>6115</v>
      </c>
      <c r="F1695" s="6">
        <v>36</v>
      </c>
      <c r="G1695" s="6">
        <v>60</v>
      </c>
      <c r="H1695" s="6">
        <v>33</v>
      </c>
      <c r="I1695" s="7">
        <v>32</v>
      </c>
      <c r="J1695" s="3" t="s">
        <v>4317</v>
      </c>
      <c r="K1695" s="8">
        <v>0.12</v>
      </c>
      <c r="L1695" s="9" t="s">
        <v>7791</v>
      </c>
      <c r="M1695" s="1" t="s">
        <v>6092</v>
      </c>
    </row>
    <row r="1696" spans="1:13" x14ac:dyDescent="0.3">
      <c r="A1696" s="3">
        <v>46110071</v>
      </c>
      <c r="B1696" s="4" t="s">
        <v>5415</v>
      </c>
      <c r="C1696" s="5" t="s">
        <v>6797</v>
      </c>
      <c r="D1696" s="5" t="s">
        <v>23</v>
      </c>
      <c r="E1696" s="3" t="s">
        <v>6116</v>
      </c>
      <c r="F1696" s="6">
        <v>61</v>
      </c>
      <c r="G1696" s="6">
        <v>37</v>
      </c>
      <c r="H1696" s="6">
        <v>28.3</v>
      </c>
      <c r="I1696" s="7">
        <v>32</v>
      </c>
      <c r="J1696" s="3" t="s">
        <v>4317</v>
      </c>
      <c r="K1696" s="8">
        <v>0.94</v>
      </c>
      <c r="L1696" s="9" t="s">
        <v>7792</v>
      </c>
      <c r="M1696" s="1" t="s">
        <v>6093</v>
      </c>
    </row>
    <row r="1697" spans="1:13" x14ac:dyDescent="0.3">
      <c r="A1697" s="3">
        <v>46110072</v>
      </c>
      <c r="B1697" s="4" t="s">
        <v>5415</v>
      </c>
      <c r="C1697" s="5" t="s">
        <v>6190</v>
      </c>
      <c r="D1697" s="5" t="s">
        <v>4792</v>
      </c>
      <c r="E1697" s="3" t="s">
        <v>6116</v>
      </c>
      <c r="F1697" s="6">
        <v>36</v>
      </c>
      <c r="G1697" s="6">
        <v>60</v>
      </c>
      <c r="H1697" s="6">
        <v>27.5</v>
      </c>
      <c r="I1697" s="7">
        <v>32</v>
      </c>
      <c r="J1697" s="3" t="s">
        <v>4317</v>
      </c>
      <c r="K1697" s="8">
        <v>0.1</v>
      </c>
      <c r="L1697" s="9" t="s">
        <v>7793</v>
      </c>
      <c r="M1697" s="1" t="s">
        <v>6094</v>
      </c>
    </row>
    <row r="1698" spans="1:13" x14ac:dyDescent="0.3">
      <c r="A1698" s="3">
        <v>46110074</v>
      </c>
      <c r="B1698" s="4" t="s">
        <v>5415</v>
      </c>
      <c r="C1698" s="5" t="s">
        <v>6188</v>
      </c>
      <c r="D1698" s="5" t="s">
        <v>23</v>
      </c>
      <c r="E1698" s="3" t="s">
        <v>6095</v>
      </c>
      <c r="F1698" s="6">
        <v>60.5</v>
      </c>
      <c r="G1698" s="6">
        <v>37</v>
      </c>
      <c r="H1698" s="6">
        <v>76.8</v>
      </c>
      <c r="I1698" s="7">
        <v>32</v>
      </c>
      <c r="J1698" s="3" t="s">
        <v>4317</v>
      </c>
      <c r="K1698" s="8">
        <v>1.91</v>
      </c>
      <c r="L1698" s="9" t="s">
        <v>7794</v>
      </c>
      <c r="M1698" s="1" t="s">
        <v>6096</v>
      </c>
    </row>
    <row r="1699" spans="1:13" x14ac:dyDescent="0.3">
      <c r="A1699" s="3">
        <v>46110075</v>
      </c>
      <c r="B1699" s="4" t="s">
        <v>5415</v>
      </c>
      <c r="C1699" s="5" t="s">
        <v>6189</v>
      </c>
      <c r="D1699" s="5" t="s">
        <v>4792</v>
      </c>
      <c r="E1699" s="3" t="s">
        <v>6095</v>
      </c>
      <c r="F1699" s="6">
        <v>36</v>
      </c>
      <c r="G1699" s="6">
        <v>59.5</v>
      </c>
      <c r="H1699" s="6">
        <v>76</v>
      </c>
      <c r="I1699" s="7">
        <v>32</v>
      </c>
      <c r="J1699" s="3" t="s">
        <v>4317</v>
      </c>
      <c r="K1699" s="8">
        <v>0.27</v>
      </c>
      <c r="L1699" s="9" t="s">
        <v>7795</v>
      </c>
      <c r="M1699" s="1" t="s">
        <v>6097</v>
      </c>
    </row>
    <row r="1700" spans="1:13" x14ac:dyDescent="0.3">
      <c r="A1700" s="3">
        <v>46110080</v>
      </c>
      <c r="B1700" s="4" t="s">
        <v>5415</v>
      </c>
      <c r="C1700" s="5" t="s">
        <v>6191</v>
      </c>
      <c r="D1700" s="5" t="s">
        <v>23</v>
      </c>
      <c r="E1700" s="3" t="s">
        <v>6098</v>
      </c>
      <c r="F1700" s="6">
        <v>59.5</v>
      </c>
      <c r="G1700" s="6">
        <v>37</v>
      </c>
      <c r="H1700" s="6">
        <v>71.8</v>
      </c>
      <c r="I1700" s="7">
        <v>32</v>
      </c>
      <c r="J1700" s="3" t="s">
        <v>4317</v>
      </c>
      <c r="K1700" s="8">
        <v>1.79</v>
      </c>
      <c r="L1700" s="9" t="s">
        <v>7796</v>
      </c>
      <c r="M1700" s="1" t="s">
        <v>6099</v>
      </c>
    </row>
    <row r="1701" spans="1:13" x14ac:dyDescent="0.3">
      <c r="A1701" s="3">
        <v>46110081</v>
      </c>
      <c r="B1701" s="4" t="s">
        <v>5415</v>
      </c>
      <c r="C1701" s="5" t="s">
        <v>6192</v>
      </c>
      <c r="D1701" s="5" t="s">
        <v>4792</v>
      </c>
      <c r="E1701" s="3" t="s">
        <v>6098</v>
      </c>
      <c r="F1701" s="6">
        <v>58.5</v>
      </c>
      <c r="G1701" s="6">
        <v>36</v>
      </c>
      <c r="H1701" s="6">
        <v>71</v>
      </c>
      <c r="I1701" s="7">
        <v>32</v>
      </c>
      <c r="J1701" s="3" t="s">
        <v>4317</v>
      </c>
      <c r="K1701" s="8">
        <v>0.26</v>
      </c>
      <c r="L1701" s="9" t="s">
        <v>7797</v>
      </c>
      <c r="M1701" s="1" t="s">
        <v>6100</v>
      </c>
    </row>
    <row r="1702" spans="1:13" x14ac:dyDescent="0.3">
      <c r="A1702" s="3">
        <v>46110083</v>
      </c>
      <c r="B1702" s="4" t="s">
        <v>5415</v>
      </c>
      <c r="C1702" s="5" t="s">
        <v>6194</v>
      </c>
      <c r="D1702" s="5" t="s">
        <v>23</v>
      </c>
      <c r="E1702" s="3" t="s">
        <v>6117</v>
      </c>
      <c r="F1702" s="6">
        <v>61</v>
      </c>
      <c r="G1702" s="6">
        <v>37</v>
      </c>
      <c r="H1702" s="6">
        <v>66.3</v>
      </c>
      <c r="I1702" s="7">
        <v>32</v>
      </c>
      <c r="J1702" s="3" t="s">
        <v>4317</v>
      </c>
      <c r="K1702" s="8">
        <v>1.71</v>
      </c>
      <c r="L1702" s="9" t="s">
        <v>7798</v>
      </c>
      <c r="M1702" s="1" t="s">
        <v>6101</v>
      </c>
    </row>
    <row r="1703" spans="1:13" x14ac:dyDescent="0.3">
      <c r="A1703" s="3">
        <v>46110084</v>
      </c>
      <c r="B1703" s="4" t="s">
        <v>5415</v>
      </c>
      <c r="C1703" s="5" t="s">
        <v>6195</v>
      </c>
      <c r="D1703" s="5" t="s">
        <v>4792</v>
      </c>
      <c r="E1703" s="3" t="s">
        <v>6117</v>
      </c>
      <c r="F1703" s="6">
        <v>60</v>
      </c>
      <c r="G1703" s="6">
        <v>36</v>
      </c>
      <c r="H1703" s="6">
        <v>65.5</v>
      </c>
      <c r="I1703" s="7">
        <v>32</v>
      </c>
      <c r="J1703" s="3" t="s">
        <v>4317</v>
      </c>
      <c r="K1703" s="8">
        <v>0.39</v>
      </c>
      <c r="L1703" s="9" t="s">
        <v>7799</v>
      </c>
      <c r="M1703" s="1" t="s">
        <v>6102</v>
      </c>
    </row>
    <row r="1704" spans="1:13" x14ac:dyDescent="0.3">
      <c r="A1704" s="3">
        <v>46110085</v>
      </c>
      <c r="B1704" s="4" t="s">
        <v>5415</v>
      </c>
      <c r="C1704" s="5" t="s">
        <v>6196</v>
      </c>
      <c r="D1704" s="5" t="s">
        <v>23</v>
      </c>
      <c r="E1704" s="3" t="s">
        <v>6118</v>
      </c>
      <c r="F1704" s="6">
        <v>35.700000000000003</v>
      </c>
      <c r="G1704" s="6">
        <v>30.5</v>
      </c>
      <c r="H1704" s="6">
        <v>16.5</v>
      </c>
      <c r="I1704" s="7">
        <v>32</v>
      </c>
      <c r="J1704" s="3" t="s">
        <v>4317</v>
      </c>
      <c r="K1704" s="8">
        <v>0.44</v>
      </c>
      <c r="L1704" s="9" t="s">
        <v>7800</v>
      </c>
      <c r="M1704" s="1" t="s">
        <v>6103</v>
      </c>
    </row>
    <row r="1705" spans="1:13" x14ac:dyDescent="0.3">
      <c r="A1705" s="3">
        <v>46110086</v>
      </c>
      <c r="B1705" s="4" t="s">
        <v>5415</v>
      </c>
      <c r="C1705" s="5" t="s">
        <v>6197</v>
      </c>
      <c r="D1705" s="5" t="s">
        <v>4792</v>
      </c>
      <c r="E1705" s="3" t="s">
        <v>6118</v>
      </c>
      <c r="F1705" s="6">
        <v>30</v>
      </c>
      <c r="G1705" s="6">
        <v>35.200000000000003</v>
      </c>
      <c r="H1705" s="6">
        <v>16</v>
      </c>
      <c r="I1705" s="7">
        <v>32</v>
      </c>
      <c r="J1705" s="3" t="s">
        <v>4422</v>
      </c>
      <c r="K1705" s="8">
        <v>0.05</v>
      </c>
      <c r="L1705" s="9" t="s">
        <v>7801</v>
      </c>
      <c r="M1705" s="1" t="s">
        <v>6104</v>
      </c>
    </row>
    <row r="1706" spans="1:13" x14ac:dyDescent="0.3">
      <c r="A1706" s="3">
        <v>46110089</v>
      </c>
      <c r="B1706" s="4" t="s">
        <v>5415</v>
      </c>
      <c r="C1706" s="5" t="s">
        <v>6193</v>
      </c>
      <c r="D1706" s="5" t="s">
        <v>23</v>
      </c>
      <c r="E1706" s="3" t="s">
        <v>6119</v>
      </c>
      <c r="F1706" s="6">
        <v>61</v>
      </c>
      <c r="G1706" s="6">
        <v>37</v>
      </c>
      <c r="H1706" s="6">
        <v>35.5</v>
      </c>
      <c r="I1706" s="7">
        <v>32</v>
      </c>
      <c r="J1706" s="3" t="s">
        <v>4317</v>
      </c>
      <c r="K1706" s="8">
        <v>1.05</v>
      </c>
      <c r="L1706" s="9" t="s">
        <v>7802</v>
      </c>
      <c r="M1706" s="2" t="s">
        <v>6105</v>
      </c>
    </row>
    <row r="1707" spans="1:13" x14ac:dyDescent="0.3">
      <c r="A1707" s="3">
        <v>46110090</v>
      </c>
      <c r="B1707" s="4" t="s">
        <v>5415</v>
      </c>
      <c r="C1707" s="5" t="s">
        <v>6198</v>
      </c>
      <c r="D1707" s="5" t="s">
        <v>4792</v>
      </c>
      <c r="E1707" s="3" t="s">
        <v>6119</v>
      </c>
      <c r="F1707" s="6">
        <v>60</v>
      </c>
      <c r="G1707" s="6">
        <v>37</v>
      </c>
      <c r="H1707" s="6">
        <v>33</v>
      </c>
      <c r="I1707" s="7">
        <v>32</v>
      </c>
      <c r="J1707" s="3" t="s">
        <v>4317</v>
      </c>
      <c r="K1707" s="8">
        <v>0.12</v>
      </c>
      <c r="L1707" s="9" t="s">
        <v>7803</v>
      </c>
      <c r="M1707" s="2" t="s">
        <v>6106</v>
      </c>
    </row>
    <row r="1708" spans="1:13" x14ac:dyDescent="0.3">
      <c r="A1708" s="3">
        <v>46110092</v>
      </c>
      <c r="B1708" s="4" t="s">
        <v>5415</v>
      </c>
      <c r="C1708" s="5" t="s">
        <v>6122</v>
      </c>
      <c r="D1708" s="5" t="s">
        <v>23</v>
      </c>
      <c r="E1708" s="3" t="s">
        <v>6120</v>
      </c>
      <c r="F1708" s="6">
        <v>61</v>
      </c>
      <c r="G1708" s="6">
        <v>37</v>
      </c>
      <c r="H1708" s="6">
        <v>33.299999999999997</v>
      </c>
      <c r="I1708" s="7">
        <v>32</v>
      </c>
      <c r="J1708" s="3" t="s">
        <v>4317</v>
      </c>
      <c r="K1708" s="8">
        <v>1.05</v>
      </c>
      <c r="L1708" s="9" t="s">
        <v>7804</v>
      </c>
      <c r="M1708" s="2" t="s">
        <v>6107</v>
      </c>
    </row>
    <row r="1709" spans="1:13" x14ac:dyDescent="0.3">
      <c r="A1709" s="3">
        <v>46110093</v>
      </c>
      <c r="B1709" s="4" t="s">
        <v>5415</v>
      </c>
      <c r="C1709" s="5" t="s">
        <v>6540</v>
      </c>
      <c r="D1709" s="5" t="s">
        <v>4792</v>
      </c>
      <c r="E1709" s="3" t="s">
        <v>6120</v>
      </c>
      <c r="F1709" s="6">
        <v>60</v>
      </c>
      <c r="G1709" s="6">
        <v>36</v>
      </c>
      <c r="H1709" s="6">
        <v>33</v>
      </c>
      <c r="I1709" s="7">
        <v>32</v>
      </c>
      <c r="J1709" s="3" t="s">
        <v>4317</v>
      </c>
      <c r="K1709" s="8">
        <v>0.12</v>
      </c>
      <c r="L1709" s="9" t="s">
        <v>7805</v>
      </c>
      <c r="M1709" s="2" t="s">
        <v>6108</v>
      </c>
    </row>
    <row r="1710" spans="1:13" x14ac:dyDescent="0.3">
      <c r="A1710" s="3">
        <v>46110094</v>
      </c>
      <c r="B1710" s="4" t="s">
        <v>5415</v>
      </c>
      <c r="C1710" s="5">
        <v>1502020</v>
      </c>
      <c r="D1710" s="5" t="s">
        <v>6064</v>
      </c>
      <c r="E1710" s="3" t="s">
        <v>6063</v>
      </c>
      <c r="F1710" s="6">
        <v>17.7</v>
      </c>
      <c r="G1710" s="6">
        <v>15.2</v>
      </c>
      <c r="H1710" s="6">
        <v>14.3</v>
      </c>
      <c r="I1710" s="7" t="s">
        <v>5241</v>
      </c>
      <c r="J1710" s="3" t="s">
        <v>4422</v>
      </c>
      <c r="K1710" s="8">
        <v>0.66</v>
      </c>
      <c r="L1710" s="9" t="s">
        <v>7806</v>
      </c>
      <c r="M1710" s="2" t="s">
        <v>6086</v>
      </c>
    </row>
    <row r="1711" spans="1:13" x14ac:dyDescent="0.3">
      <c r="A1711" s="3">
        <v>46110095</v>
      </c>
      <c r="B1711" s="4" t="s">
        <v>5415</v>
      </c>
      <c r="C1711" s="5" t="s">
        <v>6199</v>
      </c>
      <c r="D1711" s="5" t="s">
        <v>23</v>
      </c>
      <c r="E1711" s="3" t="s">
        <v>6121</v>
      </c>
      <c r="F1711" s="6">
        <v>61</v>
      </c>
      <c r="G1711" s="6">
        <v>38</v>
      </c>
      <c r="H1711" s="6">
        <v>29.5</v>
      </c>
      <c r="I1711" s="7">
        <v>32</v>
      </c>
      <c r="J1711" s="3" t="s">
        <v>4317</v>
      </c>
      <c r="K1711" s="8">
        <v>0.99</v>
      </c>
      <c r="L1711" s="9" t="s">
        <v>7807</v>
      </c>
      <c r="M1711" s="2" t="s">
        <v>6109</v>
      </c>
    </row>
    <row r="1712" spans="1:13" x14ac:dyDescent="0.3">
      <c r="A1712" s="3">
        <v>46110096</v>
      </c>
      <c r="B1712" s="4" t="s">
        <v>5415</v>
      </c>
      <c r="C1712" s="5" t="s">
        <v>6200</v>
      </c>
      <c r="D1712" s="5" t="s">
        <v>4792</v>
      </c>
      <c r="E1712" s="3" t="s">
        <v>6121</v>
      </c>
      <c r="F1712" s="6">
        <v>60</v>
      </c>
      <c r="G1712" s="6">
        <v>37</v>
      </c>
      <c r="H1712" s="6">
        <v>29</v>
      </c>
      <c r="I1712" s="7">
        <v>32</v>
      </c>
      <c r="J1712" s="3" t="s">
        <v>4317</v>
      </c>
      <c r="K1712" s="8">
        <v>0.17</v>
      </c>
      <c r="L1712" s="9" t="s">
        <v>7808</v>
      </c>
      <c r="M1712" s="2" t="s">
        <v>6110</v>
      </c>
    </row>
    <row r="1713" spans="1:13" x14ac:dyDescent="0.3">
      <c r="A1713" s="3">
        <v>46110097</v>
      </c>
      <c r="B1713" s="4" t="s">
        <v>5415</v>
      </c>
      <c r="C1713" s="5" t="s">
        <v>7760</v>
      </c>
      <c r="D1713" s="5" t="s">
        <v>7761</v>
      </c>
      <c r="E1713" s="3" t="s">
        <v>7760</v>
      </c>
      <c r="F1713" s="6">
        <v>60.5</v>
      </c>
      <c r="G1713" s="6">
        <v>56.5</v>
      </c>
      <c r="H1713" s="6">
        <v>40</v>
      </c>
      <c r="I1713" s="7">
        <v>32</v>
      </c>
      <c r="J1713" s="3" t="s">
        <v>4317</v>
      </c>
      <c r="K1713" s="8">
        <v>2.3199999999999998</v>
      </c>
      <c r="L1713" s="9" t="s">
        <v>7762</v>
      </c>
      <c r="M1713" s="1"/>
    </row>
    <row r="1714" spans="1:13" x14ac:dyDescent="0.3">
      <c r="A1714" s="3">
        <v>46110098</v>
      </c>
      <c r="B1714" s="4" t="s">
        <v>5415</v>
      </c>
      <c r="C1714" s="5" t="s">
        <v>7760</v>
      </c>
      <c r="D1714" s="5" t="s">
        <v>90</v>
      </c>
      <c r="E1714" s="3" t="s">
        <v>7760</v>
      </c>
      <c r="F1714" s="6">
        <v>66</v>
      </c>
      <c r="G1714" s="6">
        <v>56</v>
      </c>
      <c r="H1714" s="6">
        <v>38.5</v>
      </c>
      <c r="I1714" s="7">
        <v>32</v>
      </c>
      <c r="J1714" s="3" t="s">
        <v>4317</v>
      </c>
      <c r="K1714" s="8">
        <f>0.43+0.22</f>
        <v>0.65</v>
      </c>
      <c r="L1714" s="9" t="s">
        <v>7763</v>
      </c>
      <c r="M1714" s="1"/>
    </row>
    <row r="1715" spans="1:13" x14ac:dyDescent="0.3">
      <c r="A1715" s="3">
        <v>46110099</v>
      </c>
      <c r="B1715" s="4" t="s">
        <v>5415</v>
      </c>
      <c r="C1715" s="5" t="s">
        <v>7809</v>
      </c>
      <c r="D1715" s="5" t="s">
        <v>7761</v>
      </c>
      <c r="E1715" s="3" t="s">
        <v>7810</v>
      </c>
      <c r="F1715" s="6">
        <v>121</v>
      </c>
      <c r="G1715" s="6">
        <v>112.5</v>
      </c>
      <c r="H1715" s="6">
        <v>38</v>
      </c>
      <c r="I1715" s="7">
        <v>42</v>
      </c>
      <c r="J1715" s="3" t="s">
        <v>4318</v>
      </c>
      <c r="K1715" s="8">
        <f>7.14/2</f>
        <v>3.57</v>
      </c>
      <c r="L1715" s="9" t="s">
        <v>7764</v>
      </c>
      <c r="M1715" s="1"/>
    </row>
    <row r="1716" spans="1:13" x14ac:dyDescent="0.3">
      <c r="A1716" s="3">
        <v>46110100</v>
      </c>
      <c r="B1716" s="4" t="s">
        <v>5415</v>
      </c>
      <c r="C1716" s="5" t="s">
        <v>7809</v>
      </c>
      <c r="D1716" s="5" t="s">
        <v>4792</v>
      </c>
      <c r="E1716" s="3" t="s">
        <v>7810</v>
      </c>
      <c r="F1716" s="6">
        <v>120</v>
      </c>
      <c r="G1716" s="6">
        <v>111.5</v>
      </c>
      <c r="H1716" s="6">
        <v>36</v>
      </c>
      <c r="I1716" s="7">
        <v>32</v>
      </c>
      <c r="J1716" s="3" t="s">
        <v>4317</v>
      </c>
      <c r="K1716" s="8">
        <f>0.61+0.4</f>
        <v>1.01</v>
      </c>
      <c r="L1716" s="9" t="s">
        <v>7811</v>
      </c>
      <c r="M1716" s="1"/>
    </row>
    <row r="1717" spans="1:13" x14ac:dyDescent="0.3">
      <c r="A1717" s="3">
        <v>46110101</v>
      </c>
      <c r="B1717" s="4" t="s">
        <v>5415</v>
      </c>
      <c r="C1717" s="5" t="s">
        <v>7904</v>
      </c>
      <c r="D1717" s="5" t="s">
        <v>23</v>
      </c>
      <c r="E1717" s="3" t="s">
        <v>7813</v>
      </c>
      <c r="F1717" s="6">
        <v>56.6</v>
      </c>
      <c r="G1717" s="6">
        <v>39.5</v>
      </c>
      <c r="H1717" s="6">
        <v>41</v>
      </c>
      <c r="I1717" s="7">
        <v>32</v>
      </c>
      <c r="J1717" s="3" t="s">
        <v>4317</v>
      </c>
      <c r="K1717" s="8">
        <v>1.6</v>
      </c>
      <c r="L1717" s="9" t="s">
        <v>7812</v>
      </c>
      <c r="M1717" s="1" t="s">
        <v>7858</v>
      </c>
    </row>
    <row r="1718" spans="1:13" x14ac:dyDescent="0.3">
      <c r="A1718" s="3">
        <v>46110102</v>
      </c>
      <c r="B1718" s="4" t="s">
        <v>5415</v>
      </c>
      <c r="C1718" s="5" t="s">
        <v>7904</v>
      </c>
      <c r="D1718" s="5" t="s">
        <v>4792</v>
      </c>
      <c r="E1718" s="3" t="s">
        <v>7813</v>
      </c>
      <c r="F1718" s="6">
        <v>56.1</v>
      </c>
      <c r="G1718" s="6">
        <v>39</v>
      </c>
      <c r="H1718" s="6">
        <v>38.5</v>
      </c>
      <c r="I1718" s="7">
        <v>32</v>
      </c>
      <c r="J1718" s="3" t="s">
        <v>4317</v>
      </c>
      <c r="K1718" s="8">
        <v>0.4</v>
      </c>
      <c r="L1718" s="9" t="s">
        <v>7814</v>
      </c>
      <c r="M1718" s="1" t="s">
        <v>7859</v>
      </c>
    </row>
    <row r="1719" spans="1:13" x14ac:dyDescent="0.3">
      <c r="A1719" s="3">
        <v>46110103</v>
      </c>
      <c r="B1719" s="4" t="s">
        <v>5415</v>
      </c>
      <c r="C1719" s="5" t="s">
        <v>7944</v>
      </c>
      <c r="D1719" s="5" t="s">
        <v>7939</v>
      </c>
      <c r="E1719" s="3" t="s">
        <v>7940</v>
      </c>
      <c r="F1719" s="6">
        <v>37</v>
      </c>
      <c r="G1719" s="6">
        <v>31</v>
      </c>
      <c r="H1719" s="6">
        <v>53.8</v>
      </c>
      <c r="I1719" s="7">
        <v>32</v>
      </c>
      <c r="J1719" s="3" t="s">
        <v>4317</v>
      </c>
      <c r="K1719" s="8">
        <v>0.98</v>
      </c>
      <c r="L1719" s="9" t="s">
        <v>7931</v>
      </c>
      <c r="M1719" s="1" t="s">
        <v>7941</v>
      </c>
    </row>
    <row r="1720" spans="1:13" x14ac:dyDescent="0.3">
      <c r="A1720" s="3">
        <v>46110104</v>
      </c>
      <c r="B1720" s="4" t="s">
        <v>5415</v>
      </c>
      <c r="C1720" s="5" t="s">
        <v>7945</v>
      </c>
      <c r="D1720" s="5" t="s">
        <v>90</v>
      </c>
      <c r="E1720" s="3" t="s">
        <v>7940</v>
      </c>
      <c r="F1720" s="6">
        <v>30</v>
      </c>
      <c r="G1720" s="6">
        <v>36</v>
      </c>
      <c r="H1720" s="6">
        <v>52</v>
      </c>
      <c r="I1720" s="7">
        <v>32</v>
      </c>
      <c r="J1720" s="3" t="s">
        <v>4317</v>
      </c>
      <c r="K1720" s="8">
        <v>0.34</v>
      </c>
      <c r="L1720" s="9" t="s">
        <v>7932</v>
      </c>
      <c r="M1720" s="1" t="s">
        <v>7942</v>
      </c>
    </row>
    <row r="1721" spans="1:13" x14ac:dyDescent="0.3">
      <c r="A1721" s="3">
        <v>46110105</v>
      </c>
      <c r="B1721" s="4" t="s">
        <v>5415</v>
      </c>
      <c r="C1721" s="5" t="s">
        <v>7946</v>
      </c>
      <c r="D1721" s="5" t="s">
        <v>23</v>
      </c>
      <c r="E1721" s="3" t="s">
        <v>7943</v>
      </c>
      <c r="F1721" s="6">
        <v>37</v>
      </c>
      <c r="G1721" s="6">
        <v>31</v>
      </c>
      <c r="H1721" s="6">
        <v>24.8</v>
      </c>
      <c r="I1721" s="7">
        <v>32</v>
      </c>
      <c r="J1721" s="3" t="s">
        <v>4317</v>
      </c>
      <c r="K1721" s="8">
        <v>0.56999999999999995</v>
      </c>
      <c r="L1721" s="9" t="s">
        <v>7933</v>
      </c>
      <c r="M1721" s="1" t="s">
        <v>7948</v>
      </c>
    </row>
    <row r="1722" spans="1:13" x14ac:dyDescent="0.3">
      <c r="A1722" s="3">
        <v>46110106</v>
      </c>
      <c r="B1722" s="4" t="s">
        <v>5415</v>
      </c>
      <c r="C1722" s="5" t="s">
        <v>7947</v>
      </c>
      <c r="D1722" s="5" t="s">
        <v>4792</v>
      </c>
      <c r="E1722" s="3" t="s">
        <v>7943</v>
      </c>
      <c r="F1722" s="6">
        <v>30</v>
      </c>
      <c r="G1722" s="6">
        <v>36</v>
      </c>
      <c r="H1722" s="6">
        <v>23</v>
      </c>
      <c r="I1722" s="7">
        <v>32</v>
      </c>
      <c r="J1722" s="3" t="s">
        <v>4317</v>
      </c>
      <c r="K1722" s="8">
        <f>0.25+0.08</f>
        <v>0.33</v>
      </c>
      <c r="L1722" s="9" t="s">
        <v>7934</v>
      </c>
      <c r="M1722" s="1" t="s">
        <v>7949</v>
      </c>
    </row>
    <row r="1723" spans="1:13" x14ac:dyDescent="0.3">
      <c r="A1723" s="3">
        <v>46110107</v>
      </c>
      <c r="B1723" s="4" t="s">
        <v>5415</v>
      </c>
      <c r="C1723" s="5" t="s">
        <v>7951</v>
      </c>
      <c r="D1723" s="5" t="s">
        <v>23</v>
      </c>
      <c r="E1723" s="3" t="s">
        <v>7950</v>
      </c>
      <c r="F1723" s="6">
        <v>61</v>
      </c>
      <c r="G1723" s="6">
        <v>37</v>
      </c>
      <c r="H1723" s="6">
        <v>24.3</v>
      </c>
      <c r="I1723" s="7">
        <v>32</v>
      </c>
      <c r="J1723" s="3" t="s">
        <v>4317</v>
      </c>
      <c r="K1723" s="8">
        <v>0.86</v>
      </c>
      <c r="L1723" s="9" t="s">
        <v>7935</v>
      </c>
      <c r="M1723" s="1" t="s">
        <v>7954</v>
      </c>
    </row>
    <row r="1724" spans="1:13" x14ac:dyDescent="0.3">
      <c r="A1724" s="3">
        <v>46110108</v>
      </c>
      <c r="B1724" s="4" t="s">
        <v>5415</v>
      </c>
      <c r="C1724" s="5" t="s">
        <v>7952</v>
      </c>
      <c r="D1724" s="5" t="s">
        <v>4792</v>
      </c>
      <c r="E1724" s="3" t="s">
        <v>7950</v>
      </c>
      <c r="F1724" s="6">
        <v>60</v>
      </c>
      <c r="G1724" s="6">
        <v>36</v>
      </c>
      <c r="H1724" s="6">
        <v>11</v>
      </c>
      <c r="I1724" s="7">
        <v>32</v>
      </c>
      <c r="J1724" s="3" t="s">
        <v>4317</v>
      </c>
      <c r="K1724" s="8">
        <f>0.25</f>
        <v>0.25</v>
      </c>
      <c r="L1724" s="9" t="s">
        <v>7936</v>
      </c>
      <c r="M1724" s="1" t="s">
        <v>7955</v>
      </c>
    </row>
    <row r="1725" spans="1:13" x14ac:dyDescent="0.3">
      <c r="A1725" s="3">
        <v>46110109</v>
      </c>
      <c r="B1725" s="4" t="s">
        <v>5415</v>
      </c>
      <c r="C1725" s="5" t="s">
        <v>7953</v>
      </c>
      <c r="D1725" s="5" t="s">
        <v>74</v>
      </c>
      <c r="E1725" s="3" t="s">
        <v>7950</v>
      </c>
      <c r="F1725" s="6">
        <v>60</v>
      </c>
      <c r="G1725" s="6">
        <v>36</v>
      </c>
      <c r="H1725" s="6" t="s">
        <v>14</v>
      </c>
      <c r="I1725" s="7">
        <v>32</v>
      </c>
      <c r="J1725" s="3" t="s">
        <v>4317</v>
      </c>
      <c r="K1725" s="8">
        <v>0.22</v>
      </c>
      <c r="L1725" s="9" t="s">
        <v>7937</v>
      </c>
      <c r="M1725" s="1" t="s">
        <v>7956</v>
      </c>
    </row>
    <row r="1726" spans="1:13" x14ac:dyDescent="0.3">
      <c r="A1726" s="3">
        <v>46110110</v>
      </c>
      <c r="B1726" s="4" t="s">
        <v>5415</v>
      </c>
      <c r="C1726" s="5" t="s">
        <v>7962</v>
      </c>
      <c r="D1726" s="5" t="s">
        <v>23</v>
      </c>
      <c r="E1726" s="3" t="s">
        <v>7957</v>
      </c>
      <c r="F1726" s="6">
        <v>60</v>
      </c>
      <c r="G1726" s="6">
        <v>37</v>
      </c>
      <c r="H1726" s="6">
        <v>39.299999999999997</v>
      </c>
      <c r="I1726" s="7">
        <v>32</v>
      </c>
      <c r="J1726" s="3" t="s">
        <v>4317</v>
      </c>
      <c r="K1726" s="8">
        <v>1.1499999999999999</v>
      </c>
      <c r="L1726" s="9" t="s">
        <v>7938</v>
      </c>
      <c r="M1726" s="1" t="s">
        <v>7959</v>
      </c>
    </row>
    <row r="1727" spans="1:13" x14ac:dyDescent="0.3">
      <c r="A1727" s="3">
        <v>46110111</v>
      </c>
      <c r="B1727" s="4" t="s">
        <v>5415</v>
      </c>
      <c r="C1727" s="5" t="s">
        <v>7963</v>
      </c>
      <c r="D1727" s="5" t="s">
        <v>4792</v>
      </c>
      <c r="E1727" s="3" t="s">
        <v>7957</v>
      </c>
      <c r="F1727" s="6">
        <v>59</v>
      </c>
      <c r="G1727" s="6">
        <v>36</v>
      </c>
      <c r="H1727" s="6">
        <v>37.5</v>
      </c>
      <c r="I1727" s="7">
        <v>32</v>
      </c>
      <c r="J1727" s="3" t="s">
        <v>4317</v>
      </c>
      <c r="K1727" s="8">
        <v>0.4</v>
      </c>
      <c r="L1727" s="9" t="s">
        <v>7958</v>
      </c>
      <c r="M1727" s="1" t="s">
        <v>7960</v>
      </c>
    </row>
    <row r="1728" spans="1:13" x14ac:dyDescent="0.3">
      <c r="A1728" s="3">
        <v>46110112</v>
      </c>
      <c r="B1728" s="4" t="s">
        <v>5415</v>
      </c>
      <c r="C1728" s="5" t="s">
        <v>7964</v>
      </c>
      <c r="D1728" s="5" t="s">
        <v>23</v>
      </c>
      <c r="E1728" s="3" t="s">
        <v>7961</v>
      </c>
      <c r="F1728" s="6">
        <v>60.5</v>
      </c>
      <c r="G1728" s="6">
        <v>37</v>
      </c>
      <c r="H1728" s="6">
        <v>66.3</v>
      </c>
      <c r="I1728" s="7">
        <v>32</v>
      </c>
      <c r="J1728" s="3" t="s">
        <v>4317</v>
      </c>
      <c r="K1728" s="8">
        <v>1.7</v>
      </c>
      <c r="L1728" s="9" t="s">
        <v>7965</v>
      </c>
      <c r="M1728" s="1" t="s">
        <v>7968</v>
      </c>
    </row>
    <row r="1729" spans="1:13" x14ac:dyDescent="0.3">
      <c r="A1729" s="3">
        <v>46110113</v>
      </c>
      <c r="B1729" s="4" t="s">
        <v>5415</v>
      </c>
      <c r="C1729" s="5" t="s">
        <v>7967</v>
      </c>
      <c r="D1729" s="5" t="s">
        <v>4792</v>
      </c>
      <c r="E1729" s="3" t="s">
        <v>7961</v>
      </c>
      <c r="F1729" s="6">
        <v>36</v>
      </c>
      <c r="G1729" s="6">
        <v>59.5</v>
      </c>
      <c r="H1729" s="6">
        <v>64.5</v>
      </c>
      <c r="I1729" s="7">
        <v>32</v>
      </c>
      <c r="J1729" s="3" t="s">
        <v>4317</v>
      </c>
      <c r="K1729" s="8">
        <v>0.41</v>
      </c>
      <c r="L1729" s="9" t="s">
        <v>7966</v>
      </c>
      <c r="M1729" s="1" t="s">
        <v>7969</v>
      </c>
    </row>
    <row r="1730" spans="1:13" x14ac:dyDescent="0.3">
      <c r="A1730" s="3">
        <v>46110114</v>
      </c>
      <c r="B1730" s="4" t="s">
        <v>5415</v>
      </c>
      <c r="C1730" s="5" t="s">
        <v>8048</v>
      </c>
      <c r="D1730" s="5" t="s">
        <v>23</v>
      </c>
      <c r="E1730" s="3" t="s">
        <v>8048</v>
      </c>
      <c r="F1730" s="6">
        <v>60.5</v>
      </c>
      <c r="G1730" s="6">
        <v>47</v>
      </c>
      <c r="H1730" s="6">
        <v>78.3</v>
      </c>
      <c r="I1730" s="7">
        <v>32</v>
      </c>
      <c r="J1730" s="3" t="s">
        <v>4317</v>
      </c>
      <c r="K1730" s="8">
        <v>2.2400000000000002</v>
      </c>
      <c r="L1730" s="9" t="s">
        <v>8049</v>
      </c>
      <c r="M1730" s="1"/>
    </row>
    <row r="1731" spans="1:13" x14ac:dyDescent="0.3">
      <c r="A1731" s="3">
        <v>46110115</v>
      </c>
      <c r="B1731" s="4" t="s">
        <v>5415</v>
      </c>
      <c r="C1731" s="5" t="s">
        <v>8048</v>
      </c>
      <c r="D1731" s="5" t="s">
        <v>4792</v>
      </c>
      <c r="E1731" s="3" t="s">
        <v>8048</v>
      </c>
      <c r="F1731" s="6">
        <v>59.5</v>
      </c>
      <c r="G1731" s="6">
        <v>53</v>
      </c>
      <c r="H1731" s="6">
        <v>77</v>
      </c>
      <c r="I1731" s="7">
        <v>32</v>
      </c>
      <c r="J1731" s="3" t="s">
        <v>4317</v>
      </c>
      <c r="K1731" s="8">
        <f>0.5+0.51</f>
        <v>1.01</v>
      </c>
      <c r="L1731" s="9" t="s">
        <v>8050</v>
      </c>
      <c r="M1731" s="1"/>
    </row>
    <row r="1732" spans="1:13" x14ac:dyDescent="0.3">
      <c r="A1732" s="3">
        <v>46110116</v>
      </c>
      <c r="B1732" s="4" t="s">
        <v>5415</v>
      </c>
      <c r="C1732" s="5" t="s">
        <v>8054</v>
      </c>
      <c r="D1732" s="5" t="s">
        <v>23</v>
      </c>
      <c r="E1732" s="3" t="s">
        <v>8054</v>
      </c>
      <c r="F1732" s="6">
        <v>79.5</v>
      </c>
      <c r="G1732" s="6">
        <v>46</v>
      </c>
      <c r="H1732" s="6">
        <v>16.3</v>
      </c>
      <c r="I1732" s="7">
        <v>32</v>
      </c>
      <c r="J1732" s="3" t="s">
        <v>4317</v>
      </c>
      <c r="K1732" s="8">
        <v>1.1000000000000001</v>
      </c>
      <c r="L1732" s="9" t="s">
        <v>8051</v>
      </c>
      <c r="M1732" s="1"/>
    </row>
    <row r="1733" spans="1:13" x14ac:dyDescent="0.3">
      <c r="A1733" s="3">
        <v>46110117</v>
      </c>
      <c r="B1733" s="4" t="s">
        <v>5415</v>
      </c>
      <c r="C1733" s="5" t="s">
        <v>8055</v>
      </c>
      <c r="D1733" s="5" t="s">
        <v>23</v>
      </c>
      <c r="E1733" s="3" t="s">
        <v>8055</v>
      </c>
      <c r="F1733" s="6">
        <v>59.6</v>
      </c>
      <c r="G1733" s="6">
        <v>37.700000000000003</v>
      </c>
      <c r="H1733" s="6">
        <v>76.3</v>
      </c>
      <c r="I1733" s="7">
        <v>32</v>
      </c>
      <c r="J1733" s="3" t="s">
        <v>4317</v>
      </c>
      <c r="K1733" s="8">
        <v>1.9</v>
      </c>
      <c r="L1733" s="9" t="s">
        <v>8052</v>
      </c>
      <c r="M1733" s="1"/>
    </row>
    <row r="1734" spans="1:13" x14ac:dyDescent="0.3">
      <c r="A1734" s="3">
        <v>46110118</v>
      </c>
      <c r="B1734" s="4" t="s">
        <v>5415</v>
      </c>
      <c r="C1734" s="5" t="s">
        <v>8055</v>
      </c>
      <c r="D1734" s="5" t="s">
        <v>4792</v>
      </c>
      <c r="E1734" s="3" t="s">
        <v>8055</v>
      </c>
      <c r="F1734" s="6">
        <v>59.1</v>
      </c>
      <c r="G1734" s="6">
        <v>37.200000000000003</v>
      </c>
      <c r="H1734" s="6">
        <v>75</v>
      </c>
      <c r="I1734" s="7">
        <v>32</v>
      </c>
      <c r="J1734" s="3" t="s">
        <v>4317</v>
      </c>
      <c r="K1734" s="8">
        <f>0.62+0.46</f>
        <v>1.08</v>
      </c>
      <c r="L1734" s="9" t="s">
        <v>8053</v>
      </c>
      <c r="M1734" s="1"/>
    </row>
    <row r="1735" spans="1:13" x14ac:dyDescent="0.3">
      <c r="A1735" s="3">
        <v>47110001</v>
      </c>
      <c r="B1735" s="4" t="s">
        <v>5481</v>
      </c>
      <c r="C1735" s="5" t="s">
        <v>5482</v>
      </c>
      <c r="D1735" s="5" t="s">
        <v>26</v>
      </c>
      <c r="E1735" s="3" t="s">
        <v>3178</v>
      </c>
      <c r="F1735" s="6">
        <v>182</v>
      </c>
      <c r="G1735" s="6">
        <v>141</v>
      </c>
      <c r="H1735" s="6">
        <v>24.5</v>
      </c>
      <c r="I1735" s="7">
        <v>42</v>
      </c>
      <c r="J1735" s="3" t="s">
        <v>4318</v>
      </c>
      <c r="K1735" s="8">
        <v>4.3899999999999997</v>
      </c>
      <c r="L1735" s="9" t="s">
        <v>5483</v>
      </c>
      <c r="M1735" s="2" t="s">
        <v>5485</v>
      </c>
    </row>
    <row r="1736" spans="1:13" x14ac:dyDescent="0.3">
      <c r="A1736" s="3">
        <v>47110002</v>
      </c>
      <c r="B1736" s="4" t="s">
        <v>5481</v>
      </c>
      <c r="C1736" s="5" t="s">
        <v>5482</v>
      </c>
      <c r="D1736" s="5" t="s">
        <v>161</v>
      </c>
      <c r="E1736" s="3" t="s">
        <v>3178</v>
      </c>
      <c r="F1736" s="6">
        <v>179</v>
      </c>
      <c r="G1736" s="6">
        <v>138</v>
      </c>
      <c r="H1736" s="6">
        <v>24.5</v>
      </c>
      <c r="I1736" s="7">
        <v>42</v>
      </c>
      <c r="J1736" s="3" t="s">
        <v>4318</v>
      </c>
      <c r="K1736" s="8">
        <v>4.26</v>
      </c>
      <c r="L1736" s="9" t="s">
        <v>5484</v>
      </c>
      <c r="M1736" s="2" t="s">
        <v>5486</v>
      </c>
    </row>
    <row r="1737" spans="1:13" x14ac:dyDescent="0.3">
      <c r="A1737" s="3">
        <v>47110003</v>
      </c>
      <c r="B1737" s="4" t="s">
        <v>5481</v>
      </c>
      <c r="C1737" s="5" t="s">
        <v>6150</v>
      </c>
      <c r="D1737" s="5" t="s">
        <v>161</v>
      </c>
      <c r="E1737" s="3" t="s">
        <v>4159</v>
      </c>
      <c r="F1737" s="6">
        <v>229</v>
      </c>
      <c r="G1737" s="6">
        <v>140</v>
      </c>
      <c r="H1737" s="6">
        <v>32</v>
      </c>
      <c r="I1737" s="7">
        <v>42</v>
      </c>
      <c r="J1737" s="3" t="s">
        <v>4318</v>
      </c>
      <c r="K1737" s="8">
        <v>5.98</v>
      </c>
      <c r="L1737" s="9" t="s">
        <v>6153</v>
      </c>
      <c r="M1737" s="2" t="s">
        <v>6160</v>
      </c>
    </row>
    <row r="1738" spans="1:13" x14ac:dyDescent="0.3">
      <c r="A1738" s="31">
        <v>47110004</v>
      </c>
      <c r="B1738" s="32" t="s">
        <v>5481</v>
      </c>
      <c r="C1738" s="33" t="s">
        <v>6151</v>
      </c>
      <c r="D1738" s="33" t="s">
        <v>13</v>
      </c>
      <c r="E1738" s="31" t="s">
        <v>4159</v>
      </c>
      <c r="F1738" s="41">
        <v>232</v>
      </c>
      <c r="G1738" s="41">
        <v>143</v>
      </c>
      <c r="H1738" s="41">
        <v>32</v>
      </c>
      <c r="I1738" s="42">
        <v>42</v>
      </c>
      <c r="J1738" s="31" t="s">
        <v>4318</v>
      </c>
      <c r="K1738" s="43">
        <v>6.19</v>
      </c>
      <c r="L1738" s="44" t="s">
        <v>6154</v>
      </c>
      <c r="M1738" s="1" t="s">
        <v>6158</v>
      </c>
    </row>
    <row r="1739" spans="1:13" x14ac:dyDescent="0.3">
      <c r="A1739" s="3">
        <v>47110005</v>
      </c>
      <c r="B1739" s="4" t="s">
        <v>5481</v>
      </c>
      <c r="C1739" s="5" t="s">
        <v>6152</v>
      </c>
      <c r="D1739" s="5" t="s">
        <v>161</v>
      </c>
      <c r="E1739" s="3" t="s">
        <v>6152</v>
      </c>
      <c r="F1739" s="6">
        <v>305</v>
      </c>
      <c r="G1739" s="6">
        <v>140</v>
      </c>
      <c r="H1739" s="6">
        <v>32</v>
      </c>
      <c r="I1739" s="7">
        <v>42</v>
      </c>
      <c r="J1739" s="3" t="s">
        <v>4318</v>
      </c>
      <c r="K1739" s="8">
        <v>7.53</v>
      </c>
      <c r="L1739" s="9" t="s">
        <v>6155</v>
      </c>
      <c r="M1739" s="1" t="s">
        <v>6159</v>
      </c>
    </row>
    <row r="1740" spans="1:13" x14ac:dyDescent="0.3">
      <c r="A1740" s="3">
        <v>47110006</v>
      </c>
      <c r="B1740" s="4" t="s">
        <v>5481</v>
      </c>
      <c r="C1740" s="5" t="s">
        <v>6152</v>
      </c>
      <c r="D1740" s="5" t="s">
        <v>13</v>
      </c>
      <c r="E1740" s="3" t="s">
        <v>6152</v>
      </c>
      <c r="F1740" s="41">
        <v>308</v>
      </c>
      <c r="G1740" s="6">
        <v>143</v>
      </c>
      <c r="H1740" s="6">
        <v>32</v>
      </c>
      <c r="I1740" s="7">
        <v>42</v>
      </c>
      <c r="J1740" s="3" t="s">
        <v>4318</v>
      </c>
      <c r="K1740" s="8">
        <v>7.7</v>
      </c>
      <c r="L1740" s="9" t="s">
        <v>6156</v>
      </c>
      <c r="M1740" s="1" t="s">
        <v>6161</v>
      </c>
    </row>
    <row r="1741" spans="1:13" x14ac:dyDescent="0.3">
      <c r="A1741" s="3">
        <v>11411001</v>
      </c>
      <c r="B1741" s="4" t="s">
        <v>2692</v>
      </c>
      <c r="C1741" s="5" t="s">
        <v>2693</v>
      </c>
      <c r="D1741" s="5" t="s">
        <v>154</v>
      </c>
      <c r="E1741" s="3" t="s">
        <v>2693</v>
      </c>
      <c r="F1741" s="6">
        <v>94.7</v>
      </c>
      <c r="G1741" s="6">
        <v>58.7</v>
      </c>
      <c r="H1741" s="6">
        <v>70.7</v>
      </c>
      <c r="I1741" s="7" t="s">
        <v>4316</v>
      </c>
      <c r="J1741" s="3" t="s">
        <v>4318</v>
      </c>
      <c r="K1741" s="8" t="s">
        <v>4467</v>
      </c>
      <c r="L1741" s="9" t="s">
        <v>2694</v>
      </c>
      <c r="M1741" s="1" t="s">
        <v>2695</v>
      </c>
    </row>
    <row r="1742" spans="1:13" x14ac:dyDescent="0.3">
      <c r="A1742" s="3">
        <v>11420002</v>
      </c>
      <c r="B1742" s="4" t="s">
        <v>2692</v>
      </c>
      <c r="C1742" s="5" t="s">
        <v>2693</v>
      </c>
      <c r="D1742" s="5" t="s">
        <v>264</v>
      </c>
      <c r="E1742" s="3" t="s">
        <v>2693</v>
      </c>
      <c r="F1742" s="41">
        <v>57</v>
      </c>
      <c r="G1742" s="6">
        <v>16.5</v>
      </c>
      <c r="H1742" s="6">
        <v>0</v>
      </c>
      <c r="I1742" s="7" t="s">
        <v>4315</v>
      </c>
      <c r="J1742" s="3" t="s">
        <v>4317</v>
      </c>
      <c r="K1742" s="8" t="s">
        <v>4490</v>
      </c>
      <c r="L1742" s="9" t="s">
        <v>2696</v>
      </c>
      <c r="M1742" s="1" t="s">
        <v>2697</v>
      </c>
    </row>
    <row r="1743" spans="1:13" x14ac:dyDescent="0.3">
      <c r="A1743" s="3">
        <v>11421003</v>
      </c>
      <c r="B1743" s="4" t="s">
        <v>2692</v>
      </c>
      <c r="C1743" s="5" t="s">
        <v>2693</v>
      </c>
      <c r="D1743" s="5" t="s">
        <v>267</v>
      </c>
      <c r="E1743" s="3" t="s">
        <v>2693</v>
      </c>
      <c r="F1743" s="6">
        <v>92.5</v>
      </c>
      <c r="G1743" s="6">
        <v>16.5</v>
      </c>
      <c r="H1743" s="6">
        <v>0</v>
      </c>
      <c r="I1743" s="7" t="s">
        <v>4315</v>
      </c>
      <c r="J1743" s="3" t="s">
        <v>4317</v>
      </c>
      <c r="K1743" s="8" t="s">
        <v>4328</v>
      </c>
      <c r="L1743" s="9" t="s">
        <v>2698</v>
      </c>
      <c r="M1743" s="1" t="s">
        <v>2699</v>
      </c>
    </row>
    <row r="1744" spans="1:13" x14ac:dyDescent="0.3">
      <c r="A1744" s="31">
        <v>11419004</v>
      </c>
      <c r="B1744" s="32" t="s">
        <v>2692</v>
      </c>
      <c r="C1744" s="33" t="s">
        <v>2693</v>
      </c>
      <c r="D1744" s="33" t="s">
        <v>2700</v>
      </c>
      <c r="E1744" s="31" t="s">
        <v>2693</v>
      </c>
      <c r="F1744" s="41">
        <v>92</v>
      </c>
      <c r="G1744" s="41">
        <v>57</v>
      </c>
      <c r="H1744" s="41">
        <v>0</v>
      </c>
      <c r="I1744" s="42" t="s">
        <v>4316</v>
      </c>
      <c r="J1744" s="31" t="s">
        <v>4318</v>
      </c>
      <c r="K1744" s="43" t="s">
        <v>4350</v>
      </c>
      <c r="L1744" s="9" t="s">
        <v>2701</v>
      </c>
      <c r="M1744" s="73" t="s">
        <v>2702</v>
      </c>
    </row>
    <row r="1745" spans="1:13" x14ac:dyDescent="0.3">
      <c r="A1745" s="3">
        <v>11414005</v>
      </c>
      <c r="B1745" s="32" t="s">
        <v>2692</v>
      </c>
      <c r="C1745" s="5" t="s">
        <v>2693</v>
      </c>
      <c r="D1745" s="5" t="s">
        <v>392</v>
      </c>
      <c r="E1745" s="3" t="s">
        <v>2693</v>
      </c>
      <c r="F1745" s="6">
        <v>97.4</v>
      </c>
      <c r="G1745" s="6">
        <v>62.8</v>
      </c>
      <c r="H1745" s="6">
        <v>10.7</v>
      </c>
      <c r="I1745" s="7" t="s">
        <v>4316</v>
      </c>
      <c r="J1745" s="3" t="s">
        <v>4318</v>
      </c>
      <c r="K1745" s="8" t="s">
        <v>4333</v>
      </c>
      <c r="L1745" s="9" t="s">
        <v>2703</v>
      </c>
      <c r="M1745" s="1" t="s">
        <v>2704</v>
      </c>
    </row>
    <row r="1746" spans="1:13" x14ac:dyDescent="0.3">
      <c r="A1746" s="3">
        <v>11430006</v>
      </c>
      <c r="B1746" s="32" t="s">
        <v>2692</v>
      </c>
      <c r="C1746" s="5" t="s">
        <v>2693</v>
      </c>
      <c r="D1746" s="5" t="s">
        <v>2705</v>
      </c>
      <c r="E1746" s="3" t="s">
        <v>2693</v>
      </c>
      <c r="F1746" s="6">
        <v>96.5</v>
      </c>
      <c r="G1746" s="6">
        <v>61</v>
      </c>
      <c r="H1746" s="6">
        <v>12.7</v>
      </c>
      <c r="I1746" s="7" t="s">
        <v>14</v>
      </c>
      <c r="J1746" s="3" t="s">
        <v>14</v>
      </c>
      <c r="K1746" s="8" t="s">
        <v>4358</v>
      </c>
      <c r="L1746" s="9" t="s">
        <v>2706</v>
      </c>
      <c r="M1746" s="1" t="s">
        <v>2707</v>
      </c>
    </row>
    <row r="1747" spans="1:13" x14ac:dyDescent="0.3">
      <c r="A1747" s="31">
        <v>11411007</v>
      </c>
      <c r="B1747" s="32" t="s">
        <v>2692</v>
      </c>
      <c r="C1747" s="5" t="s">
        <v>2708</v>
      </c>
      <c r="D1747" s="5" t="s">
        <v>154</v>
      </c>
      <c r="E1747" s="3" t="s">
        <v>2708</v>
      </c>
      <c r="F1747" s="6">
        <v>122.7</v>
      </c>
      <c r="G1747" s="6">
        <v>75.7</v>
      </c>
      <c r="H1747" s="6">
        <v>75.7</v>
      </c>
      <c r="I1747" s="7" t="s">
        <v>4316</v>
      </c>
      <c r="J1747" s="3" t="s">
        <v>4318</v>
      </c>
      <c r="K1747" s="8" t="s">
        <v>4693</v>
      </c>
      <c r="L1747" s="9" t="s">
        <v>2709</v>
      </c>
      <c r="M1747" s="1" t="s">
        <v>2710</v>
      </c>
    </row>
    <row r="1748" spans="1:13" x14ac:dyDescent="0.3">
      <c r="A1748" s="31">
        <v>11420008</v>
      </c>
      <c r="B1748" s="32" t="s">
        <v>2692</v>
      </c>
      <c r="C1748" s="5" t="s">
        <v>2708</v>
      </c>
      <c r="D1748" s="5" t="s">
        <v>2200</v>
      </c>
      <c r="E1748" s="3" t="s">
        <v>2708</v>
      </c>
      <c r="F1748" s="6">
        <v>74</v>
      </c>
      <c r="G1748" s="6">
        <v>14</v>
      </c>
      <c r="H1748" s="6">
        <v>0</v>
      </c>
      <c r="I1748" s="7" t="s">
        <v>4315</v>
      </c>
      <c r="J1748" s="3" t="s">
        <v>4317</v>
      </c>
      <c r="K1748" s="8" t="s">
        <v>4578</v>
      </c>
      <c r="L1748" s="9" t="s">
        <v>2711</v>
      </c>
      <c r="M1748" s="1" t="s">
        <v>2712</v>
      </c>
    </row>
    <row r="1749" spans="1:13" x14ac:dyDescent="0.3">
      <c r="A1749" s="3">
        <v>11421009</v>
      </c>
      <c r="B1749" s="32" t="s">
        <v>2692</v>
      </c>
      <c r="C1749" s="5" t="s">
        <v>2708</v>
      </c>
      <c r="D1749" s="5" t="s">
        <v>267</v>
      </c>
      <c r="E1749" s="3" t="s">
        <v>2708</v>
      </c>
      <c r="F1749" s="6">
        <v>121</v>
      </c>
      <c r="G1749" s="6">
        <v>14</v>
      </c>
      <c r="H1749" s="6">
        <v>0</v>
      </c>
      <c r="I1749" s="7" t="s">
        <v>4315</v>
      </c>
      <c r="J1749" s="3" t="s">
        <v>4317</v>
      </c>
      <c r="K1749" s="8" t="s">
        <v>4608</v>
      </c>
      <c r="L1749" s="9" t="s">
        <v>2713</v>
      </c>
      <c r="M1749" s="1" t="s">
        <v>2714</v>
      </c>
    </row>
    <row r="1750" spans="1:13" x14ac:dyDescent="0.3">
      <c r="A1750" s="3">
        <v>11419010</v>
      </c>
      <c r="B1750" s="32" t="s">
        <v>2692</v>
      </c>
      <c r="C1750" s="5" t="s">
        <v>2708</v>
      </c>
      <c r="D1750" s="5" t="s">
        <v>74</v>
      </c>
      <c r="E1750" s="3" t="s">
        <v>2708</v>
      </c>
      <c r="F1750" s="6">
        <v>121</v>
      </c>
      <c r="G1750" s="6">
        <v>74</v>
      </c>
      <c r="H1750" s="6">
        <v>0</v>
      </c>
      <c r="I1750" s="7" t="s">
        <v>4316</v>
      </c>
      <c r="J1750" s="3" t="s">
        <v>4318</v>
      </c>
      <c r="K1750" s="8" t="s">
        <v>4361</v>
      </c>
      <c r="L1750" s="9" t="s">
        <v>2715</v>
      </c>
      <c r="M1750" s="1" t="s">
        <v>2716</v>
      </c>
    </row>
    <row r="1751" spans="1:13" x14ac:dyDescent="0.3">
      <c r="A1751" s="31">
        <v>11414011</v>
      </c>
      <c r="B1751" s="32" t="s">
        <v>2692</v>
      </c>
      <c r="C1751" s="5" t="s">
        <v>2708</v>
      </c>
      <c r="D1751" s="5" t="s">
        <v>392</v>
      </c>
      <c r="E1751" s="3" t="s">
        <v>2708</v>
      </c>
      <c r="F1751" s="6">
        <v>125.4</v>
      </c>
      <c r="G1751" s="6">
        <v>79.8</v>
      </c>
      <c r="H1751" s="6">
        <v>10.7</v>
      </c>
      <c r="I1751" s="7" t="s">
        <v>4316</v>
      </c>
      <c r="J1751" s="3" t="s">
        <v>4318</v>
      </c>
      <c r="K1751" s="8" t="s">
        <v>4582</v>
      </c>
      <c r="L1751" s="9" t="s">
        <v>2717</v>
      </c>
      <c r="M1751" s="1" t="s">
        <v>2718</v>
      </c>
    </row>
    <row r="1752" spans="1:13" x14ac:dyDescent="0.3">
      <c r="A1752" s="3">
        <v>11430012</v>
      </c>
      <c r="B1752" s="32" t="s">
        <v>2692</v>
      </c>
      <c r="C1752" s="5" t="s">
        <v>2708</v>
      </c>
      <c r="D1752" s="5" t="s">
        <v>613</v>
      </c>
      <c r="E1752" s="3" t="s">
        <v>2708</v>
      </c>
      <c r="F1752" s="6">
        <v>121.9</v>
      </c>
      <c r="G1752" s="6">
        <v>76.2</v>
      </c>
      <c r="H1752" s="6">
        <v>12.7</v>
      </c>
      <c r="I1752" s="7" t="s">
        <v>14</v>
      </c>
      <c r="J1752" s="3" t="s">
        <v>14</v>
      </c>
      <c r="K1752" s="8" t="s">
        <v>4359</v>
      </c>
      <c r="L1752" s="9" t="s">
        <v>2719</v>
      </c>
      <c r="M1752" s="1" t="s">
        <v>2720</v>
      </c>
    </row>
    <row r="1753" spans="1:13" x14ac:dyDescent="0.3">
      <c r="A1753" s="31">
        <v>7310001</v>
      </c>
      <c r="B1753" s="32" t="s">
        <v>2721</v>
      </c>
      <c r="C1753" s="5" t="s">
        <v>2722</v>
      </c>
      <c r="D1753" s="5" t="s">
        <v>96</v>
      </c>
      <c r="E1753" s="3" t="s">
        <v>14</v>
      </c>
      <c r="F1753" s="6">
        <v>51.5</v>
      </c>
      <c r="G1753" s="6">
        <v>32.5</v>
      </c>
      <c r="H1753" s="6">
        <v>47.5</v>
      </c>
      <c r="I1753" s="7" t="s">
        <v>4316</v>
      </c>
      <c r="J1753" s="3" t="s">
        <v>4318</v>
      </c>
      <c r="K1753" s="8" t="s">
        <v>4669</v>
      </c>
      <c r="L1753" s="9" t="s">
        <v>2723</v>
      </c>
      <c r="M1753" s="1" t="s">
        <v>2724</v>
      </c>
    </row>
    <row r="1754" spans="1:13" x14ac:dyDescent="0.3">
      <c r="A1754" s="3">
        <v>7310002</v>
      </c>
      <c r="B1754" s="32" t="s">
        <v>2721</v>
      </c>
      <c r="C1754" s="5" t="s">
        <v>2725</v>
      </c>
      <c r="D1754" s="5" t="s">
        <v>96</v>
      </c>
      <c r="E1754" s="3" t="s">
        <v>14</v>
      </c>
      <c r="F1754" s="6">
        <v>22</v>
      </c>
      <c r="G1754" s="6">
        <v>17.5</v>
      </c>
      <c r="H1754" s="6">
        <v>15</v>
      </c>
      <c r="I1754" s="7" t="s">
        <v>4315</v>
      </c>
      <c r="J1754" s="3" t="s">
        <v>4317</v>
      </c>
      <c r="K1754" s="8" t="s">
        <v>4580</v>
      </c>
      <c r="L1754" s="9" t="s">
        <v>2726</v>
      </c>
      <c r="M1754" s="1" t="s">
        <v>2727</v>
      </c>
    </row>
    <row r="1755" spans="1:13" x14ac:dyDescent="0.3">
      <c r="A1755" s="31">
        <v>7320003</v>
      </c>
      <c r="B1755" s="32" t="s">
        <v>2721</v>
      </c>
      <c r="C1755" s="5" t="s">
        <v>2725</v>
      </c>
      <c r="D1755" s="5" t="s">
        <v>264</v>
      </c>
      <c r="E1755" s="3" t="s">
        <v>14</v>
      </c>
      <c r="F1755" s="6">
        <v>22</v>
      </c>
      <c r="G1755" s="6">
        <v>14</v>
      </c>
      <c r="H1755" s="6">
        <v>0</v>
      </c>
      <c r="I1755" s="7" t="s">
        <v>4315</v>
      </c>
      <c r="J1755" s="3" t="s">
        <v>4317</v>
      </c>
      <c r="K1755" s="8" t="s">
        <v>4426</v>
      </c>
      <c r="L1755" s="9" t="s">
        <v>2728</v>
      </c>
      <c r="M1755" s="1" t="s">
        <v>2729</v>
      </c>
    </row>
    <row r="1756" spans="1:13" x14ac:dyDescent="0.3">
      <c r="A1756" s="3">
        <v>7321004</v>
      </c>
      <c r="B1756" s="32" t="s">
        <v>2721</v>
      </c>
      <c r="C1756" s="5" t="s">
        <v>2725</v>
      </c>
      <c r="D1756" s="5" t="s">
        <v>267</v>
      </c>
      <c r="E1756" s="3" t="s">
        <v>14</v>
      </c>
      <c r="F1756" s="6">
        <v>17</v>
      </c>
      <c r="G1756" s="6">
        <v>14</v>
      </c>
      <c r="H1756" s="6">
        <v>0</v>
      </c>
      <c r="I1756" s="7" t="s">
        <v>4315</v>
      </c>
      <c r="J1756" s="3" t="s">
        <v>4317</v>
      </c>
      <c r="K1756" s="8" t="s">
        <v>4430</v>
      </c>
      <c r="L1756" s="9" t="s">
        <v>2730</v>
      </c>
      <c r="M1756" s="1" t="s">
        <v>2731</v>
      </c>
    </row>
    <row r="1757" spans="1:13" x14ac:dyDescent="0.3">
      <c r="A1757" s="31">
        <v>7310005</v>
      </c>
      <c r="B1757" s="32" t="s">
        <v>2721</v>
      </c>
      <c r="C1757" s="5" t="s">
        <v>2732</v>
      </c>
      <c r="D1757" s="5" t="s">
        <v>96</v>
      </c>
      <c r="E1757" s="3" t="s">
        <v>14</v>
      </c>
      <c r="F1757" s="6">
        <v>28</v>
      </c>
      <c r="G1757" s="6">
        <v>22.5</v>
      </c>
      <c r="H1757" s="6">
        <v>20.5</v>
      </c>
      <c r="I1757" s="7" t="s">
        <v>4315</v>
      </c>
      <c r="J1757" s="3" t="s">
        <v>4317</v>
      </c>
      <c r="K1757" s="8" t="s">
        <v>4606</v>
      </c>
      <c r="L1757" s="9" t="s">
        <v>2733</v>
      </c>
      <c r="M1757" s="1" t="s">
        <v>2734</v>
      </c>
    </row>
    <row r="1758" spans="1:13" x14ac:dyDescent="0.3">
      <c r="A1758" s="3">
        <v>7320006</v>
      </c>
      <c r="B1758" s="32" t="s">
        <v>2721</v>
      </c>
      <c r="C1758" s="5" t="s">
        <v>2732</v>
      </c>
      <c r="D1758" s="5" t="s">
        <v>264</v>
      </c>
      <c r="E1758" s="3" t="s">
        <v>14</v>
      </c>
      <c r="F1758" s="6">
        <v>27.4</v>
      </c>
      <c r="G1758" s="6">
        <v>17.5</v>
      </c>
      <c r="H1758" s="6">
        <v>0</v>
      </c>
      <c r="I1758" s="7" t="s">
        <v>4315</v>
      </c>
      <c r="J1758" s="3" t="s">
        <v>4317</v>
      </c>
      <c r="K1758" s="8" t="s">
        <v>4575</v>
      </c>
      <c r="L1758" s="9" t="s">
        <v>2735</v>
      </c>
      <c r="M1758" s="1" t="s">
        <v>2736</v>
      </c>
    </row>
    <row r="1759" spans="1:13" x14ac:dyDescent="0.3">
      <c r="A1759" s="31">
        <v>7321007</v>
      </c>
      <c r="B1759" s="32" t="s">
        <v>2721</v>
      </c>
      <c r="C1759" s="5" t="s">
        <v>2732</v>
      </c>
      <c r="D1759" s="5" t="s">
        <v>267</v>
      </c>
      <c r="E1759" s="3" t="s">
        <v>14</v>
      </c>
      <c r="F1759" s="6">
        <v>22.2</v>
      </c>
      <c r="G1759" s="6">
        <v>17.5</v>
      </c>
      <c r="H1759" s="6">
        <v>0</v>
      </c>
      <c r="I1759" s="7" t="s">
        <v>4315</v>
      </c>
      <c r="J1759" s="3" t="s">
        <v>4317</v>
      </c>
      <c r="K1759" s="8" t="s">
        <v>4433</v>
      </c>
      <c r="L1759" s="9" t="s">
        <v>2737</v>
      </c>
      <c r="M1759" s="1" t="s">
        <v>2738</v>
      </c>
    </row>
    <row r="1760" spans="1:13" x14ac:dyDescent="0.3">
      <c r="A1760" s="3">
        <v>7310008</v>
      </c>
      <c r="B1760" s="32" t="s">
        <v>2721</v>
      </c>
      <c r="C1760" s="5" t="s">
        <v>2739</v>
      </c>
      <c r="D1760" s="5" t="s">
        <v>96</v>
      </c>
      <c r="E1760" s="3" t="s">
        <v>14</v>
      </c>
      <c r="F1760" s="6">
        <v>30.5</v>
      </c>
      <c r="G1760" s="6">
        <v>25</v>
      </c>
      <c r="H1760" s="6">
        <v>21</v>
      </c>
      <c r="I1760" s="7" t="s">
        <v>4315</v>
      </c>
      <c r="J1760" s="3" t="s">
        <v>4317</v>
      </c>
      <c r="K1760" s="8" t="s">
        <v>4526</v>
      </c>
      <c r="L1760" s="9" t="s">
        <v>2740</v>
      </c>
      <c r="M1760" s="1" t="s">
        <v>2741</v>
      </c>
    </row>
    <row r="1761" spans="1:14" x14ac:dyDescent="0.3">
      <c r="A1761" s="3">
        <v>732009</v>
      </c>
      <c r="B1761" s="4" t="s">
        <v>2721</v>
      </c>
      <c r="C1761" s="5" t="s">
        <v>2739</v>
      </c>
      <c r="D1761" s="5" t="s">
        <v>264</v>
      </c>
      <c r="E1761" s="3" t="s">
        <v>14</v>
      </c>
      <c r="F1761" s="6">
        <v>30</v>
      </c>
      <c r="G1761" s="6">
        <v>20.2</v>
      </c>
      <c r="H1761" s="6">
        <v>0</v>
      </c>
      <c r="I1761" s="7" t="s">
        <v>4315</v>
      </c>
      <c r="J1761" s="3" t="s">
        <v>4317</v>
      </c>
      <c r="K1761" s="8" t="s">
        <v>4424</v>
      </c>
      <c r="L1761" s="9" t="s">
        <v>2742</v>
      </c>
      <c r="M1761" s="1" t="s">
        <v>2743</v>
      </c>
    </row>
    <row r="1762" spans="1:14" x14ac:dyDescent="0.3">
      <c r="A1762" s="3">
        <v>7321010</v>
      </c>
      <c r="B1762" s="4" t="s">
        <v>2721</v>
      </c>
      <c r="C1762" s="5" t="s">
        <v>2739</v>
      </c>
      <c r="D1762" s="5" t="s">
        <v>267</v>
      </c>
      <c r="E1762" s="3" t="s">
        <v>14</v>
      </c>
      <c r="F1762" s="6">
        <v>24</v>
      </c>
      <c r="G1762" s="6">
        <v>20.2</v>
      </c>
      <c r="H1762" s="6">
        <v>0</v>
      </c>
      <c r="I1762" s="7" t="s">
        <v>4315</v>
      </c>
      <c r="J1762" s="3" t="s">
        <v>4317</v>
      </c>
      <c r="K1762" s="8" t="s">
        <v>4465</v>
      </c>
      <c r="L1762" s="9" t="s">
        <v>2744</v>
      </c>
      <c r="M1762" s="1" t="s">
        <v>2745</v>
      </c>
    </row>
    <row r="1763" spans="1:14" x14ac:dyDescent="0.3">
      <c r="A1763" s="3">
        <v>5315001</v>
      </c>
      <c r="B1763" s="4" t="s">
        <v>2940</v>
      </c>
      <c r="C1763" s="5" t="s">
        <v>2941</v>
      </c>
      <c r="D1763" s="5" t="s">
        <v>78</v>
      </c>
      <c r="E1763" s="3" t="s">
        <v>14</v>
      </c>
      <c r="F1763" s="6">
        <v>19</v>
      </c>
      <c r="G1763" s="6">
        <v>11.5</v>
      </c>
      <c r="H1763" s="6">
        <v>38.5</v>
      </c>
      <c r="I1763" s="7" t="s">
        <v>4316</v>
      </c>
      <c r="J1763" s="3" t="s">
        <v>4318</v>
      </c>
      <c r="K1763" s="8" t="s">
        <v>4670</v>
      </c>
      <c r="L1763" s="9" t="s">
        <v>2942</v>
      </c>
      <c r="M1763" s="1" t="s">
        <v>2943</v>
      </c>
    </row>
    <row r="1764" spans="1:14" x14ac:dyDescent="0.3">
      <c r="A1764" s="3">
        <v>6315002</v>
      </c>
      <c r="B1764" s="4" t="s">
        <v>2940</v>
      </c>
      <c r="C1764" s="5" t="s">
        <v>2944</v>
      </c>
      <c r="D1764" s="5" t="s">
        <v>78</v>
      </c>
      <c r="E1764" s="3" t="s">
        <v>14</v>
      </c>
      <c r="F1764" s="6">
        <v>11</v>
      </c>
      <c r="G1764" s="6">
        <v>11</v>
      </c>
      <c r="H1764" s="6">
        <v>71</v>
      </c>
      <c r="I1764" s="7" t="s">
        <v>4316</v>
      </c>
      <c r="J1764" s="3" t="s">
        <v>4318</v>
      </c>
      <c r="K1764" s="8" t="s">
        <v>4606</v>
      </c>
      <c r="L1764" s="9" t="s">
        <v>2945</v>
      </c>
      <c r="M1764" s="1" t="s">
        <v>2946</v>
      </c>
    </row>
    <row r="1765" spans="1:14" x14ac:dyDescent="0.3">
      <c r="A1765" s="3">
        <v>6315003</v>
      </c>
      <c r="B1765" s="4" t="s">
        <v>2940</v>
      </c>
      <c r="C1765" s="5" t="s">
        <v>2947</v>
      </c>
      <c r="D1765" s="5" t="s">
        <v>78</v>
      </c>
      <c r="E1765" s="3" t="s">
        <v>14</v>
      </c>
      <c r="F1765" s="6">
        <v>32</v>
      </c>
      <c r="G1765" s="6">
        <v>9.5</v>
      </c>
      <c r="H1765" s="6">
        <v>57</v>
      </c>
      <c r="I1765" s="7" t="s">
        <v>4316</v>
      </c>
      <c r="J1765" s="3" t="s">
        <v>4318</v>
      </c>
      <c r="K1765" s="8" t="s">
        <v>4622</v>
      </c>
      <c r="L1765" s="9" t="s">
        <v>2948</v>
      </c>
      <c r="M1765" s="1" t="s">
        <v>2949</v>
      </c>
    </row>
    <row r="1766" spans="1:14" x14ac:dyDescent="0.3">
      <c r="A1766" s="3">
        <v>6315004</v>
      </c>
      <c r="B1766" s="4" t="s">
        <v>2940</v>
      </c>
      <c r="C1766" s="5" t="s">
        <v>2950</v>
      </c>
      <c r="D1766" s="5" t="s">
        <v>78</v>
      </c>
      <c r="E1766" s="3" t="s">
        <v>14</v>
      </c>
      <c r="F1766" s="6">
        <v>172</v>
      </c>
      <c r="G1766" s="6">
        <v>21</v>
      </c>
      <c r="H1766" s="6">
        <v>28</v>
      </c>
      <c r="I1766" s="7" t="s">
        <v>4316</v>
      </c>
      <c r="J1766" s="3" t="s">
        <v>4318</v>
      </c>
      <c r="K1766" s="8" t="s">
        <v>4518</v>
      </c>
      <c r="L1766" s="9" t="s">
        <v>2951</v>
      </c>
      <c r="M1766" s="24" t="s">
        <v>2952</v>
      </c>
    </row>
    <row r="1767" spans="1:14" x14ac:dyDescent="0.3">
      <c r="A1767" s="3">
        <v>6315005</v>
      </c>
      <c r="B1767" s="4" t="s">
        <v>2940</v>
      </c>
      <c r="C1767" s="5" t="s">
        <v>2953</v>
      </c>
      <c r="D1767" s="5" t="s">
        <v>78</v>
      </c>
      <c r="E1767" s="3" t="s">
        <v>14</v>
      </c>
      <c r="F1767" s="6">
        <v>122</v>
      </c>
      <c r="G1767" s="6">
        <v>62</v>
      </c>
      <c r="H1767" s="6">
        <v>28</v>
      </c>
      <c r="I1767" s="7" t="s">
        <v>4316</v>
      </c>
      <c r="J1767" s="3" t="s">
        <v>4318</v>
      </c>
      <c r="K1767" s="8" t="s">
        <v>4661</v>
      </c>
      <c r="L1767" s="9" t="s">
        <v>2954</v>
      </c>
      <c r="M1767" s="1" t="s">
        <v>2955</v>
      </c>
    </row>
    <row r="1768" spans="1:14" x14ac:dyDescent="0.3">
      <c r="A1768" s="3">
        <v>1208001</v>
      </c>
      <c r="B1768" s="4" t="s">
        <v>4806</v>
      </c>
      <c r="C1768" s="5" t="s">
        <v>4814</v>
      </c>
      <c r="D1768" s="5" t="s">
        <v>96</v>
      </c>
      <c r="E1768" s="3" t="s">
        <v>4813</v>
      </c>
      <c r="F1768" s="6">
        <v>60</v>
      </c>
      <c r="G1768" s="6">
        <v>50</v>
      </c>
      <c r="H1768" s="6">
        <v>50</v>
      </c>
      <c r="I1768" s="7">
        <v>42</v>
      </c>
      <c r="J1768" s="3" t="s">
        <v>4318</v>
      </c>
      <c r="K1768" s="8">
        <v>2.0499999999999998</v>
      </c>
      <c r="L1768" s="9" t="s">
        <v>4807</v>
      </c>
      <c r="M1768" s="1" t="s">
        <v>4815</v>
      </c>
    </row>
    <row r="1769" spans="1:14" x14ac:dyDescent="0.3">
      <c r="A1769" s="3">
        <v>1208002</v>
      </c>
      <c r="B1769" s="4" t="s">
        <v>4806</v>
      </c>
      <c r="C1769" s="5" t="s">
        <v>4814</v>
      </c>
      <c r="D1769" s="5" t="s">
        <v>4792</v>
      </c>
      <c r="E1769" s="3" t="s">
        <v>4813</v>
      </c>
      <c r="F1769" s="6">
        <v>58.5</v>
      </c>
      <c r="G1769" s="6">
        <v>48.5</v>
      </c>
      <c r="H1769" s="6">
        <v>19</v>
      </c>
      <c r="I1769" s="7">
        <v>26</v>
      </c>
      <c r="J1769" s="3" t="s">
        <v>4317</v>
      </c>
      <c r="K1769" s="8">
        <v>0.11</v>
      </c>
      <c r="L1769" s="9" t="s">
        <v>4808</v>
      </c>
      <c r="M1769" s="1" t="s">
        <v>4816</v>
      </c>
    </row>
    <row r="1770" spans="1:14" x14ac:dyDescent="0.3">
      <c r="A1770" s="3">
        <v>1208003</v>
      </c>
      <c r="B1770" s="4" t="s">
        <v>4806</v>
      </c>
      <c r="C1770" s="5" t="s">
        <v>4814</v>
      </c>
      <c r="D1770" s="5" t="s">
        <v>74</v>
      </c>
      <c r="E1770" s="3" t="s">
        <v>4813</v>
      </c>
      <c r="F1770" s="6">
        <v>48.5</v>
      </c>
      <c r="G1770" s="6">
        <v>58.5</v>
      </c>
      <c r="H1770" s="6">
        <v>0</v>
      </c>
      <c r="I1770" s="7">
        <v>32</v>
      </c>
      <c r="J1770" s="3" t="s">
        <v>4317</v>
      </c>
      <c r="K1770" s="8">
        <v>0.28000000000000003</v>
      </c>
      <c r="L1770" s="9" t="s">
        <v>4809</v>
      </c>
      <c r="M1770" s="1" t="s">
        <v>4817</v>
      </c>
    </row>
    <row r="1771" spans="1:14" x14ac:dyDescent="0.3">
      <c r="A1771" s="3">
        <v>1208004</v>
      </c>
      <c r="B1771" s="4" t="s">
        <v>4806</v>
      </c>
      <c r="C1771" s="5" t="s">
        <v>4818</v>
      </c>
      <c r="D1771" s="5" t="s">
        <v>96</v>
      </c>
      <c r="E1771" s="3" t="s">
        <v>4819</v>
      </c>
      <c r="F1771" s="6">
        <v>52</v>
      </c>
      <c r="G1771" s="6">
        <v>37</v>
      </c>
      <c r="H1771" s="6">
        <v>65</v>
      </c>
      <c r="I1771" s="7">
        <v>32</v>
      </c>
      <c r="J1771" s="3" t="s">
        <v>4317</v>
      </c>
      <c r="K1771" s="8">
        <v>1.88</v>
      </c>
      <c r="L1771" s="9" t="s">
        <v>4810</v>
      </c>
      <c r="M1771" s="1" t="s">
        <v>5015</v>
      </c>
      <c r="N1771" s="70" t="s">
        <v>4820</v>
      </c>
    </row>
    <row r="1772" spans="1:14" x14ac:dyDescent="0.3">
      <c r="A1772" s="3">
        <v>1208005</v>
      </c>
      <c r="B1772" s="4" t="s">
        <v>4806</v>
      </c>
      <c r="C1772" s="5" t="s">
        <v>4821</v>
      </c>
      <c r="D1772" s="5" t="s">
        <v>4792</v>
      </c>
      <c r="E1772" s="3" t="s">
        <v>4819</v>
      </c>
      <c r="F1772" s="6">
        <v>36</v>
      </c>
      <c r="G1772" s="6">
        <v>51</v>
      </c>
      <c r="H1772" s="6">
        <v>21.2</v>
      </c>
      <c r="I1772" s="7">
        <v>32</v>
      </c>
      <c r="J1772" s="3" t="s">
        <v>4317</v>
      </c>
      <c r="K1772" s="8">
        <v>8.0000000000000002E-3</v>
      </c>
      <c r="L1772" s="9" t="s">
        <v>4811</v>
      </c>
      <c r="M1772" s="1" t="s">
        <v>5015</v>
      </c>
      <c r="N1772" s="70" t="s">
        <v>4822</v>
      </c>
    </row>
    <row r="1773" spans="1:14" x14ac:dyDescent="0.3">
      <c r="A1773" s="3">
        <v>1208006</v>
      </c>
      <c r="B1773" s="4" t="s">
        <v>4806</v>
      </c>
      <c r="C1773" s="5" t="s">
        <v>4824</v>
      </c>
      <c r="D1773" s="5" t="s">
        <v>74</v>
      </c>
      <c r="E1773" s="3" t="s">
        <v>4819</v>
      </c>
      <c r="F1773" s="6">
        <v>51</v>
      </c>
      <c r="G1773" s="6">
        <v>36</v>
      </c>
      <c r="H1773" s="6">
        <v>0</v>
      </c>
      <c r="I1773" s="7">
        <v>32</v>
      </c>
      <c r="J1773" s="3" t="s">
        <v>4317</v>
      </c>
      <c r="K1773" s="8">
        <v>0.18</v>
      </c>
      <c r="L1773" s="9" t="s">
        <v>4812</v>
      </c>
      <c r="M1773" s="1" t="s">
        <v>5015</v>
      </c>
      <c r="N1773" s="70" t="s">
        <v>4823</v>
      </c>
    </row>
    <row r="1774" spans="1:14" x14ac:dyDescent="0.3">
      <c r="A1774" s="3">
        <v>1208007</v>
      </c>
      <c r="B1774" s="4" t="s">
        <v>4806</v>
      </c>
      <c r="C1774" s="5" t="s">
        <v>5270</v>
      </c>
      <c r="D1774" s="5" t="s">
        <v>96</v>
      </c>
      <c r="E1774" s="3" t="s">
        <v>5271</v>
      </c>
      <c r="F1774" s="6">
        <v>58</v>
      </c>
      <c r="G1774" s="6">
        <v>40</v>
      </c>
      <c r="H1774" s="6">
        <v>40</v>
      </c>
      <c r="I1774" s="7">
        <v>32</v>
      </c>
      <c r="J1774" s="3" t="s">
        <v>4317</v>
      </c>
      <c r="K1774" s="8">
        <v>1.6</v>
      </c>
      <c r="L1774" s="9" t="s">
        <v>5272</v>
      </c>
      <c r="M1774" s="1" t="s">
        <v>5275</v>
      </c>
    </row>
    <row r="1775" spans="1:14" x14ac:dyDescent="0.3">
      <c r="A1775" s="3">
        <v>1208008</v>
      </c>
      <c r="B1775" s="4" t="s">
        <v>4806</v>
      </c>
      <c r="C1775" s="5" t="s">
        <v>5274</v>
      </c>
      <c r="D1775" s="5" t="s">
        <v>74</v>
      </c>
      <c r="E1775" s="3" t="s">
        <v>5271</v>
      </c>
      <c r="F1775" s="6">
        <v>57.5</v>
      </c>
      <c r="G1775" s="6">
        <v>39.5</v>
      </c>
      <c r="H1775" s="6" t="s">
        <v>14</v>
      </c>
      <c r="I1775" s="7">
        <v>32</v>
      </c>
      <c r="J1775" s="3" t="s">
        <v>4317</v>
      </c>
      <c r="K1775" s="8">
        <v>0.23</v>
      </c>
      <c r="L1775" s="9" t="s">
        <v>5273</v>
      </c>
      <c r="M1775" s="1" t="s">
        <v>5276</v>
      </c>
    </row>
    <row r="1776" spans="1:14" x14ac:dyDescent="0.3">
      <c r="A1776" s="3">
        <v>1208009</v>
      </c>
      <c r="B1776" s="4" t="s">
        <v>4806</v>
      </c>
      <c r="C1776" s="5" t="s">
        <v>5750</v>
      </c>
      <c r="D1776" s="5" t="s">
        <v>96</v>
      </c>
      <c r="E1776" s="3" t="s">
        <v>6009</v>
      </c>
      <c r="F1776" s="6">
        <v>55</v>
      </c>
      <c r="G1776" s="6">
        <v>38</v>
      </c>
      <c r="H1776" s="6">
        <v>65</v>
      </c>
      <c r="I1776" s="7">
        <v>32</v>
      </c>
      <c r="J1776" s="3" t="s">
        <v>4317</v>
      </c>
      <c r="K1776" s="8">
        <v>1.98</v>
      </c>
      <c r="L1776" s="9" t="s">
        <v>5751</v>
      </c>
      <c r="M1776" s="1" t="s">
        <v>5771</v>
      </c>
    </row>
    <row r="1777" spans="1:13" x14ac:dyDescent="0.3">
      <c r="A1777" s="3">
        <v>1208010</v>
      </c>
      <c r="B1777" s="4" t="s">
        <v>4806</v>
      </c>
      <c r="C1777" s="5" t="s">
        <v>5760</v>
      </c>
      <c r="D1777" s="5" t="s">
        <v>90</v>
      </c>
      <c r="E1777" s="3" t="s">
        <v>6009</v>
      </c>
      <c r="F1777" s="6">
        <v>37.5</v>
      </c>
      <c r="G1777" s="6">
        <v>54.1</v>
      </c>
      <c r="H1777" s="6">
        <v>21</v>
      </c>
      <c r="I1777" s="7">
        <v>32</v>
      </c>
      <c r="J1777" s="3" t="s">
        <v>4317</v>
      </c>
      <c r="K1777" s="8">
        <v>0.08</v>
      </c>
      <c r="L1777" s="9" t="s">
        <v>5752</v>
      </c>
      <c r="M1777" s="1" t="s">
        <v>5772</v>
      </c>
    </row>
    <row r="1778" spans="1:13" x14ac:dyDescent="0.3">
      <c r="A1778" s="3">
        <v>1208011</v>
      </c>
      <c r="B1778" s="4" t="s">
        <v>4806</v>
      </c>
      <c r="C1778" s="5" t="s">
        <v>5761</v>
      </c>
      <c r="D1778" s="5" t="s">
        <v>74</v>
      </c>
      <c r="E1778" s="3" t="s">
        <v>6009</v>
      </c>
      <c r="F1778" s="6">
        <v>51</v>
      </c>
      <c r="G1778" s="6">
        <v>36</v>
      </c>
      <c r="H1778" s="6" t="s">
        <v>14</v>
      </c>
      <c r="I1778" s="7">
        <v>32</v>
      </c>
      <c r="J1778" s="3" t="s">
        <v>4317</v>
      </c>
      <c r="K1778" s="8">
        <v>0.18</v>
      </c>
      <c r="L1778" s="9" t="s">
        <v>5753</v>
      </c>
      <c r="M1778" s="1" t="s">
        <v>5773</v>
      </c>
    </row>
    <row r="1779" spans="1:13" x14ac:dyDescent="0.3">
      <c r="A1779" s="3">
        <v>1208012</v>
      </c>
      <c r="B1779" s="4" t="s">
        <v>4806</v>
      </c>
      <c r="C1779" s="5" t="s">
        <v>5763</v>
      </c>
      <c r="D1779" s="5" t="s">
        <v>96</v>
      </c>
      <c r="E1779" s="3" t="s">
        <v>5762</v>
      </c>
      <c r="F1779" s="6">
        <v>52.5</v>
      </c>
      <c r="G1779" s="6">
        <v>37</v>
      </c>
      <c r="H1779" s="6">
        <v>33.5</v>
      </c>
      <c r="I1779" s="7">
        <v>32</v>
      </c>
      <c r="J1779" s="3" t="s">
        <v>4317</v>
      </c>
      <c r="K1779" s="8">
        <v>1.31</v>
      </c>
      <c r="L1779" s="9" t="s">
        <v>5754</v>
      </c>
      <c r="M1779" s="1" t="s">
        <v>5774</v>
      </c>
    </row>
    <row r="1780" spans="1:13" x14ac:dyDescent="0.3">
      <c r="A1780" s="3">
        <v>1208013</v>
      </c>
      <c r="B1780" s="4" t="s">
        <v>4806</v>
      </c>
      <c r="C1780" s="5" t="s">
        <v>5764</v>
      </c>
      <c r="D1780" s="5" t="s">
        <v>90</v>
      </c>
      <c r="E1780" s="3" t="s">
        <v>5762</v>
      </c>
      <c r="F1780" s="6">
        <v>36.5</v>
      </c>
      <c r="G1780" s="6">
        <v>52</v>
      </c>
      <c r="H1780" s="6">
        <v>7.7</v>
      </c>
      <c r="I1780" s="7">
        <v>32</v>
      </c>
      <c r="J1780" s="3" t="s">
        <v>4317</v>
      </c>
      <c r="K1780" s="8">
        <v>0.03</v>
      </c>
      <c r="L1780" s="9" t="s">
        <v>5755</v>
      </c>
      <c r="M1780" s="1" t="s">
        <v>5775</v>
      </c>
    </row>
    <row r="1781" spans="1:13" x14ac:dyDescent="0.3">
      <c r="A1781" s="3">
        <v>1208014</v>
      </c>
      <c r="B1781" s="4" t="s">
        <v>4806</v>
      </c>
      <c r="C1781" s="5" t="s">
        <v>5761</v>
      </c>
      <c r="D1781" s="5" t="s">
        <v>74</v>
      </c>
      <c r="E1781" s="3" t="s">
        <v>5762</v>
      </c>
      <c r="F1781" s="6">
        <v>51</v>
      </c>
      <c r="G1781" s="6">
        <v>36</v>
      </c>
      <c r="H1781" s="6" t="s">
        <v>14</v>
      </c>
      <c r="I1781" s="7">
        <v>32</v>
      </c>
      <c r="J1781" s="3" t="s">
        <v>4317</v>
      </c>
      <c r="K1781" s="8">
        <v>0.18</v>
      </c>
      <c r="L1781" s="9" t="s">
        <v>5756</v>
      </c>
      <c r="M1781" s="1" t="s">
        <v>5776</v>
      </c>
    </row>
    <row r="1782" spans="1:13" x14ac:dyDescent="0.3">
      <c r="A1782" s="3">
        <v>1208015</v>
      </c>
      <c r="B1782" s="4" t="s">
        <v>4806</v>
      </c>
      <c r="C1782" s="5" t="s">
        <v>5765</v>
      </c>
      <c r="D1782" s="5" t="s">
        <v>96</v>
      </c>
      <c r="E1782" s="3" t="s">
        <v>5766</v>
      </c>
      <c r="F1782" s="6">
        <v>60.5</v>
      </c>
      <c r="G1782" s="6">
        <v>56.7</v>
      </c>
      <c r="H1782" s="6">
        <v>22.4</v>
      </c>
      <c r="I1782" s="7">
        <v>32</v>
      </c>
      <c r="J1782" s="3" t="s">
        <v>4317</v>
      </c>
      <c r="K1782" s="8">
        <v>1.91</v>
      </c>
      <c r="L1782" s="9" t="s">
        <v>5757</v>
      </c>
      <c r="M1782" s="1" t="s">
        <v>5777</v>
      </c>
    </row>
    <row r="1783" spans="1:13" x14ac:dyDescent="0.3">
      <c r="A1783" s="3">
        <v>1208016</v>
      </c>
      <c r="B1783" s="4" t="s">
        <v>4806</v>
      </c>
      <c r="C1783" s="5" t="s">
        <v>5767</v>
      </c>
      <c r="D1783" s="5" t="s">
        <v>90</v>
      </c>
      <c r="E1783" s="3" t="s">
        <v>5766</v>
      </c>
      <c r="F1783" s="6">
        <v>59.5</v>
      </c>
      <c r="G1783" s="6">
        <v>55.7</v>
      </c>
      <c r="H1783" s="6">
        <v>21.1</v>
      </c>
      <c r="I1783" s="7">
        <v>32</v>
      </c>
      <c r="J1783" s="3" t="s">
        <v>4317</v>
      </c>
      <c r="K1783" s="8">
        <v>0.13</v>
      </c>
      <c r="L1783" s="9" t="s">
        <v>5758</v>
      </c>
      <c r="M1783" s="1" t="s">
        <v>5778</v>
      </c>
    </row>
    <row r="1784" spans="1:13" x14ac:dyDescent="0.3">
      <c r="A1784" s="3">
        <v>1208017</v>
      </c>
      <c r="B1784" s="4" t="s">
        <v>4806</v>
      </c>
      <c r="C1784" s="5" t="s">
        <v>5770</v>
      </c>
      <c r="D1784" s="5" t="s">
        <v>74</v>
      </c>
      <c r="E1784" s="3" t="s">
        <v>5766</v>
      </c>
      <c r="F1784" s="6">
        <v>59.5</v>
      </c>
      <c r="G1784" s="6">
        <v>55.7</v>
      </c>
      <c r="H1784" s="6" t="s">
        <v>14</v>
      </c>
      <c r="I1784" s="7">
        <v>32</v>
      </c>
      <c r="J1784" s="3" t="s">
        <v>4317</v>
      </c>
      <c r="K1784" s="8">
        <v>0.33</v>
      </c>
      <c r="L1784" s="9" t="s">
        <v>5759</v>
      </c>
      <c r="M1784" s="1" t="s">
        <v>5779</v>
      </c>
    </row>
    <row r="1785" spans="1:13" x14ac:dyDescent="0.3">
      <c r="A1785" s="3">
        <v>1208019</v>
      </c>
      <c r="B1785" s="4" t="s">
        <v>4806</v>
      </c>
      <c r="C1785" s="5" t="s">
        <v>6010</v>
      </c>
      <c r="D1785" s="5" t="s">
        <v>90</v>
      </c>
      <c r="E1785" s="3" t="s">
        <v>5769</v>
      </c>
      <c r="F1785" s="6">
        <v>55</v>
      </c>
      <c r="G1785" s="6">
        <v>59.5</v>
      </c>
      <c r="H1785" s="6">
        <v>10.5</v>
      </c>
      <c r="I1785" s="7">
        <v>32</v>
      </c>
      <c r="J1785" s="3" t="s">
        <v>4317</v>
      </c>
      <c r="K1785" s="8">
        <v>0.06</v>
      </c>
      <c r="L1785" s="9" t="s">
        <v>5768</v>
      </c>
      <c r="M1785" s="1" t="s">
        <v>5015</v>
      </c>
    </row>
    <row r="1786" spans="1:13" x14ac:dyDescent="0.3">
      <c r="A1786" s="3">
        <v>50240003</v>
      </c>
      <c r="B1786" s="4" t="s">
        <v>5215</v>
      </c>
      <c r="C1786" s="4" t="s">
        <v>5216</v>
      </c>
      <c r="D1786" s="4" t="s">
        <v>613</v>
      </c>
      <c r="E1786" s="3" t="s">
        <v>5205</v>
      </c>
      <c r="F1786" s="6">
        <v>115</v>
      </c>
      <c r="G1786" s="6">
        <v>110</v>
      </c>
      <c r="H1786" s="6">
        <v>12</v>
      </c>
      <c r="I1786" s="3" t="s">
        <v>5208</v>
      </c>
      <c r="J1786" s="3" t="s">
        <v>14</v>
      </c>
      <c r="K1786" s="8" t="s">
        <v>14</v>
      </c>
      <c r="L1786" s="9" t="s">
        <v>5212</v>
      </c>
      <c r="M1786" s="1" t="s">
        <v>5221</v>
      </c>
    </row>
    <row r="1787" spans="1:13" x14ac:dyDescent="0.3">
      <c r="A1787" s="3">
        <v>4910001</v>
      </c>
      <c r="B1787" s="4" t="s">
        <v>2746</v>
      </c>
      <c r="C1787" s="5" t="s">
        <v>2747</v>
      </c>
      <c r="D1787" s="5" t="s">
        <v>96</v>
      </c>
      <c r="E1787" s="3" t="s">
        <v>14</v>
      </c>
      <c r="F1787" s="6">
        <v>53.5</v>
      </c>
      <c r="G1787" s="6">
        <v>35.5</v>
      </c>
      <c r="H1787" s="6">
        <v>35.5</v>
      </c>
      <c r="I1787" s="7" t="s">
        <v>4316</v>
      </c>
      <c r="J1787" s="3" t="s">
        <v>4318</v>
      </c>
      <c r="K1787" s="8" t="s">
        <v>4583</v>
      </c>
      <c r="L1787" s="9" t="s">
        <v>2748</v>
      </c>
      <c r="M1787" s="1" t="s">
        <v>2749</v>
      </c>
    </row>
    <row r="1788" spans="1:13" x14ac:dyDescent="0.3">
      <c r="A1788" s="3">
        <v>3320001</v>
      </c>
      <c r="B1788" s="4" t="s">
        <v>2750</v>
      </c>
      <c r="C1788" s="5" t="s">
        <v>2751</v>
      </c>
      <c r="D1788" s="5" t="s">
        <v>264</v>
      </c>
      <c r="E1788" s="3" t="s">
        <v>14</v>
      </c>
      <c r="F1788" s="6">
        <v>134</v>
      </c>
      <c r="G1788" s="6">
        <v>67</v>
      </c>
      <c r="H1788" s="6">
        <v>0</v>
      </c>
      <c r="I1788" s="7" t="s">
        <v>4316</v>
      </c>
      <c r="J1788" s="3" t="s">
        <v>4318</v>
      </c>
      <c r="K1788" s="8" t="s">
        <v>4587</v>
      </c>
      <c r="L1788" s="9" t="s">
        <v>2752</v>
      </c>
      <c r="M1788" s="1" t="s">
        <v>2753</v>
      </c>
    </row>
    <row r="1789" spans="1:13" x14ac:dyDescent="0.3">
      <c r="A1789" s="3">
        <v>3321002</v>
      </c>
      <c r="B1789" s="4" t="s">
        <v>2750</v>
      </c>
      <c r="C1789" s="5" t="s">
        <v>2751</v>
      </c>
      <c r="D1789" s="5" t="s">
        <v>267</v>
      </c>
      <c r="E1789" s="3" t="s">
        <v>14</v>
      </c>
      <c r="F1789" s="6">
        <v>114</v>
      </c>
      <c r="G1789" s="6">
        <v>67</v>
      </c>
      <c r="H1789" s="6">
        <v>0</v>
      </c>
      <c r="I1789" s="7" t="s">
        <v>4316</v>
      </c>
      <c r="J1789" s="3" t="s">
        <v>4318</v>
      </c>
      <c r="K1789" s="8" t="s">
        <v>4695</v>
      </c>
      <c r="L1789" s="9" t="s">
        <v>2754</v>
      </c>
      <c r="M1789" s="1" t="s">
        <v>2755</v>
      </c>
    </row>
    <row r="1790" spans="1:13" x14ac:dyDescent="0.3">
      <c r="A1790" s="3">
        <v>3317003</v>
      </c>
      <c r="B1790" s="4" t="s">
        <v>2750</v>
      </c>
      <c r="C1790" s="5" t="s">
        <v>2751</v>
      </c>
      <c r="D1790" s="5" t="s">
        <v>86</v>
      </c>
      <c r="E1790" s="3" t="s">
        <v>14</v>
      </c>
      <c r="F1790" s="6">
        <v>135</v>
      </c>
      <c r="G1790" s="6">
        <v>115</v>
      </c>
      <c r="H1790" s="6">
        <v>68</v>
      </c>
      <c r="I1790" s="7" t="s">
        <v>4316</v>
      </c>
      <c r="J1790" s="3" t="s">
        <v>4318</v>
      </c>
      <c r="K1790" s="8" t="s">
        <v>4548</v>
      </c>
      <c r="L1790" s="9" t="s">
        <v>2756</v>
      </c>
      <c r="M1790" s="1" t="s">
        <v>2757</v>
      </c>
    </row>
    <row r="1791" spans="1:13" x14ac:dyDescent="0.3">
      <c r="A1791" s="3">
        <v>3314004</v>
      </c>
      <c r="B1791" s="4" t="s">
        <v>2750</v>
      </c>
      <c r="C1791" s="5" t="s">
        <v>2751</v>
      </c>
      <c r="D1791" s="5" t="s">
        <v>392</v>
      </c>
      <c r="E1791" s="3" t="s">
        <v>14</v>
      </c>
      <c r="F1791" s="6">
        <v>137</v>
      </c>
      <c r="G1791" s="6">
        <v>117</v>
      </c>
      <c r="H1791" s="6">
        <v>12</v>
      </c>
      <c r="I1791" s="7" t="s">
        <v>4316</v>
      </c>
      <c r="J1791" s="3" t="s">
        <v>4318</v>
      </c>
      <c r="K1791" s="8" t="s">
        <v>4696</v>
      </c>
      <c r="L1791" s="9" t="s">
        <v>2758</v>
      </c>
      <c r="M1791" s="1" t="s">
        <v>2759</v>
      </c>
    </row>
    <row r="1792" spans="1:13" x14ac:dyDescent="0.3">
      <c r="A1792" s="3">
        <v>3319005</v>
      </c>
      <c r="B1792" s="4" t="s">
        <v>2750</v>
      </c>
      <c r="C1792" s="5" t="s">
        <v>2751</v>
      </c>
      <c r="D1792" s="5" t="s">
        <v>74</v>
      </c>
      <c r="E1792" s="3" t="s">
        <v>2760</v>
      </c>
      <c r="F1792" s="6">
        <v>133</v>
      </c>
      <c r="G1792" s="6">
        <v>112</v>
      </c>
      <c r="H1792" s="6">
        <v>0</v>
      </c>
      <c r="I1792" s="7" t="s">
        <v>4316</v>
      </c>
      <c r="J1792" s="3" t="s">
        <v>4318</v>
      </c>
      <c r="K1792" s="8" t="s">
        <v>4582</v>
      </c>
      <c r="L1792" s="9" t="s">
        <v>2761</v>
      </c>
      <c r="M1792" s="1" t="s">
        <v>2762</v>
      </c>
    </row>
    <row r="1793" spans="1:14" x14ac:dyDescent="0.3">
      <c r="A1793" s="3">
        <v>3331006</v>
      </c>
      <c r="B1793" s="4" t="s">
        <v>2750</v>
      </c>
      <c r="C1793" s="5" t="s">
        <v>2751</v>
      </c>
      <c r="D1793" s="5" t="s">
        <v>261</v>
      </c>
      <c r="E1793" s="3" t="s">
        <v>2760</v>
      </c>
      <c r="F1793" s="6">
        <v>29</v>
      </c>
      <c r="G1793" s="6">
        <v>16</v>
      </c>
      <c r="H1793" s="6">
        <v>67</v>
      </c>
      <c r="I1793" s="7" t="s">
        <v>4316</v>
      </c>
      <c r="J1793" s="3" t="s">
        <v>4318</v>
      </c>
      <c r="K1793" s="8" t="s">
        <v>4528</v>
      </c>
      <c r="L1793" s="9" t="s">
        <v>2763</v>
      </c>
      <c r="M1793" s="1" t="s">
        <v>2764</v>
      </c>
    </row>
    <row r="1794" spans="1:14" x14ac:dyDescent="0.3">
      <c r="A1794" s="3">
        <v>3312007</v>
      </c>
      <c r="B1794" s="4" t="s">
        <v>2750</v>
      </c>
      <c r="C1794" s="5" t="s">
        <v>2765</v>
      </c>
      <c r="D1794" s="5" t="s">
        <v>2654</v>
      </c>
      <c r="E1794" s="3" t="s">
        <v>14</v>
      </c>
      <c r="F1794" s="6">
        <v>18.7</v>
      </c>
      <c r="G1794" s="6">
        <v>12.4</v>
      </c>
      <c r="H1794" s="6">
        <v>6.1</v>
      </c>
      <c r="I1794" s="7" t="s">
        <v>4316</v>
      </c>
      <c r="J1794" s="3" t="s">
        <v>4318</v>
      </c>
      <c r="K1794" s="8" t="s">
        <v>4453</v>
      </c>
      <c r="L1794" s="9" t="s">
        <v>2766</v>
      </c>
      <c r="M1794" s="1" t="s">
        <v>2767</v>
      </c>
    </row>
    <row r="1795" spans="1:14" x14ac:dyDescent="0.3">
      <c r="A1795" s="3">
        <v>3314008</v>
      </c>
      <c r="B1795" s="4" t="s">
        <v>2750</v>
      </c>
      <c r="C1795" s="5" t="s">
        <v>2768</v>
      </c>
      <c r="D1795" s="5" t="s">
        <v>392</v>
      </c>
      <c r="E1795" s="3" t="s">
        <v>14</v>
      </c>
      <c r="F1795" s="6">
        <v>21.2</v>
      </c>
      <c r="G1795" s="6">
        <v>14.4</v>
      </c>
      <c r="H1795" s="6">
        <v>6.6</v>
      </c>
      <c r="I1795" s="7" t="s">
        <v>4316</v>
      </c>
      <c r="J1795" s="3" t="s">
        <v>4318</v>
      </c>
      <c r="K1795" s="8" t="s">
        <v>4426</v>
      </c>
      <c r="L1795" s="9" t="s">
        <v>2769</v>
      </c>
      <c r="M1795" s="1" t="s">
        <v>2770</v>
      </c>
    </row>
    <row r="1796" spans="1:14" x14ac:dyDescent="0.3">
      <c r="A1796" s="3">
        <v>3312009</v>
      </c>
      <c r="B1796" s="4" t="s">
        <v>2750</v>
      </c>
      <c r="C1796" s="5" t="s">
        <v>2771</v>
      </c>
      <c r="D1796" s="5" t="s">
        <v>2654</v>
      </c>
      <c r="E1796" s="3" t="s">
        <v>14</v>
      </c>
      <c r="F1796" s="6">
        <v>12.7</v>
      </c>
      <c r="G1796" s="6">
        <v>36.6</v>
      </c>
      <c r="H1796" s="6">
        <v>16.2</v>
      </c>
      <c r="I1796" s="7" t="s">
        <v>4316</v>
      </c>
      <c r="J1796" s="3" t="s">
        <v>4318</v>
      </c>
      <c r="K1796" s="8" t="s">
        <v>4648</v>
      </c>
      <c r="L1796" s="9" t="s">
        <v>2772</v>
      </c>
      <c r="M1796" s="1" t="s">
        <v>2773</v>
      </c>
    </row>
    <row r="1797" spans="1:14" x14ac:dyDescent="0.3">
      <c r="A1797" s="3">
        <v>3314010</v>
      </c>
      <c r="B1797" s="4" t="s">
        <v>2750</v>
      </c>
      <c r="C1797" s="5" t="s">
        <v>2771</v>
      </c>
      <c r="D1797" s="5" t="s">
        <v>392</v>
      </c>
      <c r="E1797" s="3" t="s">
        <v>14</v>
      </c>
      <c r="F1797" s="6">
        <v>104.7</v>
      </c>
      <c r="G1797" s="6">
        <v>39.6</v>
      </c>
      <c r="H1797" s="6">
        <v>16.7</v>
      </c>
      <c r="I1797" s="7" t="s">
        <v>4316</v>
      </c>
      <c r="J1797" s="3" t="s">
        <v>4318</v>
      </c>
      <c r="K1797" s="8" t="s">
        <v>4436</v>
      </c>
      <c r="L1797" s="9" t="s">
        <v>2774</v>
      </c>
      <c r="M1797" s="1" t="s">
        <v>2775</v>
      </c>
    </row>
    <row r="1798" spans="1:14" x14ac:dyDescent="0.3">
      <c r="A1798" s="3">
        <v>3312011</v>
      </c>
      <c r="B1798" s="4" t="s">
        <v>2750</v>
      </c>
      <c r="C1798" s="5" t="s">
        <v>2776</v>
      </c>
      <c r="D1798" s="5" t="s">
        <v>2654</v>
      </c>
      <c r="E1798" s="3" t="s">
        <v>14</v>
      </c>
      <c r="F1798" s="6">
        <v>143.30000000000001</v>
      </c>
      <c r="G1798" s="6">
        <v>138.19999999999999</v>
      </c>
      <c r="H1798" s="6">
        <v>12.4</v>
      </c>
      <c r="I1798" s="7" t="s">
        <v>4316</v>
      </c>
      <c r="J1798" s="3" t="s">
        <v>4318</v>
      </c>
      <c r="K1798" s="8" t="s">
        <v>4483</v>
      </c>
      <c r="L1798" s="9" t="s">
        <v>2777</v>
      </c>
      <c r="M1798" s="24" t="s">
        <v>2778</v>
      </c>
    </row>
    <row r="1799" spans="1:14" x14ac:dyDescent="0.3">
      <c r="A1799" s="3">
        <v>3314012</v>
      </c>
      <c r="B1799" s="4" t="s">
        <v>2750</v>
      </c>
      <c r="C1799" s="5" t="s">
        <v>2776</v>
      </c>
      <c r="D1799" s="5" t="s">
        <v>2750</v>
      </c>
      <c r="E1799" s="3" t="s">
        <v>14</v>
      </c>
      <c r="F1799" s="6">
        <v>145.1</v>
      </c>
      <c r="G1799" s="6">
        <v>141.19999999999999</v>
      </c>
      <c r="H1799" s="6">
        <v>11</v>
      </c>
      <c r="I1799" s="7" t="s">
        <v>4316</v>
      </c>
      <c r="J1799" s="3" t="s">
        <v>4318</v>
      </c>
      <c r="K1799" s="8" t="s">
        <v>4406</v>
      </c>
      <c r="L1799" s="9" t="s">
        <v>2779</v>
      </c>
      <c r="M1799" s="1" t="s">
        <v>2780</v>
      </c>
    </row>
    <row r="1800" spans="1:14" x14ac:dyDescent="0.3">
      <c r="A1800" s="3">
        <v>3312013</v>
      </c>
      <c r="B1800" s="4" t="s">
        <v>2750</v>
      </c>
      <c r="C1800" s="5" t="s">
        <v>2781</v>
      </c>
      <c r="D1800" s="5" t="s">
        <v>2654</v>
      </c>
      <c r="E1800" s="3" t="s">
        <v>14</v>
      </c>
      <c r="F1800" s="6">
        <v>144.4</v>
      </c>
      <c r="G1800" s="6">
        <v>44.1</v>
      </c>
      <c r="H1800" s="6">
        <v>11.2</v>
      </c>
      <c r="I1800" s="7" t="s">
        <v>4316</v>
      </c>
      <c r="J1800" s="3" t="s">
        <v>4318</v>
      </c>
      <c r="K1800" s="8" t="s">
        <v>4368</v>
      </c>
      <c r="L1800" s="9" t="s">
        <v>2782</v>
      </c>
      <c r="M1800" s="24" t="s">
        <v>2783</v>
      </c>
    </row>
    <row r="1801" spans="1:14" x14ac:dyDescent="0.3">
      <c r="A1801" s="3">
        <v>3314014</v>
      </c>
      <c r="B1801" s="4" t="s">
        <v>2750</v>
      </c>
      <c r="C1801" s="5" t="s">
        <v>2781</v>
      </c>
      <c r="D1801" s="5" t="s">
        <v>392</v>
      </c>
      <c r="E1801" s="3" t="s">
        <v>14</v>
      </c>
      <c r="F1801" s="6">
        <v>146.4</v>
      </c>
      <c r="G1801" s="6">
        <v>74.099999999999994</v>
      </c>
      <c r="H1801" s="6">
        <v>11.7</v>
      </c>
      <c r="I1801" s="7" t="s">
        <v>4316</v>
      </c>
      <c r="J1801" s="3" t="s">
        <v>4318</v>
      </c>
      <c r="K1801" s="8" t="s">
        <v>4649</v>
      </c>
      <c r="L1801" s="9" t="s">
        <v>2784</v>
      </c>
      <c r="M1801" s="1" t="s">
        <v>2785</v>
      </c>
    </row>
    <row r="1802" spans="1:14" x14ac:dyDescent="0.3">
      <c r="A1802" s="3">
        <v>3312015</v>
      </c>
      <c r="B1802" s="4" t="s">
        <v>2750</v>
      </c>
      <c r="C1802" s="5" t="s">
        <v>2786</v>
      </c>
      <c r="D1802" s="5" t="s">
        <v>2654</v>
      </c>
      <c r="E1802" s="3" t="s">
        <v>14</v>
      </c>
      <c r="F1802" s="6">
        <v>162.9</v>
      </c>
      <c r="G1802" s="6">
        <v>51.2</v>
      </c>
      <c r="H1802" s="6">
        <v>13.7</v>
      </c>
      <c r="I1802" s="7" t="s">
        <v>4316</v>
      </c>
      <c r="J1802" s="3" t="s">
        <v>4318</v>
      </c>
      <c r="K1802" s="8" t="s">
        <v>4335</v>
      </c>
      <c r="L1802" s="9" t="s">
        <v>2787</v>
      </c>
      <c r="M1802" s="1" t="s">
        <v>2788</v>
      </c>
    </row>
    <row r="1803" spans="1:14" x14ac:dyDescent="0.3">
      <c r="A1803" s="3">
        <v>3314016</v>
      </c>
      <c r="B1803" s="4" t="s">
        <v>2750</v>
      </c>
      <c r="C1803" s="5" t="s">
        <v>2789</v>
      </c>
      <c r="D1803" s="5" t="s">
        <v>392</v>
      </c>
      <c r="E1803" s="3" t="s">
        <v>14</v>
      </c>
      <c r="F1803" s="6">
        <v>164.9</v>
      </c>
      <c r="G1803" s="6">
        <v>54.2</v>
      </c>
      <c r="H1803" s="6">
        <v>14.2</v>
      </c>
      <c r="I1803" s="7" t="s">
        <v>4316</v>
      </c>
      <c r="J1803" s="3" t="s">
        <v>4318</v>
      </c>
      <c r="K1803" s="8" t="s">
        <v>4577</v>
      </c>
      <c r="L1803" s="9" t="s">
        <v>2790</v>
      </c>
      <c r="M1803" s="1" t="s">
        <v>2791</v>
      </c>
    </row>
    <row r="1804" spans="1:14" x14ac:dyDescent="0.3">
      <c r="A1804" s="3">
        <v>3312017</v>
      </c>
      <c r="B1804" s="4" t="s">
        <v>2750</v>
      </c>
      <c r="C1804" s="5" t="s">
        <v>2792</v>
      </c>
      <c r="D1804" s="5" t="s">
        <v>2654</v>
      </c>
      <c r="E1804" s="3" t="s">
        <v>14</v>
      </c>
      <c r="F1804" s="6">
        <v>180.8</v>
      </c>
      <c r="G1804" s="6">
        <v>61.4</v>
      </c>
      <c r="H1804" s="6">
        <v>18.100000000000001</v>
      </c>
      <c r="I1804" s="7" t="s">
        <v>4316</v>
      </c>
      <c r="J1804" s="3" t="s">
        <v>4318</v>
      </c>
      <c r="K1804" s="8" t="s">
        <v>4416</v>
      </c>
      <c r="L1804" s="9" t="s">
        <v>2793</v>
      </c>
      <c r="M1804" s="1" t="s">
        <v>2794</v>
      </c>
    </row>
    <row r="1805" spans="1:14" x14ac:dyDescent="0.3">
      <c r="A1805" s="3">
        <v>3314018</v>
      </c>
      <c r="B1805" s="4" t="s">
        <v>2750</v>
      </c>
      <c r="C1805" s="5" t="s">
        <v>2792</v>
      </c>
      <c r="D1805" s="5" t="s">
        <v>392</v>
      </c>
      <c r="E1805" s="3" t="s">
        <v>14</v>
      </c>
      <c r="F1805" s="6">
        <v>182.8</v>
      </c>
      <c r="G1805" s="6">
        <v>64.400000000000006</v>
      </c>
      <c r="H1805" s="6">
        <v>18.600000000000001</v>
      </c>
      <c r="I1805" s="7" t="s">
        <v>4316</v>
      </c>
      <c r="J1805" s="3" t="s">
        <v>4318</v>
      </c>
      <c r="K1805" s="8" t="s">
        <v>4697</v>
      </c>
      <c r="L1805" s="9" t="s">
        <v>2795</v>
      </c>
      <c r="M1805" s="1" t="s">
        <v>2796</v>
      </c>
      <c r="N1805" s="9"/>
    </row>
    <row r="1806" spans="1:14" x14ac:dyDescent="0.3">
      <c r="A1806" s="3">
        <v>3312019</v>
      </c>
      <c r="B1806" s="4" t="s">
        <v>2750</v>
      </c>
      <c r="C1806" s="5" t="s">
        <v>2797</v>
      </c>
      <c r="D1806" s="5" t="s">
        <v>2654</v>
      </c>
      <c r="E1806" s="3" t="s">
        <v>14</v>
      </c>
      <c r="F1806" s="6">
        <v>180</v>
      </c>
      <c r="G1806" s="6">
        <v>45.4</v>
      </c>
      <c r="H1806" s="6">
        <v>22</v>
      </c>
      <c r="I1806" s="7" t="s">
        <v>4316</v>
      </c>
      <c r="J1806" s="3" t="s">
        <v>4318</v>
      </c>
      <c r="K1806" s="8" t="s">
        <v>4463</v>
      </c>
      <c r="L1806" s="9" t="s">
        <v>2798</v>
      </c>
      <c r="M1806" s="1" t="s">
        <v>2799</v>
      </c>
      <c r="N1806" s="9"/>
    </row>
    <row r="1807" spans="1:14" x14ac:dyDescent="0.3">
      <c r="A1807" s="3">
        <v>3314020</v>
      </c>
      <c r="B1807" s="4" t="s">
        <v>2750</v>
      </c>
      <c r="C1807" s="5" t="s">
        <v>2797</v>
      </c>
      <c r="D1807" s="5" t="s">
        <v>392</v>
      </c>
      <c r="E1807" s="3" t="s">
        <v>14</v>
      </c>
      <c r="F1807" s="6">
        <v>182</v>
      </c>
      <c r="G1807" s="6">
        <v>48.4</v>
      </c>
      <c r="H1807" s="6">
        <v>22.5</v>
      </c>
      <c r="I1807" s="7" t="s">
        <v>4316</v>
      </c>
      <c r="J1807" s="3" t="s">
        <v>4318</v>
      </c>
      <c r="K1807" s="8" t="s">
        <v>4416</v>
      </c>
      <c r="L1807" s="9" t="s">
        <v>2800</v>
      </c>
      <c r="M1807" s="1" t="s">
        <v>2801</v>
      </c>
      <c r="N1807" s="9"/>
    </row>
    <row r="1808" spans="1:14" x14ac:dyDescent="0.3">
      <c r="A1808" s="3">
        <v>3312021</v>
      </c>
      <c r="B1808" s="4" t="s">
        <v>2750</v>
      </c>
      <c r="C1808" s="5" t="s">
        <v>2802</v>
      </c>
      <c r="D1808" s="5" t="s">
        <v>2654</v>
      </c>
      <c r="E1808" s="3" t="s">
        <v>14</v>
      </c>
      <c r="F1808" s="6">
        <v>184.5</v>
      </c>
      <c r="G1808" s="6">
        <v>54.4</v>
      </c>
      <c r="H1808" s="6">
        <v>17.5</v>
      </c>
      <c r="I1808" s="7" t="s">
        <v>4316</v>
      </c>
      <c r="J1808" s="3" t="s">
        <v>4318</v>
      </c>
      <c r="K1808" s="8" t="s">
        <v>4445</v>
      </c>
      <c r="L1808" s="9" t="s">
        <v>2803</v>
      </c>
      <c r="M1808" s="1" t="s">
        <v>2804</v>
      </c>
    </row>
    <row r="1809" spans="1:13" x14ac:dyDescent="0.3">
      <c r="A1809" s="3">
        <v>3314022</v>
      </c>
      <c r="B1809" s="4" t="s">
        <v>2750</v>
      </c>
      <c r="C1809" s="5" t="s">
        <v>2802</v>
      </c>
      <c r="D1809" s="5" t="s">
        <v>392</v>
      </c>
      <c r="E1809" s="3" t="s">
        <v>14</v>
      </c>
      <c r="F1809" s="6">
        <v>186.5</v>
      </c>
      <c r="G1809" s="6">
        <v>57.4</v>
      </c>
      <c r="H1809" s="6">
        <v>18</v>
      </c>
      <c r="I1809" s="7" t="s">
        <v>4316</v>
      </c>
      <c r="J1809" s="3" t="s">
        <v>4318</v>
      </c>
      <c r="K1809" s="8" t="s">
        <v>4698</v>
      </c>
      <c r="L1809" s="9" t="s">
        <v>2805</v>
      </c>
      <c r="M1809" s="1" t="s">
        <v>2806</v>
      </c>
    </row>
    <row r="1810" spans="1:13" x14ac:dyDescent="0.3">
      <c r="A1810" s="3">
        <v>3312023</v>
      </c>
      <c r="B1810" s="4" t="s">
        <v>2750</v>
      </c>
      <c r="C1810" s="5" t="s">
        <v>2807</v>
      </c>
      <c r="D1810" s="5" t="s">
        <v>2654</v>
      </c>
      <c r="E1810" s="3" t="s">
        <v>14</v>
      </c>
      <c r="F1810" s="6">
        <v>184.8</v>
      </c>
      <c r="G1810" s="6">
        <v>162</v>
      </c>
      <c r="H1810" s="6">
        <v>31</v>
      </c>
      <c r="I1810" s="7" t="s">
        <v>4316</v>
      </c>
      <c r="J1810" s="3" t="s">
        <v>4318</v>
      </c>
      <c r="K1810" s="8" t="s">
        <v>4699</v>
      </c>
      <c r="L1810" s="9" t="s">
        <v>2808</v>
      </c>
      <c r="M1810" s="1" t="s">
        <v>2809</v>
      </c>
    </row>
    <row r="1811" spans="1:13" x14ac:dyDescent="0.3">
      <c r="A1811" s="3">
        <v>3314024</v>
      </c>
      <c r="B1811" s="4" t="s">
        <v>2750</v>
      </c>
      <c r="C1811" s="5" t="s">
        <v>2810</v>
      </c>
      <c r="D1811" s="5" t="s">
        <v>392</v>
      </c>
      <c r="E1811" s="3" t="s">
        <v>14</v>
      </c>
      <c r="F1811" s="6">
        <v>187.9</v>
      </c>
      <c r="G1811" s="6">
        <v>164</v>
      </c>
      <c r="H1811" s="6">
        <v>10</v>
      </c>
      <c r="I1811" s="7" t="s">
        <v>4316</v>
      </c>
      <c r="J1811" s="3" t="s">
        <v>4318</v>
      </c>
      <c r="K1811" s="8" t="s">
        <v>4432</v>
      </c>
      <c r="L1811" s="9" t="s">
        <v>2811</v>
      </c>
      <c r="M1811" s="1" t="s">
        <v>2812</v>
      </c>
    </row>
    <row r="1812" spans="1:13" x14ac:dyDescent="0.3">
      <c r="A1812" s="3">
        <v>3314025</v>
      </c>
      <c r="B1812" s="4" t="s">
        <v>2750</v>
      </c>
      <c r="C1812" s="5" t="s">
        <v>2813</v>
      </c>
      <c r="D1812" s="5" t="s">
        <v>392</v>
      </c>
      <c r="E1812" s="3" t="s">
        <v>14</v>
      </c>
      <c r="F1812" s="6">
        <v>234.7</v>
      </c>
      <c r="G1812" s="6">
        <v>116.3</v>
      </c>
      <c r="H1812" s="6">
        <v>12.4</v>
      </c>
      <c r="I1812" s="7" t="s">
        <v>4316</v>
      </c>
      <c r="J1812" s="3" t="s">
        <v>4318</v>
      </c>
      <c r="K1812" s="8" t="s">
        <v>4700</v>
      </c>
      <c r="L1812" s="9" t="s">
        <v>2814</v>
      </c>
      <c r="M1812" s="1" t="s">
        <v>2815</v>
      </c>
    </row>
    <row r="1813" spans="1:13" x14ac:dyDescent="0.3">
      <c r="A1813" s="3">
        <v>3317026</v>
      </c>
      <c r="B1813" s="4" t="s">
        <v>2750</v>
      </c>
      <c r="C1813" s="5" t="s">
        <v>2813</v>
      </c>
      <c r="D1813" s="5" t="s">
        <v>167</v>
      </c>
      <c r="E1813" s="3" t="s">
        <v>14</v>
      </c>
      <c r="F1813" s="6">
        <v>232.6</v>
      </c>
      <c r="G1813" s="6">
        <v>113.3</v>
      </c>
      <c r="H1813" s="6">
        <v>52.3</v>
      </c>
      <c r="I1813" s="7" t="s">
        <v>4345</v>
      </c>
      <c r="J1813" s="3" t="s">
        <v>4347</v>
      </c>
      <c r="K1813" s="8" t="s">
        <v>4619</v>
      </c>
      <c r="L1813" s="9" t="s">
        <v>2816</v>
      </c>
      <c r="M1813" s="1" t="s">
        <v>2817</v>
      </c>
    </row>
    <row r="1814" spans="1:13" x14ac:dyDescent="0.3">
      <c r="A1814" s="3">
        <v>3319027</v>
      </c>
      <c r="B1814" s="4" t="s">
        <v>2750</v>
      </c>
      <c r="C1814" s="5" t="s">
        <v>2813</v>
      </c>
      <c r="D1814" s="5" t="s">
        <v>74</v>
      </c>
      <c r="E1814" s="3" t="s">
        <v>14</v>
      </c>
      <c r="F1814" s="6">
        <v>230</v>
      </c>
      <c r="G1814" s="6">
        <v>111</v>
      </c>
      <c r="H1814" s="6">
        <v>0</v>
      </c>
      <c r="I1814" s="7" t="s">
        <v>4316</v>
      </c>
      <c r="J1814" s="3" t="s">
        <v>4318</v>
      </c>
      <c r="K1814" s="8" t="s">
        <v>4386</v>
      </c>
      <c r="L1814" s="9" t="s">
        <v>2818</v>
      </c>
      <c r="M1814" s="1" t="s">
        <v>2819</v>
      </c>
    </row>
    <row r="1815" spans="1:13" x14ac:dyDescent="0.3">
      <c r="A1815" s="3">
        <v>3312028</v>
      </c>
      <c r="B1815" s="4" t="s">
        <v>2750</v>
      </c>
      <c r="C1815" s="5" t="s">
        <v>2820</v>
      </c>
      <c r="D1815" s="5" t="s">
        <v>2654</v>
      </c>
      <c r="E1815" s="3" t="s">
        <v>14</v>
      </c>
      <c r="F1815" s="6">
        <v>75.3</v>
      </c>
      <c r="G1815" s="6">
        <v>17.5</v>
      </c>
      <c r="H1815" s="6">
        <v>6.7</v>
      </c>
      <c r="I1815" s="7" t="s">
        <v>4316</v>
      </c>
      <c r="J1815" s="3" t="s">
        <v>4318</v>
      </c>
      <c r="K1815" s="8" t="s">
        <v>4580</v>
      </c>
      <c r="L1815" s="9" t="s">
        <v>2821</v>
      </c>
      <c r="M1815" s="1" t="s">
        <v>2822</v>
      </c>
    </row>
    <row r="1816" spans="1:13" x14ac:dyDescent="0.3">
      <c r="A1816" s="3">
        <v>3314029</v>
      </c>
      <c r="B1816" s="4" t="s">
        <v>2750</v>
      </c>
      <c r="C1816" s="5" t="s">
        <v>2820</v>
      </c>
      <c r="D1816" s="5" t="s">
        <v>392</v>
      </c>
      <c r="E1816" s="3" t="s">
        <v>14</v>
      </c>
      <c r="F1816" s="6">
        <v>77.3</v>
      </c>
      <c r="G1816" s="6">
        <v>20.5</v>
      </c>
      <c r="H1816" s="6">
        <v>7.2</v>
      </c>
      <c r="I1816" s="7" t="s">
        <v>4316</v>
      </c>
      <c r="J1816" s="3" t="s">
        <v>4318</v>
      </c>
      <c r="K1816" s="8" t="s">
        <v>4431</v>
      </c>
      <c r="L1816" s="9" t="s">
        <v>2823</v>
      </c>
      <c r="M1816" s="1" t="s">
        <v>2824</v>
      </c>
    </row>
    <row r="1817" spans="1:13" x14ac:dyDescent="0.3">
      <c r="A1817" s="3">
        <v>3312030</v>
      </c>
      <c r="B1817" s="4" t="s">
        <v>2750</v>
      </c>
      <c r="C1817" s="5" t="s">
        <v>2825</v>
      </c>
      <c r="D1817" s="5" t="s">
        <v>2654</v>
      </c>
      <c r="E1817" s="3" t="s">
        <v>14</v>
      </c>
      <c r="F1817" s="6">
        <v>199.1</v>
      </c>
      <c r="G1817" s="6">
        <v>179.9</v>
      </c>
      <c r="H1817" s="6">
        <v>13.7</v>
      </c>
      <c r="I1817" s="7" t="s">
        <v>4316</v>
      </c>
      <c r="J1817" s="3" t="s">
        <v>4318</v>
      </c>
      <c r="K1817" s="8" t="s">
        <v>4701</v>
      </c>
      <c r="L1817" s="9" t="s">
        <v>2826</v>
      </c>
      <c r="M1817" s="1" t="s">
        <v>2827</v>
      </c>
    </row>
    <row r="1818" spans="1:13" x14ac:dyDescent="0.3">
      <c r="A1818" s="3">
        <v>3314031</v>
      </c>
      <c r="B1818" s="4" t="s">
        <v>2750</v>
      </c>
      <c r="C1818" s="5" t="s">
        <v>2825</v>
      </c>
      <c r="D1818" s="5" t="s">
        <v>392</v>
      </c>
      <c r="E1818" s="3" t="s">
        <v>14</v>
      </c>
      <c r="F1818" s="6">
        <v>201.1</v>
      </c>
      <c r="G1818" s="6">
        <v>182.9</v>
      </c>
      <c r="H1818" s="6">
        <v>11</v>
      </c>
      <c r="I1818" s="7" t="s">
        <v>4316</v>
      </c>
      <c r="J1818" s="3" t="s">
        <v>4318</v>
      </c>
      <c r="K1818" s="8" t="s">
        <v>4702</v>
      </c>
      <c r="L1818" s="9" t="s">
        <v>2828</v>
      </c>
      <c r="M1818" s="1" t="s">
        <v>2829</v>
      </c>
    </row>
    <row r="1819" spans="1:13" x14ac:dyDescent="0.3">
      <c r="A1819" s="3">
        <v>3312032</v>
      </c>
      <c r="B1819" s="4" t="s">
        <v>2750</v>
      </c>
      <c r="C1819" s="5" t="s">
        <v>2830</v>
      </c>
      <c r="D1819" s="5" t="s">
        <v>2654</v>
      </c>
      <c r="E1819" s="3" t="s">
        <v>14</v>
      </c>
      <c r="F1819" s="6">
        <v>167.1</v>
      </c>
      <c r="G1819" s="6">
        <v>96</v>
      </c>
      <c r="H1819" s="6">
        <v>23.9</v>
      </c>
      <c r="I1819" s="7" t="s">
        <v>4316</v>
      </c>
      <c r="J1819" s="3" t="s">
        <v>4318</v>
      </c>
      <c r="K1819" s="8" t="s">
        <v>4334</v>
      </c>
      <c r="L1819" s="9" t="s">
        <v>2831</v>
      </c>
      <c r="M1819" s="1" t="s">
        <v>2832</v>
      </c>
    </row>
    <row r="1820" spans="1:13" x14ac:dyDescent="0.3">
      <c r="A1820" s="3">
        <v>3314033</v>
      </c>
      <c r="B1820" s="4" t="s">
        <v>2750</v>
      </c>
      <c r="C1820" s="5" t="s">
        <v>2830</v>
      </c>
      <c r="D1820" s="5" t="s">
        <v>392</v>
      </c>
      <c r="E1820" s="3" t="s">
        <v>14</v>
      </c>
      <c r="F1820" s="6">
        <v>169.1</v>
      </c>
      <c r="G1820" s="6">
        <v>99</v>
      </c>
      <c r="H1820" s="6">
        <v>11</v>
      </c>
      <c r="I1820" s="7" t="s">
        <v>4316</v>
      </c>
      <c r="J1820" s="3" t="s">
        <v>4318</v>
      </c>
      <c r="K1820" s="8" t="s">
        <v>4662</v>
      </c>
      <c r="L1820" s="9" t="s">
        <v>2833</v>
      </c>
      <c r="M1820" s="1" t="s">
        <v>2834</v>
      </c>
    </row>
    <row r="1821" spans="1:13" x14ac:dyDescent="0.3">
      <c r="A1821" s="3">
        <v>3312034</v>
      </c>
      <c r="B1821" s="4" t="s">
        <v>2750</v>
      </c>
      <c r="C1821" s="5" t="s">
        <v>2835</v>
      </c>
      <c r="D1821" s="5" t="s">
        <v>2654</v>
      </c>
      <c r="E1821" s="3" t="s">
        <v>14</v>
      </c>
      <c r="F1821" s="6">
        <v>179.3</v>
      </c>
      <c r="G1821" s="6">
        <v>43.4</v>
      </c>
      <c r="H1821" s="6">
        <v>20.100000000000001</v>
      </c>
      <c r="I1821" s="7" t="s">
        <v>4316</v>
      </c>
      <c r="J1821" s="3" t="s">
        <v>4318</v>
      </c>
      <c r="K1821" s="8" t="s">
        <v>4656</v>
      </c>
      <c r="L1821" s="9" t="s">
        <v>2836</v>
      </c>
      <c r="M1821" s="1" t="s">
        <v>2837</v>
      </c>
    </row>
    <row r="1822" spans="1:13" x14ac:dyDescent="0.3">
      <c r="A1822" s="3">
        <v>3314035</v>
      </c>
      <c r="B1822" s="4" t="s">
        <v>2750</v>
      </c>
      <c r="C1822" s="5" t="s">
        <v>2835</v>
      </c>
      <c r="D1822" s="5" t="s">
        <v>392</v>
      </c>
      <c r="E1822" s="3" t="s">
        <v>14</v>
      </c>
      <c r="F1822" s="6">
        <v>181.3</v>
      </c>
      <c r="G1822" s="6">
        <v>46.2</v>
      </c>
      <c r="H1822" s="6">
        <v>20.6</v>
      </c>
      <c r="I1822" s="7" t="s">
        <v>4316</v>
      </c>
      <c r="J1822" s="3" t="s">
        <v>4318</v>
      </c>
      <c r="K1822" s="8" t="s">
        <v>4703</v>
      </c>
      <c r="L1822" s="9" t="s">
        <v>2838</v>
      </c>
      <c r="M1822" s="1" t="s">
        <v>2839</v>
      </c>
    </row>
    <row r="1823" spans="1:13" x14ac:dyDescent="0.3">
      <c r="A1823" s="3">
        <v>3312036</v>
      </c>
      <c r="B1823" s="4" t="s">
        <v>2750</v>
      </c>
      <c r="C1823" s="5" t="s">
        <v>2840</v>
      </c>
      <c r="D1823" s="5" t="s">
        <v>2654</v>
      </c>
      <c r="E1823" s="3" t="s">
        <v>14</v>
      </c>
      <c r="F1823" s="6">
        <v>183.8</v>
      </c>
      <c r="G1823" s="6">
        <v>161</v>
      </c>
      <c r="H1823" s="6">
        <v>61.5</v>
      </c>
      <c r="I1823" s="7" t="s">
        <v>4316</v>
      </c>
      <c r="J1823" s="3" t="s">
        <v>4318</v>
      </c>
      <c r="K1823" s="8" t="s">
        <v>4704</v>
      </c>
      <c r="L1823" s="9" t="s">
        <v>2841</v>
      </c>
      <c r="M1823" s="1" t="s">
        <v>2842</v>
      </c>
    </row>
    <row r="1824" spans="1:13" x14ac:dyDescent="0.3">
      <c r="A1824" s="3">
        <v>3314037</v>
      </c>
      <c r="B1824" s="4" t="s">
        <v>2750</v>
      </c>
      <c r="C1824" s="5" t="s">
        <v>2840</v>
      </c>
      <c r="D1824" s="5" t="s">
        <v>392</v>
      </c>
      <c r="E1824" s="3" t="s">
        <v>14</v>
      </c>
      <c r="F1824" s="6">
        <v>167.1</v>
      </c>
      <c r="G1824" s="6">
        <v>139.19999999999999</v>
      </c>
      <c r="H1824" s="6">
        <v>23.9</v>
      </c>
      <c r="I1824" s="7" t="s">
        <v>4316</v>
      </c>
      <c r="J1824" s="3" t="s">
        <v>4318</v>
      </c>
      <c r="K1824" s="8" t="s">
        <v>4705</v>
      </c>
      <c r="L1824" s="9" t="s">
        <v>2843</v>
      </c>
      <c r="M1824" s="1" t="s">
        <v>2844</v>
      </c>
    </row>
    <row r="1825" spans="1:13" x14ac:dyDescent="0.3">
      <c r="A1825" s="3">
        <v>3312038</v>
      </c>
      <c r="B1825" s="4" t="s">
        <v>2750</v>
      </c>
      <c r="C1825" s="5" t="s">
        <v>2845</v>
      </c>
      <c r="D1825" s="5" t="s">
        <v>2654</v>
      </c>
      <c r="E1825" s="3" t="s">
        <v>14</v>
      </c>
      <c r="F1825" s="6">
        <v>186.4</v>
      </c>
      <c r="G1825" s="6">
        <v>163</v>
      </c>
      <c r="H1825" s="6">
        <v>11</v>
      </c>
      <c r="I1825" s="7" t="s">
        <v>4316</v>
      </c>
      <c r="J1825" s="3" t="s">
        <v>4318</v>
      </c>
      <c r="K1825" s="8" t="s">
        <v>4394</v>
      </c>
      <c r="L1825" s="9" t="s">
        <v>2846</v>
      </c>
      <c r="M1825" s="1" t="s">
        <v>2847</v>
      </c>
    </row>
    <row r="1826" spans="1:13" x14ac:dyDescent="0.3">
      <c r="A1826" s="3">
        <v>3314039</v>
      </c>
      <c r="B1826" s="4" t="s">
        <v>2750</v>
      </c>
      <c r="C1826" s="5" t="s">
        <v>2848</v>
      </c>
      <c r="D1826" s="5" t="s">
        <v>392</v>
      </c>
      <c r="E1826" s="3" t="s">
        <v>14</v>
      </c>
      <c r="F1826" s="6">
        <v>169.1</v>
      </c>
      <c r="G1826" s="6">
        <v>142.19999999999999</v>
      </c>
      <c r="H1826" s="6">
        <v>24.4</v>
      </c>
      <c r="I1826" s="7" t="s">
        <v>4316</v>
      </c>
      <c r="J1826" s="3" t="s">
        <v>4318</v>
      </c>
      <c r="K1826" s="8" t="s">
        <v>4706</v>
      </c>
      <c r="L1826" s="9" t="s">
        <v>2849</v>
      </c>
      <c r="M1826" s="1" t="s">
        <v>2850</v>
      </c>
    </row>
    <row r="1827" spans="1:13" x14ac:dyDescent="0.3">
      <c r="A1827" s="3">
        <v>3312040</v>
      </c>
      <c r="B1827" s="4" t="s">
        <v>2750</v>
      </c>
      <c r="C1827" s="5" t="s">
        <v>2851</v>
      </c>
      <c r="D1827" s="5" t="s">
        <v>2654</v>
      </c>
      <c r="E1827" s="3" t="s">
        <v>14</v>
      </c>
      <c r="F1827" s="6">
        <v>166.7</v>
      </c>
      <c r="G1827" s="6">
        <v>121.6</v>
      </c>
      <c r="H1827" s="6">
        <v>22.6</v>
      </c>
      <c r="I1827" s="7" t="s">
        <v>4316</v>
      </c>
      <c r="J1827" s="3" t="s">
        <v>4318</v>
      </c>
      <c r="K1827" s="8" t="s">
        <v>4707</v>
      </c>
      <c r="L1827" s="9" t="s">
        <v>2852</v>
      </c>
      <c r="M1827" s="1" t="s">
        <v>2853</v>
      </c>
    </row>
    <row r="1828" spans="1:13" x14ac:dyDescent="0.3">
      <c r="A1828" s="3">
        <v>3314041</v>
      </c>
      <c r="B1828" s="4" t="s">
        <v>2750</v>
      </c>
      <c r="C1828" s="5" t="s">
        <v>2851</v>
      </c>
      <c r="D1828" s="5" t="s">
        <v>392</v>
      </c>
      <c r="E1828" s="3" t="s">
        <v>14</v>
      </c>
      <c r="F1828" s="6">
        <v>168.7</v>
      </c>
      <c r="G1828" s="6">
        <v>124.7</v>
      </c>
      <c r="H1828" s="6">
        <v>11</v>
      </c>
      <c r="I1828" s="7" t="s">
        <v>4316</v>
      </c>
      <c r="J1828" s="3" t="s">
        <v>4318</v>
      </c>
      <c r="K1828" s="8" t="s">
        <v>4708</v>
      </c>
      <c r="L1828" s="9" t="s">
        <v>2854</v>
      </c>
      <c r="M1828" s="1" t="s">
        <v>2855</v>
      </c>
    </row>
    <row r="1829" spans="1:13" x14ac:dyDescent="0.3">
      <c r="A1829" s="3">
        <v>3312042</v>
      </c>
      <c r="B1829" s="4" t="s">
        <v>2750</v>
      </c>
      <c r="C1829" s="5" t="s">
        <v>2856</v>
      </c>
      <c r="D1829" s="5" t="s">
        <v>2654</v>
      </c>
      <c r="E1829" s="3" t="s">
        <v>14</v>
      </c>
      <c r="F1829" s="6">
        <v>183.8</v>
      </c>
      <c r="G1829" s="6">
        <v>131.80000000000001</v>
      </c>
      <c r="H1829" s="6">
        <v>31.5</v>
      </c>
      <c r="I1829" s="7" t="s">
        <v>4316</v>
      </c>
      <c r="J1829" s="3" t="s">
        <v>4318</v>
      </c>
      <c r="K1829" s="8" t="s">
        <v>4709</v>
      </c>
      <c r="L1829" s="9" t="s">
        <v>2857</v>
      </c>
      <c r="M1829" s="1" t="s">
        <v>2858</v>
      </c>
    </row>
    <row r="1830" spans="1:13" x14ac:dyDescent="0.3">
      <c r="A1830" s="3">
        <v>3314043</v>
      </c>
      <c r="B1830" s="4" t="s">
        <v>2750</v>
      </c>
      <c r="C1830" s="5" t="s">
        <v>2856</v>
      </c>
      <c r="D1830" s="5" t="s">
        <v>392</v>
      </c>
      <c r="E1830" s="3" t="s">
        <v>14</v>
      </c>
      <c r="F1830" s="6">
        <v>186.4</v>
      </c>
      <c r="G1830" s="6">
        <v>133.80000000000001</v>
      </c>
      <c r="H1830" s="6">
        <v>11</v>
      </c>
      <c r="I1830" s="7" t="s">
        <v>4316</v>
      </c>
      <c r="J1830" s="3" t="s">
        <v>4318</v>
      </c>
      <c r="K1830" s="8" t="s">
        <v>4418</v>
      </c>
      <c r="L1830" s="9" t="s">
        <v>2859</v>
      </c>
      <c r="M1830" s="1" t="s">
        <v>2860</v>
      </c>
    </row>
    <row r="1831" spans="1:13" x14ac:dyDescent="0.3">
      <c r="A1831" s="3">
        <v>3312044</v>
      </c>
      <c r="B1831" s="4" t="s">
        <v>2750</v>
      </c>
      <c r="C1831" s="5" t="s">
        <v>2861</v>
      </c>
      <c r="D1831" s="5" t="s">
        <v>2654</v>
      </c>
      <c r="E1831" s="3" t="s">
        <v>14</v>
      </c>
      <c r="F1831" s="6">
        <v>171.2</v>
      </c>
      <c r="G1831" s="6">
        <v>150.9</v>
      </c>
      <c r="H1831" s="6">
        <v>13.7</v>
      </c>
      <c r="I1831" s="7" t="s">
        <v>4316</v>
      </c>
      <c r="J1831" s="3" t="s">
        <v>4318</v>
      </c>
      <c r="K1831" s="8" t="s">
        <v>4508</v>
      </c>
      <c r="L1831" s="9" t="s">
        <v>2862</v>
      </c>
      <c r="M1831" s="1" t="s">
        <v>2863</v>
      </c>
    </row>
    <row r="1832" spans="1:13" x14ac:dyDescent="0.3">
      <c r="A1832" s="3">
        <v>3314045</v>
      </c>
      <c r="B1832" s="4" t="s">
        <v>2750</v>
      </c>
      <c r="C1832" s="5" t="s">
        <v>2861</v>
      </c>
      <c r="D1832" s="5" t="s">
        <v>392</v>
      </c>
      <c r="E1832" s="3" t="s">
        <v>14</v>
      </c>
      <c r="F1832" s="6">
        <v>173.7</v>
      </c>
      <c r="G1832" s="6">
        <v>152.9</v>
      </c>
      <c r="H1832" s="6">
        <v>14.2</v>
      </c>
      <c r="I1832" s="7" t="s">
        <v>4316</v>
      </c>
      <c r="J1832" s="3" t="s">
        <v>4318</v>
      </c>
      <c r="K1832" s="8" t="s">
        <v>4700</v>
      </c>
      <c r="L1832" s="9" t="s">
        <v>2864</v>
      </c>
      <c r="M1832" s="1" t="s">
        <v>2865</v>
      </c>
    </row>
    <row r="1833" spans="1:13" x14ac:dyDescent="0.3">
      <c r="A1833" s="3">
        <v>3312046</v>
      </c>
      <c r="B1833" s="4" t="s">
        <v>2750</v>
      </c>
      <c r="C1833" s="5" t="s">
        <v>2866</v>
      </c>
      <c r="D1833" s="5" t="s">
        <v>2654</v>
      </c>
      <c r="E1833" s="3" t="s">
        <v>14</v>
      </c>
      <c r="F1833" s="6">
        <v>160.9</v>
      </c>
      <c r="G1833" s="6">
        <v>48.5</v>
      </c>
      <c r="H1833" s="6">
        <v>20.100000000000001</v>
      </c>
      <c r="I1833" s="7" t="s">
        <v>4316</v>
      </c>
      <c r="J1833" s="3" t="s">
        <v>4318</v>
      </c>
      <c r="K1833" s="8" t="s">
        <v>4572</v>
      </c>
      <c r="L1833" s="9" t="s">
        <v>2867</v>
      </c>
      <c r="M1833" s="1" t="s">
        <v>2868</v>
      </c>
    </row>
    <row r="1834" spans="1:13" x14ac:dyDescent="0.3">
      <c r="A1834" s="3">
        <v>3314047</v>
      </c>
      <c r="B1834" s="4" t="s">
        <v>2750</v>
      </c>
      <c r="C1834" s="5" t="s">
        <v>2866</v>
      </c>
      <c r="D1834" s="5" t="s">
        <v>392</v>
      </c>
      <c r="E1834" s="3" t="s">
        <v>14</v>
      </c>
      <c r="F1834" s="6">
        <v>162.9</v>
      </c>
      <c r="G1834" s="6">
        <v>51.5</v>
      </c>
      <c r="H1834" s="6">
        <v>20.6</v>
      </c>
      <c r="I1834" s="7" t="s">
        <v>4316</v>
      </c>
      <c r="J1834" s="3" t="s">
        <v>4318</v>
      </c>
      <c r="K1834" s="8" t="s">
        <v>4710</v>
      </c>
      <c r="L1834" s="9" t="s">
        <v>2869</v>
      </c>
      <c r="M1834" s="1" t="s">
        <v>2870</v>
      </c>
    </row>
    <row r="1835" spans="1:13" x14ac:dyDescent="0.3">
      <c r="A1835" s="3">
        <v>3312048</v>
      </c>
      <c r="B1835" s="4" t="s">
        <v>2750</v>
      </c>
      <c r="C1835" s="5" t="s">
        <v>2871</v>
      </c>
      <c r="D1835" s="5" t="s">
        <v>2654</v>
      </c>
      <c r="E1835" s="3" t="s">
        <v>14</v>
      </c>
      <c r="F1835" s="6">
        <v>125.4</v>
      </c>
      <c r="G1835" s="6">
        <v>39.700000000000003</v>
      </c>
      <c r="H1835" s="6">
        <v>22.6</v>
      </c>
      <c r="I1835" s="7" t="s">
        <v>4316</v>
      </c>
      <c r="J1835" s="3" t="s">
        <v>4318</v>
      </c>
      <c r="K1835" s="8" t="s">
        <v>4588</v>
      </c>
      <c r="L1835" s="9" t="s">
        <v>2872</v>
      </c>
      <c r="M1835" s="1" t="s">
        <v>2873</v>
      </c>
    </row>
    <row r="1836" spans="1:13" x14ac:dyDescent="0.3">
      <c r="A1836" s="3">
        <v>3314049</v>
      </c>
      <c r="B1836" s="4" t="s">
        <v>2750</v>
      </c>
      <c r="C1836" s="5" t="s">
        <v>2871</v>
      </c>
      <c r="D1836" s="5" t="s">
        <v>392</v>
      </c>
      <c r="E1836" s="3" t="s">
        <v>14</v>
      </c>
      <c r="F1836" s="6">
        <v>127.4</v>
      </c>
      <c r="G1836" s="6">
        <v>42.7</v>
      </c>
      <c r="H1836" s="6">
        <v>23.1</v>
      </c>
      <c r="I1836" s="7" t="s">
        <v>4316</v>
      </c>
      <c r="J1836" s="3" t="s">
        <v>4318</v>
      </c>
      <c r="K1836" s="8" t="s">
        <v>4604</v>
      </c>
      <c r="L1836" s="9" t="s">
        <v>2874</v>
      </c>
      <c r="M1836" s="1" t="s">
        <v>2875</v>
      </c>
    </row>
    <row r="1837" spans="1:13" x14ac:dyDescent="0.3">
      <c r="A1837" s="3">
        <v>3312050</v>
      </c>
      <c r="B1837" s="4" t="s">
        <v>2750</v>
      </c>
      <c r="C1837" s="5" t="s">
        <v>2876</v>
      </c>
      <c r="D1837" s="5" t="s">
        <v>2654</v>
      </c>
      <c r="E1837" s="3" t="s">
        <v>14</v>
      </c>
      <c r="F1837" s="6">
        <v>191.5</v>
      </c>
      <c r="G1837" s="6">
        <v>183</v>
      </c>
      <c r="H1837" s="6">
        <v>31.5</v>
      </c>
      <c r="I1837" s="7" t="s">
        <v>4316</v>
      </c>
      <c r="J1837" s="3" t="s">
        <v>4318</v>
      </c>
      <c r="K1837" s="8" t="s">
        <v>4711</v>
      </c>
      <c r="L1837" s="9" t="s">
        <v>2877</v>
      </c>
      <c r="M1837" s="1" t="s">
        <v>2878</v>
      </c>
    </row>
    <row r="1838" spans="1:13" x14ac:dyDescent="0.3">
      <c r="A1838" s="3">
        <v>3314051</v>
      </c>
      <c r="B1838" s="4" t="s">
        <v>2750</v>
      </c>
      <c r="C1838" s="5" t="s">
        <v>2876</v>
      </c>
      <c r="D1838" s="5" t="s">
        <v>392</v>
      </c>
      <c r="E1838" s="3" t="s">
        <v>14</v>
      </c>
      <c r="F1838" s="6">
        <v>194</v>
      </c>
      <c r="G1838" s="6">
        <v>185</v>
      </c>
      <c r="H1838" s="6">
        <v>11</v>
      </c>
      <c r="I1838" s="7" t="s">
        <v>4316</v>
      </c>
      <c r="J1838" s="3" t="s">
        <v>4318</v>
      </c>
      <c r="K1838" s="8" t="s">
        <v>4712</v>
      </c>
      <c r="L1838" s="9" t="s">
        <v>2879</v>
      </c>
      <c r="M1838" s="1" t="s">
        <v>2880</v>
      </c>
    </row>
    <row r="1839" spans="1:13" x14ac:dyDescent="0.3">
      <c r="A1839" s="3">
        <v>3316052</v>
      </c>
      <c r="B1839" s="4" t="s">
        <v>2750</v>
      </c>
      <c r="C1839" s="5" t="s">
        <v>2881</v>
      </c>
      <c r="D1839" s="5" t="s">
        <v>235</v>
      </c>
      <c r="E1839" s="3" t="s">
        <v>14</v>
      </c>
      <c r="F1839" s="6">
        <v>213</v>
      </c>
      <c r="G1839" s="6">
        <v>78</v>
      </c>
      <c r="H1839" s="6">
        <v>93</v>
      </c>
      <c r="I1839" s="7" t="s">
        <v>4343</v>
      </c>
      <c r="J1839" s="3" t="s">
        <v>4346</v>
      </c>
      <c r="K1839" s="8" t="s">
        <v>4713</v>
      </c>
      <c r="L1839" s="9" t="s">
        <v>2882</v>
      </c>
      <c r="M1839" s="1" t="s">
        <v>2883</v>
      </c>
    </row>
    <row r="1840" spans="1:13" x14ac:dyDescent="0.3">
      <c r="A1840" s="3">
        <v>3314053</v>
      </c>
      <c r="B1840" s="4" t="s">
        <v>2750</v>
      </c>
      <c r="C1840" s="5" t="s">
        <v>2884</v>
      </c>
      <c r="D1840" s="5" t="s">
        <v>392</v>
      </c>
      <c r="E1840" s="3" t="s">
        <v>14</v>
      </c>
      <c r="F1840" s="6">
        <v>215</v>
      </c>
      <c r="G1840" s="6">
        <v>81</v>
      </c>
      <c r="H1840" s="6">
        <v>13</v>
      </c>
      <c r="I1840" s="7" t="s">
        <v>4316</v>
      </c>
      <c r="J1840" s="3" t="s">
        <v>4318</v>
      </c>
      <c r="K1840" s="8" t="s">
        <v>4714</v>
      </c>
      <c r="L1840" s="9" t="s">
        <v>2885</v>
      </c>
      <c r="M1840" s="1" t="s">
        <v>2886</v>
      </c>
    </row>
    <row r="1841" spans="1:13" x14ac:dyDescent="0.3">
      <c r="A1841" s="3">
        <v>3317054</v>
      </c>
      <c r="B1841" s="4" t="s">
        <v>2750</v>
      </c>
      <c r="C1841" s="5" t="s">
        <v>2887</v>
      </c>
      <c r="D1841" s="5" t="s">
        <v>167</v>
      </c>
      <c r="E1841" s="3" t="s">
        <v>14</v>
      </c>
      <c r="F1841" s="6">
        <v>136.69999999999999</v>
      </c>
      <c r="G1841" s="6">
        <v>111.3</v>
      </c>
      <c r="H1841" s="6">
        <v>64.5</v>
      </c>
      <c r="I1841" s="7" t="s">
        <v>4316</v>
      </c>
      <c r="J1841" s="3" t="s">
        <v>4318</v>
      </c>
      <c r="K1841" s="8" t="s">
        <v>4621</v>
      </c>
      <c r="L1841" s="9" t="s">
        <v>2888</v>
      </c>
      <c r="M1841" s="1" t="s">
        <v>2889</v>
      </c>
    </row>
    <row r="1842" spans="1:13" x14ac:dyDescent="0.3">
      <c r="A1842" s="3">
        <v>3319055</v>
      </c>
      <c r="B1842" s="4" t="s">
        <v>2750</v>
      </c>
      <c r="C1842" s="5" t="s">
        <v>2887</v>
      </c>
      <c r="D1842" s="5" t="s">
        <v>74</v>
      </c>
      <c r="E1842" s="3" t="s">
        <v>14</v>
      </c>
      <c r="F1842" s="6">
        <v>133.69999999999999</v>
      </c>
      <c r="G1842" s="6">
        <v>108.3</v>
      </c>
      <c r="H1842" s="6">
        <v>0</v>
      </c>
      <c r="I1842" s="7" t="s">
        <v>4316</v>
      </c>
      <c r="J1842" s="3" t="s">
        <v>4318</v>
      </c>
      <c r="K1842" s="8" t="s">
        <v>4588</v>
      </c>
      <c r="L1842" s="9" t="s">
        <v>2890</v>
      </c>
      <c r="M1842" s="1" t="s">
        <v>2891</v>
      </c>
    </row>
    <row r="1843" spans="1:13" x14ac:dyDescent="0.3">
      <c r="A1843" s="3">
        <v>3314056</v>
      </c>
      <c r="B1843" s="4" t="s">
        <v>2750</v>
      </c>
      <c r="C1843" s="5" t="s">
        <v>2887</v>
      </c>
      <c r="D1843" s="5" t="s">
        <v>392</v>
      </c>
      <c r="E1843" s="3" t="s">
        <v>14</v>
      </c>
      <c r="F1843" s="6">
        <v>138.19999999999999</v>
      </c>
      <c r="G1843" s="6">
        <v>112.8</v>
      </c>
      <c r="H1843" s="6">
        <v>13</v>
      </c>
      <c r="I1843" s="7" t="s">
        <v>4316</v>
      </c>
      <c r="J1843" s="3" t="s">
        <v>4318</v>
      </c>
      <c r="K1843" s="8" t="s">
        <v>4499</v>
      </c>
      <c r="L1843" s="9" t="s">
        <v>2892</v>
      </c>
      <c r="M1843" s="1" t="s">
        <v>2893</v>
      </c>
    </row>
    <row r="1844" spans="1:13" x14ac:dyDescent="0.3">
      <c r="A1844" s="3">
        <v>3317057</v>
      </c>
      <c r="B1844" s="4" t="s">
        <v>2750</v>
      </c>
      <c r="C1844" s="5" t="s">
        <v>2894</v>
      </c>
      <c r="D1844" s="5" t="s">
        <v>167</v>
      </c>
      <c r="E1844" s="3" t="s">
        <v>14</v>
      </c>
      <c r="F1844" s="6">
        <v>121.4</v>
      </c>
      <c r="G1844" s="6">
        <v>101.2</v>
      </c>
      <c r="H1844" s="6">
        <v>69</v>
      </c>
      <c r="I1844" s="7" t="s">
        <v>4316</v>
      </c>
      <c r="J1844" s="3" t="s">
        <v>4318</v>
      </c>
      <c r="K1844" s="8" t="s">
        <v>4455</v>
      </c>
      <c r="L1844" s="9" t="s">
        <v>2895</v>
      </c>
      <c r="M1844" s="1" t="s">
        <v>2896</v>
      </c>
    </row>
    <row r="1845" spans="1:13" x14ac:dyDescent="0.3">
      <c r="A1845" s="3">
        <v>3319058</v>
      </c>
      <c r="B1845" s="4" t="s">
        <v>2750</v>
      </c>
      <c r="C1845" s="5" t="s">
        <v>2894</v>
      </c>
      <c r="D1845" s="5" t="s">
        <v>74</v>
      </c>
      <c r="E1845" s="3" t="s">
        <v>14</v>
      </c>
      <c r="F1845" s="6">
        <v>120</v>
      </c>
      <c r="G1845" s="6">
        <v>100</v>
      </c>
      <c r="H1845" s="6">
        <v>0</v>
      </c>
      <c r="I1845" s="7" t="s">
        <v>4316</v>
      </c>
      <c r="J1845" s="3" t="s">
        <v>4318</v>
      </c>
      <c r="K1845" s="8" t="s">
        <v>4494</v>
      </c>
      <c r="L1845" s="9" t="s">
        <v>2897</v>
      </c>
      <c r="M1845" s="1" t="s">
        <v>2898</v>
      </c>
    </row>
    <row r="1846" spans="1:13" x14ac:dyDescent="0.3">
      <c r="A1846" s="3">
        <v>3314059</v>
      </c>
      <c r="B1846" s="4" t="s">
        <v>2750</v>
      </c>
      <c r="C1846" s="5" t="s">
        <v>2894</v>
      </c>
      <c r="D1846" s="5" t="s">
        <v>392</v>
      </c>
      <c r="E1846" s="3" t="s">
        <v>14</v>
      </c>
      <c r="F1846" s="6">
        <v>123.5</v>
      </c>
      <c r="G1846" s="6">
        <v>104</v>
      </c>
      <c r="H1846" s="6">
        <v>15</v>
      </c>
      <c r="I1846" s="7" t="s">
        <v>4316</v>
      </c>
      <c r="J1846" s="3" t="s">
        <v>4318</v>
      </c>
      <c r="K1846" s="8" t="s">
        <v>4516</v>
      </c>
      <c r="L1846" s="9" t="s">
        <v>2899</v>
      </c>
      <c r="M1846" s="1" t="s">
        <v>2900</v>
      </c>
    </row>
    <row r="1847" spans="1:13" x14ac:dyDescent="0.3">
      <c r="A1847" s="3">
        <v>3317060</v>
      </c>
      <c r="B1847" s="4" t="s">
        <v>2750</v>
      </c>
      <c r="C1847" s="5" t="s">
        <v>2901</v>
      </c>
      <c r="D1847" s="5" t="s">
        <v>167</v>
      </c>
      <c r="E1847" s="3" t="s">
        <v>14</v>
      </c>
      <c r="F1847" s="6">
        <v>195.5</v>
      </c>
      <c r="G1847" s="6">
        <v>120</v>
      </c>
      <c r="H1847" s="6">
        <v>53.3</v>
      </c>
      <c r="I1847" s="7" t="s">
        <v>4316</v>
      </c>
      <c r="J1847" s="3" t="s">
        <v>4318</v>
      </c>
      <c r="K1847" s="8" t="s">
        <v>4701</v>
      </c>
      <c r="L1847" s="9" t="s">
        <v>2902</v>
      </c>
      <c r="M1847" s="1" t="s">
        <v>2903</v>
      </c>
    </row>
    <row r="1848" spans="1:13" x14ac:dyDescent="0.3">
      <c r="A1848" s="3">
        <v>3319061</v>
      </c>
      <c r="B1848" s="4" t="s">
        <v>2750</v>
      </c>
      <c r="C1848" s="5" t="s">
        <v>2901</v>
      </c>
      <c r="D1848" s="5" t="s">
        <v>74</v>
      </c>
      <c r="E1848" s="3" t="s">
        <v>14</v>
      </c>
      <c r="F1848" s="6">
        <v>194</v>
      </c>
      <c r="G1848" s="6">
        <v>119</v>
      </c>
      <c r="H1848" s="6">
        <v>0</v>
      </c>
      <c r="I1848" s="7" t="s">
        <v>4316</v>
      </c>
      <c r="J1848" s="3" t="s">
        <v>4318</v>
      </c>
      <c r="K1848" s="8" t="s">
        <v>4662</v>
      </c>
      <c r="L1848" s="9" t="s">
        <v>2904</v>
      </c>
      <c r="M1848" s="1" t="s">
        <v>2905</v>
      </c>
    </row>
    <row r="1849" spans="1:13" x14ac:dyDescent="0.3">
      <c r="A1849" s="3">
        <v>3314062</v>
      </c>
      <c r="B1849" s="4" t="s">
        <v>2750</v>
      </c>
      <c r="C1849" s="5" t="s">
        <v>2901</v>
      </c>
      <c r="D1849" s="5" t="s">
        <v>392</v>
      </c>
      <c r="E1849" s="3" t="s">
        <v>14</v>
      </c>
      <c r="F1849" s="6">
        <v>195</v>
      </c>
      <c r="G1849" s="6">
        <v>119.5</v>
      </c>
      <c r="H1849" s="6">
        <v>10.5</v>
      </c>
      <c r="I1849" s="7" t="s">
        <v>4316</v>
      </c>
      <c r="J1849" s="3" t="s">
        <v>4318</v>
      </c>
      <c r="K1849" s="8" t="s">
        <v>4715</v>
      </c>
      <c r="L1849" s="9" t="s">
        <v>2906</v>
      </c>
      <c r="M1849" s="1" t="s">
        <v>2907</v>
      </c>
    </row>
    <row r="1850" spans="1:13" x14ac:dyDescent="0.3">
      <c r="A1850" s="3">
        <v>3314063</v>
      </c>
      <c r="B1850" s="4" t="s">
        <v>2750</v>
      </c>
      <c r="C1850" s="5" t="s">
        <v>2908</v>
      </c>
      <c r="D1850" s="5" t="s">
        <v>392</v>
      </c>
      <c r="E1850" s="3" t="s">
        <v>14</v>
      </c>
      <c r="F1850" s="6">
        <v>60.5</v>
      </c>
      <c r="G1850" s="6">
        <v>48.5</v>
      </c>
      <c r="H1850" s="6">
        <v>5.5</v>
      </c>
      <c r="I1850" s="7" t="s">
        <v>4315</v>
      </c>
      <c r="J1850" s="3" t="s">
        <v>4317</v>
      </c>
      <c r="K1850" s="8" t="s">
        <v>4442</v>
      </c>
      <c r="L1850" s="9" t="s">
        <v>2909</v>
      </c>
      <c r="M1850" s="1" t="s">
        <v>2910</v>
      </c>
    </row>
    <row r="1851" spans="1:13" x14ac:dyDescent="0.3">
      <c r="A1851" s="3">
        <v>3315064</v>
      </c>
      <c r="B1851" s="4" t="s">
        <v>2750</v>
      </c>
      <c r="C1851" s="5" t="s">
        <v>2911</v>
      </c>
      <c r="D1851" s="5" t="s">
        <v>78</v>
      </c>
      <c r="E1851" s="3" t="s">
        <v>14</v>
      </c>
      <c r="F1851" s="6">
        <v>110</v>
      </c>
      <c r="G1851" s="6">
        <v>13</v>
      </c>
      <c r="H1851" s="6">
        <v>88</v>
      </c>
      <c r="I1851" s="7" t="s">
        <v>4510</v>
      </c>
      <c r="J1851" s="3" t="s">
        <v>4318</v>
      </c>
      <c r="K1851" s="8" t="s">
        <v>4338</v>
      </c>
      <c r="L1851" s="9" t="s">
        <v>2912</v>
      </c>
      <c r="M1851" s="1" t="s">
        <v>2913</v>
      </c>
    </row>
    <row r="1852" spans="1:13" x14ac:dyDescent="0.3">
      <c r="A1852" s="3">
        <v>3331065</v>
      </c>
      <c r="B1852" s="4" t="s">
        <v>2750</v>
      </c>
      <c r="C1852" s="5" t="s">
        <v>2911</v>
      </c>
      <c r="D1852" s="5" t="s">
        <v>2914</v>
      </c>
      <c r="E1852" s="3" t="s">
        <v>14</v>
      </c>
      <c r="F1852" s="6">
        <v>36.6</v>
      </c>
      <c r="G1852" s="6">
        <v>5.0999999999999996</v>
      </c>
      <c r="H1852" s="6">
        <v>0</v>
      </c>
      <c r="I1852" s="7" t="s">
        <v>14</v>
      </c>
      <c r="J1852" s="3" t="s">
        <v>14</v>
      </c>
      <c r="K1852" s="8" t="s">
        <v>4605</v>
      </c>
      <c r="L1852" s="9" t="s">
        <v>2915</v>
      </c>
      <c r="M1852" s="1" t="s">
        <v>2916</v>
      </c>
    </row>
    <row r="1853" spans="1:13" x14ac:dyDescent="0.3">
      <c r="A1853" s="3">
        <v>3314066</v>
      </c>
      <c r="B1853" s="4" t="s">
        <v>2750</v>
      </c>
      <c r="C1853" s="5" t="s">
        <v>2911</v>
      </c>
      <c r="D1853" s="5" t="s">
        <v>392</v>
      </c>
      <c r="E1853" s="3" t="s">
        <v>14</v>
      </c>
      <c r="F1853" s="6">
        <v>137</v>
      </c>
      <c r="G1853" s="6">
        <v>110.5</v>
      </c>
      <c r="H1853" s="6">
        <v>30.5</v>
      </c>
      <c r="I1853" s="7" t="s">
        <v>4315</v>
      </c>
      <c r="J1853" s="3" t="s">
        <v>4317</v>
      </c>
      <c r="K1853" s="8" t="s">
        <v>4716</v>
      </c>
      <c r="L1853" s="9" t="s">
        <v>2917</v>
      </c>
      <c r="M1853" s="1" t="s">
        <v>2918</v>
      </c>
    </row>
    <row r="1854" spans="1:13" x14ac:dyDescent="0.3">
      <c r="A1854" s="3">
        <v>3311070</v>
      </c>
      <c r="B1854" s="4" t="s">
        <v>2750</v>
      </c>
      <c r="C1854" s="5" t="s">
        <v>2919</v>
      </c>
      <c r="D1854" s="5" t="s">
        <v>154</v>
      </c>
      <c r="E1854" s="3" t="s">
        <v>14</v>
      </c>
      <c r="F1854" s="6">
        <v>38.1</v>
      </c>
      <c r="G1854" s="6">
        <v>30.5</v>
      </c>
      <c r="H1854" s="6">
        <v>19.100000000000001</v>
      </c>
      <c r="I1854" s="7" t="s">
        <v>4316</v>
      </c>
      <c r="J1854" s="3" t="s">
        <v>4318</v>
      </c>
      <c r="K1854" s="8" t="s">
        <v>4475</v>
      </c>
      <c r="L1854" s="9" t="s">
        <v>2920</v>
      </c>
      <c r="M1854" s="1" t="s">
        <v>2921</v>
      </c>
    </row>
    <row r="1855" spans="1:13" x14ac:dyDescent="0.3">
      <c r="A1855" s="3">
        <v>3314071</v>
      </c>
      <c r="B1855" s="4" t="s">
        <v>2750</v>
      </c>
      <c r="C1855" s="5" t="s">
        <v>2919</v>
      </c>
      <c r="D1855" s="5" t="s">
        <v>392</v>
      </c>
      <c r="E1855" s="3" t="s">
        <v>14</v>
      </c>
      <c r="F1855" s="6">
        <v>39.799999999999997</v>
      </c>
      <c r="G1855" s="6">
        <v>32.299999999999997</v>
      </c>
      <c r="H1855" s="6">
        <v>7.6</v>
      </c>
      <c r="I1855" s="7" t="s">
        <v>4316</v>
      </c>
      <c r="J1855" s="3" t="s">
        <v>4318</v>
      </c>
      <c r="K1855" s="8" t="s">
        <v>4464</v>
      </c>
      <c r="L1855" s="9" t="s">
        <v>2922</v>
      </c>
      <c r="M1855" s="1" t="s">
        <v>2923</v>
      </c>
    </row>
    <row r="1856" spans="1:13" x14ac:dyDescent="0.3">
      <c r="A1856" s="3">
        <v>3317072</v>
      </c>
      <c r="B1856" s="4" t="s">
        <v>2750</v>
      </c>
      <c r="C1856" s="5" t="s">
        <v>2924</v>
      </c>
      <c r="D1856" s="5" t="s">
        <v>180</v>
      </c>
      <c r="E1856" s="3" t="s">
        <v>14</v>
      </c>
      <c r="F1856" s="6">
        <v>112</v>
      </c>
      <c r="G1856" s="6">
        <v>100</v>
      </c>
      <c r="H1856" s="6">
        <v>75</v>
      </c>
      <c r="I1856" s="7" t="s">
        <v>4345</v>
      </c>
      <c r="J1856" s="3" t="s">
        <v>4347</v>
      </c>
      <c r="K1856" s="8" t="s">
        <v>4717</v>
      </c>
      <c r="L1856" s="9" t="s">
        <v>2925</v>
      </c>
      <c r="M1856" s="1" t="s">
        <v>2926</v>
      </c>
    </row>
    <row r="1857" spans="1:13" x14ac:dyDescent="0.3">
      <c r="A1857" s="3">
        <v>3320073</v>
      </c>
      <c r="B1857" s="4" t="s">
        <v>2750</v>
      </c>
      <c r="C1857" s="5" t="s">
        <v>2924</v>
      </c>
      <c r="D1857" s="5" t="s">
        <v>264</v>
      </c>
      <c r="E1857" s="3" t="s">
        <v>14</v>
      </c>
      <c r="F1857" s="6">
        <v>108.6</v>
      </c>
      <c r="G1857" s="6">
        <v>72.5</v>
      </c>
      <c r="H1857" s="6">
        <v>0</v>
      </c>
      <c r="I1857" s="7" t="s">
        <v>4316</v>
      </c>
      <c r="J1857" s="3" t="s">
        <v>4318</v>
      </c>
      <c r="K1857" s="8" t="s">
        <v>4718</v>
      </c>
      <c r="L1857" s="9" t="s">
        <v>2927</v>
      </c>
      <c r="M1857" s="1" t="s">
        <v>2928</v>
      </c>
    </row>
    <row r="1858" spans="1:13" x14ac:dyDescent="0.3">
      <c r="A1858" s="3">
        <v>3321074</v>
      </c>
      <c r="B1858" s="4" t="s">
        <v>2750</v>
      </c>
      <c r="C1858" s="5" t="s">
        <v>2924</v>
      </c>
      <c r="D1858" s="5" t="s">
        <v>267</v>
      </c>
      <c r="E1858" s="3" t="s">
        <v>14</v>
      </c>
      <c r="F1858" s="6">
        <v>97</v>
      </c>
      <c r="G1858" s="6">
        <v>72.5</v>
      </c>
      <c r="H1858" s="6">
        <v>0</v>
      </c>
      <c r="I1858" s="7" t="s">
        <v>4316</v>
      </c>
      <c r="J1858" s="3" t="s">
        <v>4318</v>
      </c>
      <c r="K1858" s="8" t="s">
        <v>4719</v>
      </c>
      <c r="L1858" s="9" t="s">
        <v>2929</v>
      </c>
      <c r="M1858" s="1" t="s">
        <v>2930</v>
      </c>
    </row>
    <row r="1859" spans="1:13" x14ac:dyDescent="0.3">
      <c r="A1859" s="3">
        <v>3314075</v>
      </c>
      <c r="B1859" s="4" t="s">
        <v>2750</v>
      </c>
      <c r="C1859" s="5" t="s">
        <v>2924</v>
      </c>
      <c r="D1859" s="5" t="s">
        <v>392</v>
      </c>
      <c r="E1859" s="3" t="s">
        <v>2931</v>
      </c>
      <c r="F1859" s="6">
        <v>115</v>
      </c>
      <c r="G1859" s="6">
        <v>103</v>
      </c>
      <c r="H1859" s="6">
        <v>15</v>
      </c>
      <c r="I1859" s="7" t="s">
        <v>4316</v>
      </c>
      <c r="J1859" s="3" t="s">
        <v>4318</v>
      </c>
      <c r="K1859" s="8" t="s">
        <v>4396</v>
      </c>
      <c r="L1859" s="9" t="s">
        <v>2932</v>
      </c>
      <c r="M1859" s="1" t="s">
        <v>2933</v>
      </c>
    </row>
    <row r="1860" spans="1:13" x14ac:dyDescent="0.3">
      <c r="A1860" s="3">
        <v>3319076</v>
      </c>
      <c r="B1860" s="4" t="s">
        <v>2750</v>
      </c>
      <c r="C1860" s="5" t="s">
        <v>2924</v>
      </c>
      <c r="D1860" s="5" t="s">
        <v>74</v>
      </c>
      <c r="E1860" s="3" t="s">
        <v>2931</v>
      </c>
      <c r="F1860" s="6">
        <v>110</v>
      </c>
      <c r="G1860" s="6">
        <v>98</v>
      </c>
      <c r="H1860" s="6">
        <v>0</v>
      </c>
      <c r="I1860" s="7" t="s">
        <v>4345</v>
      </c>
      <c r="J1860" s="3" t="s">
        <v>4347</v>
      </c>
      <c r="K1860" s="8" t="s">
        <v>4555</v>
      </c>
      <c r="L1860" s="9" t="s">
        <v>2934</v>
      </c>
      <c r="M1860" s="1" t="s">
        <v>2935</v>
      </c>
    </row>
    <row r="1861" spans="1:13" x14ac:dyDescent="0.3">
      <c r="A1861" s="3">
        <v>3331077</v>
      </c>
      <c r="B1861" s="4" t="s">
        <v>2750</v>
      </c>
      <c r="C1861" s="5" t="s">
        <v>2924</v>
      </c>
      <c r="D1861" s="5" t="s">
        <v>261</v>
      </c>
      <c r="E1861" s="3" t="s">
        <v>2931</v>
      </c>
      <c r="F1861" s="6">
        <v>16.5</v>
      </c>
      <c r="G1861" s="6">
        <v>72.5</v>
      </c>
      <c r="H1861" s="6">
        <v>5</v>
      </c>
      <c r="I1861" s="7" t="s">
        <v>4316</v>
      </c>
      <c r="J1861" s="3" t="s">
        <v>4318</v>
      </c>
      <c r="K1861" s="8" t="s">
        <v>4490</v>
      </c>
      <c r="L1861" s="9" t="s">
        <v>2936</v>
      </c>
      <c r="M1861" s="1" t="s">
        <v>2937</v>
      </c>
    </row>
    <row r="1862" spans="1:13" x14ac:dyDescent="0.3">
      <c r="A1862" s="3">
        <v>3330078</v>
      </c>
      <c r="B1862" s="4" t="s">
        <v>2750</v>
      </c>
      <c r="C1862" s="5" t="s">
        <v>2924</v>
      </c>
      <c r="D1862" s="5" t="s">
        <v>2705</v>
      </c>
      <c r="E1862" s="3" t="s">
        <v>2931</v>
      </c>
      <c r="F1862" s="6">
        <v>114.3</v>
      </c>
      <c r="G1862" s="6">
        <v>101.6</v>
      </c>
      <c r="H1862" s="6">
        <v>12.9</v>
      </c>
      <c r="I1862" s="7" t="s">
        <v>14</v>
      </c>
      <c r="J1862" s="3" t="s">
        <v>14</v>
      </c>
      <c r="K1862" s="8" t="s">
        <v>4414</v>
      </c>
      <c r="L1862" s="9" t="s">
        <v>2938</v>
      </c>
      <c r="M1862" s="1" t="s">
        <v>2939</v>
      </c>
    </row>
    <row r="1863" spans="1:13" x14ac:dyDescent="0.3">
      <c r="A1863" s="3">
        <v>3510001</v>
      </c>
      <c r="B1863" s="4" t="s">
        <v>2956</v>
      </c>
      <c r="C1863" s="5" t="s">
        <v>2957</v>
      </c>
      <c r="D1863" s="5" t="s">
        <v>96</v>
      </c>
      <c r="E1863" s="3" t="s">
        <v>14</v>
      </c>
      <c r="F1863" s="6">
        <v>63.5</v>
      </c>
      <c r="G1863" s="6">
        <v>26.5</v>
      </c>
      <c r="H1863" s="6">
        <v>52.2</v>
      </c>
      <c r="I1863" s="7" t="s">
        <v>4316</v>
      </c>
      <c r="J1863" s="3" t="s">
        <v>4318</v>
      </c>
      <c r="K1863" s="8" t="s">
        <v>4616</v>
      </c>
      <c r="L1863" s="9" t="s">
        <v>2958</v>
      </c>
      <c r="M1863" s="1" t="s">
        <v>2959</v>
      </c>
    </row>
    <row r="1864" spans="1:13" x14ac:dyDescent="0.3">
      <c r="A1864" s="3">
        <v>1252001</v>
      </c>
      <c r="B1864" s="4" t="s">
        <v>2960</v>
      </c>
      <c r="C1864" s="5" t="s">
        <v>2961</v>
      </c>
      <c r="D1864" s="5" t="s">
        <v>96</v>
      </c>
      <c r="E1864" s="3" t="s">
        <v>2962</v>
      </c>
      <c r="F1864" s="6">
        <v>37</v>
      </c>
      <c r="G1864" s="6">
        <v>24.5</v>
      </c>
      <c r="H1864" s="6">
        <v>23.5</v>
      </c>
      <c r="I1864" s="7" t="s">
        <v>4315</v>
      </c>
      <c r="J1864" s="3" t="s">
        <v>4317</v>
      </c>
      <c r="K1864" s="8">
        <v>0.61</v>
      </c>
      <c r="L1864" s="9" t="s">
        <v>2963</v>
      </c>
      <c r="M1864" s="1" t="s">
        <v>2964</v>
      </c>
    </row>
    <row r="1865" spans="1:13" x14ac:dyDescent="0.3">
      <c r="A1865" s="3">
        <v>6110003</v>
      </c>
      <c r="B1865" s="4" t="s">
        <v>2960</v>
      </c>
      <c r="C1865" s="5" t="s">
        <v>2965</v>
      </c>
      <c r="D1865" s="5" t="s">
        <v>96</v>
      </c>
      <c r="E1865" s="3" t="s">
        <v>2966</v>
      </c>
      <c r="F1865" s="6">
        <v>35.5</v>
      </c>
      <c r="G1865" s="6">
        <v>30.5</v>
      </c>
      <c r="H1865" s="6">
        <v>31</v>
      </c>
      <c r="I1865" s="7" t="s">
        <v>4315</v>
      </c>
      <c r="J1865" s="3" t="s">
        <v>4317</v>
      </c>
      <c r="K1865" s="8" t="s">
        <v>4591</v>
      </c>
      <c r="L1865" s="9" t="s">
        <v>2967</v>
      </c>
      <c r="M1865" s="1" t="s">
        <v>2968</v>
      </c>
    </row>
    <row r="1866" spans="1:13" x14ac:dyDescent="0.3">
      <c r="A1866" s="3">
        <v>6110004</v>
      </c>
      <c r="B1866" s="4" t="s">
        <v>2960</v>
      </c>
      <c r="C1866" s="5" t="s">
        <v>2969</v>
      </c>
      <c r="D1866" s="5" t="s">
        <v>96</v>
      </c>
      <c r="E1866" s="3" t="s">
        <v>2969</v>
      </c>
      <c r="F1866" s="6">
        <v>28.5</v>
      </c>
      <c r="G1866" s="6">
        <v>21.5</v>
      </c>
      <c r="H1866" s="6">
        <v>14.5</v>
      </c>
      <c r="I1866" s="7" t="s">
        <v>4315</v>
      </c>
      <c r="J1866" s="3" t="s">
        <v>4317</v>
      </c>
      <c r="K1866" s="8" t="s">
        <v>4482</v>
      </c>
      <c r="L1866" s="9" t="s">
        <v>2970</v>
      </c>
      <c r="M1866" s="1" t="s">
        <v>2971</v>
      </c>
    </row>
    <row r="1867" spans="1:13" x14ac:dyDescent="0.3">
      <c r="A1867" s="3">
        <v>6110005</v>
      </c>
      <c r="B1867" s="4" t="s">
        <v>2960</v>
      </c>
      <c r="C1867" s="5" t="s">
        <v>2972</v>
      </c>
      <c r="D1867" s="5" t="s">
        <v>96</v>
      </c>
      <c r="E1867" s="3" t="s">
        <v>2973</v>
      </c>
      <c r="F1867" s="6">
        <v>35</v>
      </c>
      <c r="G1867" s="6">
        <v>23.5</v>
      </c>
      <c r="H1867" s="6">
        <v>14.5</v>
      </c>
      <c r="I1867" s="7" t="s">
        <v>4315</v>
      </c>
      <c r="J1867" s="3" t="s">
        <v>4317</v>
      </c>
      <c r="K1867" s="8" t="s">
        <v>4469</v>
      </c>
      <c r="L1867" s="9" t="s">
        <v>2974</v>
      </c>
      <c r="M1867" s="1" t="s">
        <v>2975</v>
      </c>
    </row>
    <row r="1868" spans="1:13" x14ac:dyDescent="0.3">
      <c r="A1868" s="3">
        <v>6110006</v>
      </c>
      <c r="B1868" s="4" t="s">
        <v>2960</v>
      </c>
      <c r="C1868" s="5" t="s">
        <v>2976</v>
      </c>
      <c r="D1868" s="5" t="s">
        <v>96</v>
      </c>
      <c r="E1868" s="3" t="s">
        <v>2976</v>
      </c>
      <c r="F1868" s="6">
        <v>35</v>
      </c>
      <c r="G1868" s="6">
        <v>26.5</v>
      </c>
      <c r="H1868" s="6">
        <v>13.5</v>
      </c>
      <c r="I1868" s="7" t="s">
        <v>4315</v>
      </c>
      <c r="J1868" s="3" t="s">
        <v>4317</v>
      </c>
      <c r="K1868" s="8" t="s">
        <v>4350</v>
      </c>
      <c r="L1868" s="9" t="s">
        <v>2977</v>
      </c>
      <c r="M1868" s="1" t="s">
        <v>2978</v>
      </c>
    </row>
    <row r="1869" spans="1:13" x14ac:dyDescent="0.3">
      <c r="A1869" s="3">
        <v>6110007</v>
      </c>
      <c r="B1869" s="4" t="s">
        <v>2960</v>
      </c>
      <c r="C1869" s="5" t="s">
        <v>7848</v>
      </c>
      <c r="D1869" s="5" t="s">
        <v>96</v>
      </c>
      <c r="E1869" s="3" t="s">
        <v>7848</v>
      </c>
      <c r="F1869" s="6">
        <v>36.5</v>
      </c>
      <c r="G1869" s="6">
        <v>22.5</v>
      </c>
      <c r="H1869" s="6">
        <v>24.5</v>
      </c>
      <c r="I1869" s="7">
        <v>26</v>
      </c>
      <c r="J1869" s="3" t="s">
        <v>4317</v>
      </c>
      <c r="K1869" s="8">
        <v>0.57999999999999996</v>
      </c>
      <c r="L1869" s="9" t="s">
        <v>7849</v>
      </c>
      <c r="M1869" s="1" t="s">
        <v>7850</v>
      </c>
    </row>
    <row r="1870" spans="1:13" x14ac:dyDescent="0.3">
      <c r="A1870" s="3">
        <v>6110008</v>
      </c>
      <c r="B1870" s="4" t="s">
        <v>2960</v>
      </c>
      <c r="C1870" s="5">
        <v>383826</v>
      </c>
      <c r="D1870" s="5" t="s">
        <v>96</v>
      </c>
      <c r="E1870" s="3" t="s">
        <v>2979</v>
      </c>
      <c r="F1870" s="6">
        <v>38</v>
      </c>
      <c r="G1870" s="6">
        <v>38</v>
      </c>
      <c r="H1870" s="6">
        <v>26</v>
      </c>
      <c r="I1870" s="7" t="s">
        <v>4315</v>
      </c>
      <c r="J1870" s="3" t="s">
        <v>4317</v>
      </c>
      <c r="K1870" s="8" t="s">
        <v>4436</v>
      </c>
      <c r="L1870" s="9" t="s">
        <v>2980</v>
      </c>
      <c r="M1870" s="1" t="s">
        <v>2981</v>
      </c>
    </row>
    <row r="1871" spans="1:13" x14ac:dyDescent="0.3">
      <c r="A1871" s="3">
        <v>6110009</v>
      </c>
      <c r="B1871" s="4" t="s">
        <v>2960</v>
      </c>
      <c r="C1871" s="5" t="s">
        <v>2982</v>
      </c>
      <c r="D1871" s="5" t="s">
        <v>96</v>
      </c>
      <c r="E1871" s="3" t="s">
        <v>2983</v>
      </c>
      <c r="F1871" s="6"/>
      <c r="G1871" s="6"/>
      <c r="H1871" s="6"/>
      <c r="I1871" s="7" t="s">
        <v>4315</v>
      </c>
      <c r="J1871" s="3" t="s">
        <v>4317</v>
      </c>
      <c r="K1871" s="8" t="s">
        <v>4364</v>
      </c>
      <c r="L1871" s="9" t="s">
        <v>2984</v>
      </c>
      <c r="M1871" s="1" t="s">
        <v>2985</v>
      </c>
    </row>
    <row r="1872" spans="1:13" x14ac:dyDescent="0.3">
      <c r="A1872" s="3">
        <v>6110010</v>
      </c>
      <c r="B1872" s="4" t="s">
        <v>2960</v>
      </c>
      <c r="C1872" s="5" t="s">
        <v>2986</v>
      </c>
      <c r="D1872" s="5" t="s">
        <v>96</v>
      </c>
      <c r="E1872" s="3" t="s">
        <v>2986</v>
      </c>
      <c r="F1872" s="6">
        <v>51</v>
      </c>
      <c r="G1872" s="6">
        <v>34</v>
      </c>
      <c r="H1872" s="6">
        <v>22</v>
      </c>
      <c r="I1872" s="7" t="s">
        <v>3375</v>
      </c>
      <c r="J1872" s="3" t="s">
        <v>4422</v>
      </c>
      <c r="K1872" s="8" t="s">
        <v>4561</v>
      </c>
      <c r="L1872" s="9" t="s">
        <v>2987</v>
      </c>
      <c r="M1872" s="1" t="s">
        <v>2988</v>
      </c>
    </row>
    <row r="1873" spans="1:14" x14ac:dyDescent="0.3">
      <c r="A1873" s="3">
        <v>6110011</v>
      </c>
      <c r="B1873" s="4" t="s">
        <v>2960</v>
      </c>
      <c r="C1873" s="5" t="s">
        <v>2989</v>
      </c>
      <c r="D1873" s="5" t="s">
        <v>96</v>
      </c>
      <c r="E1873" s="3" t="s">
        <v>2990</v>
      </c>
      <c r="F1873" s="6">
        <v>27.5</v>
      </c>
      <c r="G1873" s="6">
        <v>21.5</v>
      </c>
      <c r="H1873" s="6">
        <v>15</v>
      </c>
      <c r="I1873" s="7" t="s">
        <v>4315</v>
      </c>
      <c r="J1873" s="3" t="s">
        <v>4317</v>
      </c>
      <c r="K1873" s="8" t="s">
        <v>4482</v>
      </c>
      <c r="L1873" s="9" t="s">
        <v>2991</v>
      </c>
      <c r="M1873" s="1" t="s">
        <v>2992</v>
      </c>
    </row>
    <row r="1874" spans="1:14" x14ac:dyDescent="0.3">
      <c r="A1874" s="3">
        <v>6120012</v>
      </c>
      <c r="B1874" s="4" t="s">
        <v>2960</v>
      </c>
      <c r="C1874" s="5" t="s">
        <v>2989</v>
      </c>
      <c r="D1874" s="5" t="s">
        <v>264</v>
      </c>
      <c r="E1874" s="3" t="s">
        <v>2990</v>
      </c>
      <c r="F1874" s="6">
        <v>28</v>
      </c>
      <c r="G1874" s="6">
        <v>14</v>
      </c>
      <c r="H1874" s="6">
        <v>0</v>
      </c>
      <c r="I1874" s="7" t="s">
        <v>4720</v>
      </c>
      <c r="J1874" s="3" t="s">
        <v>4423</v>
      </c>
      <c r="K1874" s="8" t="s">
        <v>4453</v>
      </c>
      <c r="L1874" s="9" t="s">
        <v>2993</v>
      </c>
      <c r="M1874" s="1" t="s">
        <v>2994</v>
      </c>
    </row>
    <row r="1875" spans="1:14" x14ac:dyDescent="0.3">
      <c r="A1875" s="3">
        <v>6121013</v>
      </c>
      <c r="B1875" s="4" t="s">
        <v>2960</v>
      </c>
      <c r="C1875" s="5" t="s">
        <v>2989</v>
      </c>
      <c r="D1875" s="5" t="s">
        <v>267</v>
      </c>
      <c r="E1875" s="3" t="s">
        <v>2990</v>
      </c>
      <c r="F1875" s="6">
        <v>31</v>
      </c>
      <c r="G1875" s="6">
        <v>14</v>
      </c>
      <c r="H1875" s="6">
        <v>0</v>
      </c>
      <c r="I1875" s="7" t="s">
        <v>4720</v>
      </c>
      <c r="J1875" s="3" t="s">
        <v>4423</v>
      </c>
      <c r="K1875" s="8" t="s">
        <v>4426</v>
      </c>
      <c r="L1875" s="9" t="s">
        <v>2995</v>
      </c>
      <c r="M1875" s="1" t="s">
        <v>2996</v>
      </c>
    </row>
    <row r="1876" spans="1:14" x14ac:dyDescent="0.3">
      <c r="A1876" s="3">
        <v>6110014</v>
      </c>
      <c r="B1876" s="4" t="s">
        <v>2960</v>
      </c>
      <c r="C1876" s="5" t="s">
        <v>2997</v>
      </c>
      <c r="D1876" s="5" t="s">
        <v>96</v>
      </c>
      <c r="E1876" s="3" t="s">
        <v>2990</v>
      </c>
      <c r="F1876" s="6">
        <v>36.5</v>
      </c>
      <c r="G1876" s="6">
        <v>27.5</v>
      </c>
      <c r="H1876" s="6">
        <v>9</v>
      </c>
      <c r="I1876" s="7" t="s">
        <v>4315</v>
      </c>
      <c r="J1876" s="3" t="s">
        <v>4317</v>
      </c>
      <c r="K1876" s="8" t="s">
        <v>4477</v>
      </c>
      <c r="L1876" s="9" t="s">
        <v>2998</v>
      </c>
      <c r="M1876" s="1" t="s">
        <v>2999</v>
      </c>
    </row>
    <row r="1877" spans="1:14" x14ac:dyDescent="0.3">
      <c r="A1877" s="3">
        <v>6120015</v>
      </c>
      <c r="B1877" s="4" t="s">
        <v>2960</v>
      </c>
      <c r="C1877" s="5" t="s">
        <v>2997</v>
      </c>
      <c r="D1877" s="5" t="s">
        <v>264</v>
      </c>
      <c r="E1877" s="3" t="s">
        <v>2990</v>
      </c>
      <c r="F1877" s="6">
        <v>36</v>
      </c>
      <c r="G1877" s="6">
        <v>8</v>
      </c>
      <c r="H1877" s="6">
        <v>0</v>
      </c>
      <c r="I1877" s="7" t="s">
        <v>4720</v>
      </c>
      <c r="J1877" s="3" t="s">
        <v>4423</v>
      </c>
      <c r="K1877" s="8" t="s">
        <v>4426</v>
      </c>
      <c r="L1877" s="9" t="s">
        <v>3000</v>
      </c>
      <c r="M1877" s="24" t="s">
        <v>3001</v>
      </c>
    </row>
    <row r="1878" spans="1:14" x14ac:dyDescent="0.3">
      <c r="A1878" s="3">
        <v>6121016</v>
      </c>
      <c r="B1878" s="4" t="s">
        <v>2960</v>
      </c>
      <c r="C1878" s="5" t="s">
        <v>2997</v>
      </c>
      <c r="D1878" s="5" t="s">
        <v>267</v>
      </c>
      <c r="E1878" s="3" t="s">
        <v>2990</v>
      </c>
      <c r="F1878" s="6">
        <v>27</v>
      </c>
      <c r="G1878" s="6">
        <v>8</v>
      </c>
      <c r="H1878" s="6">
        <v>0</v>
      </c>
      <c r="I1878" s="7" t="s">
        <v>4720</v>
      </c>
      <c r="J1878" s="3" t="s">
        <v>4423</v>
      </c>
      <c r="K1878" s="8" t="s">
        <v>4441</v>
      </c>
      <c r="L1878" s="9" t="s">
        <v>3002</v>
      </c>
      <c r="M1878" s="1" t="s">
        <v>3003</v>
      </c>
    </row>
    <row r="1879" spans="1:14" x14ac:dyDescent="0.3">
      <c r="A1879" s="3">
        <v>6122017</v>
      </c>
      <c r="B1879" s="4" t="s">
        <v>2960</v>
      </c>
      <c r="C1879" s="5" t="s">
        <v>6953</v>
      </c>
      <c r="D1879" s="5" t="s">
        <v>96</v>
      </c>
      <c r="E1879" s="3" t="s">
        <v>6952</v>
      </c>
      <c r="F1879" s="6">
        <v>38.700000000000003</v>
      </c>
      <c r="G1879" s="6">
        <v>28.8</v>
      </c>
      <c r="H1879" s="6">
        <v>29.4</v>
      </c>
      <c r="I1879" s="7">
        <v>51</v>
      </c>
      <c r="J1879" s="3" t="s">
        <v>4318</v>
      </c>
      <c r="K1879" s="8">
        <v>0.93</v>
      </c>
      <c r="L1879" s="9" t="s">
        <v>6213</v>
      </c>
      <c r="M1879" s="1" t="s">
        <v>6951</v>
      </c>
    </row>
    <row r="1880" spans="1:14" x14ac:dyDescent="0.3">
      <c r="A1880" s="3">
        <v>6123018</v>
      </c>
      <c r="B1880" s="4" t="s">
        <v>2960</v>
      </c>
      <c r="C1880" s="5" t="s">
        <v>6212</v>
      </c>
      <c r="D1880" s="5" t="s">
        <v>96</v>
      </c>
      <c r="E1880" s="3" t="s">
        <v>2979</v>
      </c>
      <c r="F1880" s="6">
        <v>53.5</v>
      </c>
      <c r="G1880" s="6">
        <v>27.5</v>
      </c>
      <c r="H1880" s="6">
        <v>26.5</v>
      </c>
      <c r="I1880" s="7">
        <v>32</v>
      </c>
      <c r="J1880" s="3" t="s">
        <v>4317</v>
      </c>
      <c r="K1880" s="8">
        <v>0.91</v>
      </c>
      <c r="L1880" s="9" t="s">
        <v>6214</v>
      </c>
      <c r="M1880" s="1" t="s">
        <v>5015</v>
      </c>
      <c r="N1880" s="1" t="s">
        <v>6623</v>
      </c>
    </row>
    <row r="1881" spans="1:14" x14ac:dyDescent="0.3">
      <c r="A1881" s="3">
        <v>6124019</v>
      </c>
      <c r="B1881" s="4" t="s">
        <v>2960</v>
      </c>
      <c r="C1881" s="5" t="s">
        <v>6619</v>
      </c>
      <c r="D1881" s="5" t="s">
        <v>96</v>
      </c>
      <c r="E1881" s="3" t="s">
        <v>6620</v>
      </c>
      <c r="F1881" s="6">
        <v>30.5</v>
      </c>
      <c r="G1881" s="6">
        <v>25.5</v>
      </c>
      <c r="H1881" s="6">
        <v>30.5</v>
      </c>
      <c r="I1881" s="7">
        <v>32</v>
      </c>
      <c r="J1881" s="3" t="s">
        <v>4317</v>
      </c>
      <c r="K1881" s="8">
        <v>0.66</v>
      </c>
      <c r="L1881" s="9" t="s">
        <v>6621</v>
      </c>
      <c r="M1881" s="1" t="s">
        <v>6622</v>
      </c>
    </row>
    <row r="1882" spans="1:14" x14ac:dyDescent="0.3">
      <c r="A1882" s="3">
        <v>6125020</v>
      </c>
      <c r="B1882" s="4" t="s">
        <v>2960</v>
      </c>
      <c r="C1882" s="5" t="s">
        <v>7086</v>
      </c>
      <c r="D1882" s="5" t="s">
        <v>96</v>
      </c>
      <c r="E1882" s="3" t="s">
        <v>7086</v>
      </c>
      <c r="F1882" s="6">
        <v>35</v>
      </c>
      <c r="G1882" s="6">
        <v>26</v>
      </c>
      <c r="H1882" s="6">
        <v>12</v>
      </c>
      <c r="I1882" s="7">
        <v>42</v>
      </c>
      <c r="J1882" s="3" t="s">
        <v>4318</v>
      </c>
      <c r="K1882" s="8">
        <v>0.49</v>
      </c>
      <c r="L1882" s="9" t="s">
        <v>7087</v>
      </c>
      <c r="M1882" s="1" t="s">
        <v>7161</v>
      </c>
    </row>
    <row r="1883" spans="1:14" x14ac:dyDescent="0.3">
      <c r="A1883" s="3">
        <v>6126021</v>
      </c>
      <c r="B1883" s="4" t="s">
        <v>2960</v>
      </c>
      <c r="C1883" s="5" t="s">
        <v>7817</v>
      </c>
      <c r="D1883" s="5" t="s">
        <v>7598</v>
      </c>
      <c r="E1883" s="3" t="s">
        <v>7817</v>
      </c>
      <c r="F1883" s="6">
        <v>30.5</v>
      </c>
      <c r="G1883" s="6">
        <v>25.5</v>
      </c>
      <c r="H1883" s="6">
        <v>29</v>
      </c>
      <c r="I1883" s="7">
        <v>32</v>
      </c>
      <c r="J1883" s="3" t="s">
        <v>4317</v>
      </c>
      <c r="K1883" s="8">
        <v>0.64</v>
      </c>
      <c r="L1883" s="9" t="s">
        <v>7599</v>
      </c>
      <c r="M1883" s="1" t="s">
        <v>7667</v>
      </c>
    </row>
    <row r="1884" spans="1:14" x14ac:dyDescent="0.3">
      <c r="A1884" s="3">
        <v>6127022</v>
      </c>
      <c r="B1884" s="4" t="s">
        <v>2960</v>
      </c>
      <c r="C1884" s="5" t="s">
        <v>7687</v>
      </c>
      <c r="D1884" s="5" t="s">
        <v>96</v>
      </c>
      <c r="E1884" s="3" t="s">
        <v>7688</v>
      </c>
      <c r="F1884" s="6">
        <v>43.5</v>
      </c>
      <c r="G1884" s="6">
        <v>24.5</v>
      </c>
      <c r="H1884" s="6">
        <v>31</v>
      </c>
      <c r="I1884" s="7">
        <v>32</v>
      </c>
      <c r="J1884" s="3" t="s">
        <v>4317</v>
      </c>
      <c r="K1884" s="8">
        <v>0.76</v>
      </c>
      <c r="L1884" s="9" t="s">
        <v>7689</v>
      </c>
      <c r="M1884" s="1" t="s">
        <v>7690</v>
      </c>
    </row>
    <row r="1885" spans="1:14" x14ac:dyDescent="0.3">
      <c r="A1885" s="3">
        <v>7917001</v>
      </c>
      <c r="B1885" s="4" t="s">
        <v>3004</v>
      </c>
      <c r="C1885" s="5" t="s">
        <v>3005</v>
      </c>
      <c r="D1885" s="5" t="s">
        <v>167</v>
      </c>
      <c r="E1885" s="3" t="s">
        <v>3006</v>
      </c>
      <c r="F1885" s="6">
        <v>122</v>
      </c>
      <c r="G1885" s="6">
        <v>101.5</v>
      </c>
      <c r="H1885" s="6">
        <v>68.5</v>
      </c>
      <c r="I1885" s="7" t="s">
        <v>4345</v>
      </c>
      <c r="J1885" s="3" t="s">
        <v>4347</v>
      </c>
      <c r="K1885" s="8" t="s">
        <v>4721</v>
      </c>
      <c r="L1885" s="9" t="s">
        <v>3007</v>
      </c>
      <c r="M1885" s="1" t="s">
        <v>3008</v>
      </c>
    </row>
    <row r="1886" spans="1:14" x14ac:dyDescent="0.3">
      <c r="A1886" s="3">
        <v>7919002</v>
      </c>
      <c r="B1886" s="4" t="s">
        <v>3004</v>
      </c>
      <c r="C1886" s="5" t="s">
        <v>3006</v>
      </c>
      <c r="D1886" s="5" t="s">
        <v>74</v>
      </c>
      <c r="E1886" s="3" t="s">
        <v>3006</v>
      </c>
      <c r="F1886" s="6">
        <v>120</v>
      </c>
      <c r="G1886" s="6">
        <v>100</v>
      </c>
      <c r="H1886" s="6">
        <v>0</v>
      </c>
      <c r="I1886" s="7" t="s">
        <v>4316</v>
      </c>
      <c r="J1886" s="3" t="s">
        <v>4318</v>
      </c>
      <c r="K1886" s="8" t="s">
        <v>4494</v>
      </c>
      <c r="L1886" s="9" t="s">
        <v>3009</v>
      </c>
      <c r="M1886" s="1" t="s">
        <v>3010</v>
      </c>
    </row>
    <row r="1887" spans="1:14" x14ac:dyDescent="0.3">
      <c r="A1887" s="3">
        <v>7914003</v>
      </c>
      <c r="B1887" s="4" t="s">
        <v>3004</v>
      </c>
      <c r="C1887" s="5" t="s">
        <v>3006</v>
      </c>
      <c r="D1887" s="5" t="s">
        <v>392</v>
      </c>
      <c r="E1887" s="3" t="s">
        <v>3006</v>
      </c>
      <c r="F1887" s="6">
        <v>124.8</v>
      </c>
      <c r="G1887" s="6">
        <v>105.9</v>
      </c>
      <c r="H1887" s="6">
        <v>10.7</v>
      </c>
      <c r="I1887" s="7" t="s">
        <v>4316</v>
      </c>
      <c r="J1887" s="3" t="s">
        <v>4318</v>
      </c>
      <c r="K1887" s="8" t="s">
        <v>4608</v>
      </c>
      <c r="L1887" s="9" t="s">
        <v>3011</v>
      </c>
      <c r="M1887" s="1" t="s">
        <v>3012</v>
      </c>
    </row>
    <row r="1888" spans="1:14" x14ac:dyDescent="0.3">
      <c r="A1888" s="3">
        <v>7936004</v>
      </c>
      <c r="B1888" s="4" t="s">
        <v>3004</v>
      </c>
      <c r="C1888" s="5" t="s">
        <v>3006</v>
      </c>
      <c r="D1888" s="5" t="s">
        <v>3013</v>
      </c>
      <c r="E1888" s="3" t="s">
        <v>3006</v>
      </c>
      <c r="F1888" s="6">
        <v>68</v>
      </c>
      <c r="G1888" s="6">
        <v>7.6</v>
      </c>
      <c r="H1888" s="6">
        <v>3.8</v>
      </c>
      <c r="I1888" s="7" t="s">
        <v>14</v>
      </c>
      <c r="J1888" s="3" t="s">
        <v>14</v>
      </c>
      <c r="K1888" s="8" t="s">
        <v>4578</v>
      </c>
      <c r="L1888" s="9" t="s">
        <v>3014</v>
      </c>
      <c r="M1888" s="1" t="s">
        <v>3015</v>
      </c>
    </row>
    <row r="1889" spans="1:13" x14ac:dyDescent="0.3">
      <c r="A1889" s="3">
        <v>7930005</v>
      </c>
      <c r="B1889" s="4" t="s">
        <v>3004</v>
      </c>
      <c r="C1889" s="5" t="s">
        <v>3006</v>
      </c>
      <c r="D1889" s="5" t="s">
        <v>3016</v>
      </c>
      <c r="E1889" s="3" t="s">
        <v>3006</v>
      </c>
      <c r="F1889" s="6">
        <v>121.9</v>
      </c>
      <c r="G1889" s="6">
        <v>101.6</v>
      </c>
      <c r="H1889" s="6">
        <v>12.7</v>
      </c>
      <c r="I1889" s="7" t="s">
        <v>14</v>
      </c>
      <c r="J1889" s="3" t="s">
        <v>14</v>
      </c>
      <c r="K1889" s="8" t="s">
        <v>4514</v>
      </c>
      <c r="L1889" s="9" t="s">
        <v>3017</v>
      </c>
      <c r="M1889" s="1" t="s">
        <v>3018</v>
      </c>
    </row>
    <row r="1890" spans="1:13" x14ac:dyDescent="0.3">
      <c r="A1890" s="3">
        <v>7919006</v>
      </c>
      <c r="B1890" s="4" t="s">
        <v>3004</v>
      </c>
      <c r="C1890" s="5" t="s">
        <v>3006</v>
      </c>
      <c r="D1890" s="5" t="s">
        <v>74</v>
      </c>
      <c r="E1890" s="3" t="s">
        <v>3006</v>
      </c>
      <c r="F1890" s="6">
        <v>120</v>
      </c>
      <c r="G1890" s="6">
        <v>68</v>
      </c>
      <c r="H1890" s="6">
        <v>0</v>
      </c>
      <c r="I1890" s="7" t="s">
        <v>4316</v>
      </c>
      <c r="J1890" s="3" t="s">
        <v>4318</v>
      </c>
      <c r="K1890" s="8" t="s">
        <v>4362</v>
      </c>
      <c r="L1890" s="9" t="s">
        <v>3019</v>
      </c>
      <c r="M1890" s="1" t="s">
        <v>3020</v>
      </c>
    </row>
    <row r="1891" spans="1:13" x14ac:dyDescent="0.3">
      <c r="A1891" s="3">
        <v>7917007</v>
      </c>
      <c r="B1891" s="4" t="s">
        <v>3004</v>
      </c>
      <c r="C1891" s="5" t="s">
        <v>3021</v>
      </c>
      <c r="D1891" s="5" t="s">
        <v>86</v>
      </c>
      <c r="E1891" s="3" t="s">
        <v>3021</v>
      </c>
      <c r="F1891" s="6">
        <v>203.1</v>
      </c>
      <c r="G1891" s="6">
        <v>106.1</v>
      </c>
      <c r="H1891" s="6">
        <v>77.099999999999994</v>
      </c>
      <c r="I1891" s="7" t="s">
        <v>4345</v>
      </c>
      <c r="J1891" s="3" t="s">
        <v>4347</v>
      </c>
      <c r="K1891" s="8" t="s">
        <v>4722</v>
      </c>
      <c r="L1891" s="9" t="s">
        <v>3022</v>
      </c>
      <c r="M1891" s="1" t="s">
        <v>3023</v>
      </c>
    </row>
    <row r="1892" spans="1:13" x14ac:dyDescent="0.3">
      <c r="A1892" s="3">
        <v>7919008</v>
      </c>
      <c r="B1892" s="4" t="s">
        <v>3004</v>
      </c>
      <c r="C1892" s="5" t="s">
        <v>3024</v>
      </c>
      <c r="D1892" s="5" t="s">
        <v>74</v>
      </c>
      <c r="E1892" s="3" t="s">
        <v>3021</v>
      </c>
      <c r="F1892" s="6">
        <v>200</v>
      </c>
      <c r="G1892" s="6">
        <v>103</v>
      </c>
      <c r="H1892" s="6">
        <v>0</v>
      </c>
      <c r="I1892" s="7" t="s">
        <v>4316</v>
      </c>
      <c r="J1892" s="3" t="s">
        <v>4318</v>
      </c>
      <c r="K1892" s="8" t="s">
        <v>4516</v>
      </c>
      <c r="L1892" s="9" t="s">
        <v>3025</v>
      </c>
      <c r="M1892" s="1" t="s">
        <v>3026</v>
      </c>
    </row>
    <row r="1893" spans="1:13" x14ac:dyDescent="0.3">
      <c r="A1893" s="3">
        <v>7914009</v>
      </c>
      <c r="B1893" s="4" t="s">
        <v>3004</v>
      </c>
      <c r="C1893" s="5" t="s">
        <v>3021</v>
      </c>
      <c r="D1893" s="5" t="s">
        <v>392</v>
      </c>
      <c r="E1893" s="3" t="s">
        <v>3021</v>
      </c>
      <c r="F1893" s="6">
        <v>205.4</v>
      </c>
      <c r="G1893" s="6">
        <v>108.5</v>
      </c>
      <c r="H1893" s="6">
        <v>10.7</v>
      </c>
      <c r="I1893" s="7" t="s">
        <v>4316</v>
      </c>
      <c r="J1893" s="3" t="s">
        <v>4318</v>
      </c>
      <c r="K1893" s="8" t="s">
        <v>4679</v>
      </c>
      <c r="L1893" s="9" t="s">
        <v>3027</v>
      </c>
      <c r="M1893" s="1" t="s">
        <v>3028</v>
      </c>
    </row>
    <row r="1894" spans="1:13" x14ac:dyDescent="0.3">
      <c r="A1894" s="3">
        <v>9615001</v>
      </c>
      <c r="B1894" s="4" t="s">
        <v>3029</v>
      </c>
      <c r="C1894" s="5" t="s">
        <v>3030</v>
      </c>
      <c r="D1894" s="5" t="s">
        <v>697</v>
      </c>
      <c r="E1894" s="3" t="s">
        <v>3031</v>
      </c>
      <c r="F1894" s="6">
        <v>49.5</v>
      </c>
      <c r="G1894" s="6">
        <v>34</v>
      </c>
      <c r="H1894" s="6">
        <v>5</v>
      </c>
      <c r="I1894" s="7" t="s">
        <v>4585</v>
      </c>
      <c r="J1894" s="3" t="s">
        <v>4317</v>
      </c>
      <c r="K1894" s="8" t="s">
        <v>4457</v>
      </c>
      <c r="L1894" s="9" t="s">
        <v>3032</v>
      </c>
      <c r="M1894" s="1" t="s">
        <v>3033</v>
      </c>
    </row>
    <row r="1895" spans="1:13" x14ac:dyDescent="0.3">
      <c r="A1895" s="3">
        <v>9615002</v>
      </c>
      <c r="B1895" s="4" t="s">
        <v>3029</v>
      </c>
      <c r="C1895" s="5" t="s">
        <v>3034</v>
      </c>
      <c r="D1895" s="5" t="s">
        <v>697</v>
      </c>
      <c r="E1895" s="3" t="s">
        <v>3035</v>
      </c>
      <c r="F1895" s="6">
        <v>74</v>
      </c>
      <c r="G1895" s="6">
        <v>54</v>
      </c>
      <c r="H1895" s="6">
        <v>5</v>
      </c>
      <c r="I1895" s="7" t="s">
        <v>4585</v>
      </c>
      <c r="J1895" s="3" t="s">
        <v>4317</v>
      </c>
      <c r="K1895" s="8" t="s">
        <v>4319</v>
      </c>
      <c r="L1895" s="9" t="s">
        <v>3036</v>
      </c>
      <c r="M1895" s="1" t="s">
        <v>3037</v>
      </c>
    </row>
    <row r="1896" spans="1:13" x14ac:dyDescent="0.3">
      <c r="A1896" s="3">
        <v>9610003</v>
      </c>
      <c r="B1896" s="4" t="s">
        <v>3029</v>
      </c>
      <c r="C1896" s="5" t="s">
        <v>3038</v>
      </c>
      <c r="D1896" s="5" t="s">
        <v>96</v>
      </c>
      <c r="E1896" s="3" t="s">
        <v>3038</v>
      </c>
      <c r="F1896" s="6">
        <v>30</v>
      </c>
      <c r="G1896" s="6">
        <v>30</v>
      </c>
      <c r="H1896" s="6">
        <v>27</v>
      </c>
      <c r="I1896" s="7" t="s">
        <v>4315</v>
      </c>
      <c r="J1896" s="3" t="s">
        <v>4317</v>
      </c>
      <c r="K1896" s="8" t="s">
        <v>4320</v>
      </c>
      <c r="L1896" s="9" t="s">
        <v>3039</v>
      </c>
      <c r="M1896" s="1" t="s">
        <v>3040</v>
      </c>
    </row>
    <row r="1897" spans="1:13" x14ac:dyDescent="0.3">
      <c r="A1897" s="3">
        <v>9613004</v>
      </c>
      <c r="B1897" s="4" t="s">
        <v>3029</v>
      </c>
      <c r="C1897" s="5" t="s">
        <v>3041</v>
      </c>
      <c r="D1897" s="5" t="s">
        <v>491</v>
      </c>
      <c r="E1897" s="3" t="s">
        <v>3041</v>
      </c>
      <c r="F1897" s="6">
        <v>19.5</v>
      </c>
      <c r="G1897" s="6">
        <v>12</v>
      </c>
      <c r="H1897" s="6">
        <v>7</v>
      </c>
      <c r="I1897" s="7" t="s">
        <v>4315</v>
      </c>
      <c r="J1897" s="3" t="s">
        <v>4317</v>
      </c>
      <c r="K1897" s="8" t="s">
        <v>4563</v>
      </c>
      <c r="L1897" s="9" t="s">
        <v>3042</v>
      </c>
      <c r="M1897" s="1" t="s">
        <v>3043</v>
      </c>
    </row>
    <row r="1898" spans="1:13" x14ac:dyDescent="0.3">
      <c r="A1898" s="3">
        <v>9613005</v>
      </c>
      <c r="B1898" s="4" t="s">
        <v>3029</v>
      </c>
      <c r="C1898" s="5" t="s">
        <v>3044</v>
      </c>
      <c r="D1898" s="5" t="s">
        <v>491</v>
      </c>
      <c r="E1898" s="3" t="s">
        <v>3044</v>
      </c>
      <c r="F1898" s="6">
        <v>35.5</v>
      </c>
      <c r="G1898" s="6">
        <v>23.2</v>
      </c>
      <c r="H1898" s="6">
        <v>7.6</v>
      </c>
      <c r="I1898" s="7" t="s">
        <v>4315</v>
      </c>
      <c r="J1898" s="3" t="s">
        <v>4317</v>
      </c>
      <c r="K1898" s="8">
        <v>0.52</v>
      </c>
      <c r="L1898" s="9" t="s">
        <v>3045</v>
      </c>
      <c r="M1898" s="1" t="s">
        <v>3046</v>
      </c>
    </row>
    <row r="1899" spans="1:13" x14ac:dyDescent="0.3">
      <c r="A1899" s="3">
        <v>8913001</v>
      </c>
      <c r="B1899" s="4" t="s">
        <v>3047</v>
      </c>
      <c r="C1899" s="5" t="s">
        <v>3048</v>
      </c>
      <c r="D1899" s="5" t="s">
        <v>3048</v>
      </c>
      <c r="E1899" s="3" t="s">
        <v>491</v>
      </c>
      <c r="F1899" s="6">
        <v>18</v>
      </c>
      <c r="G1899" s="6">
        <v>10</v>
      </c>
      <c r="H1899" s="6">
        <v>35</v>
      </c>
      <c r="I1899" s="7" t="s">
        <v>4315</v>
      </c>
      <c r="J1899" s="3" t="s">
        <v>4317</v>
      </c>
      <c r="K1899" s="8" t="s">
        <v>4450</v>
      </c>
      <c r="L1899" s="9" t="s">
        <v>3049</v>
      </c>
      <c r="M1899" s="1" t="s">
        <v>3050</v>
      </c>
    </row>
    <row r="1900" spans="1:13" x14ac:dyDescent="0.3">
      <c r="A1900" s="3">
        <v>8913002</v>
      </c>
      <c r="B1900" s="4" t="s">
        <v>3047</v>
      </c>
      <c r="C1900" s="5" t="s">
        <v>3051</v>
      </c>
      <c r="D1900" s="5" t="s">
        <v>3051</v>
      </c>
      <c r="E1900" s="3" t="s">
        <v>491</v>
      </c>
      <c r="F1900" s="6">
        <v>25.5</v>
      </c>
      <c r="G1900" s="6">
        <v>10</v>
      </c>
      <c r="H1900" s="6">
        <v>35</v>
      </c>
      <c r="I1900" s="7" t="s">
        <v>4315</v>
      </c>
      <c r="J1900" s="3" t="s">
        <v>4317</v>
      </c>
      <c r="K1900" s="8" t="s">
        <v>4617</v>
      </c>
      <c r="L1900" s="9" t="s">
        <v>3052</v>
      </c>
      <c r="M1900" s="1" t="s">
        <v>3053</v>
      </c>
    </row>
    <row r="1901" spans="1:13" x14ac:dyDescent="0.3">
      <c r="A1901" s="3">
        <v>8110001</v>
      </c>
      <c r="B1901" s="4" t="s">
        <v>3054</v>
      </c>
      <c r="C1901" s="5" t="s">
        <v>3055</v>
      </c>
      <c r="D1901" s="5" t="s">
        <v>96</v>
      </c>
      <c r="E1901" s="3" t="s">
        <v>3056</v>
      </c>
      <c r="F1901" s="6">
        <v>60</v>
      </c>
      <c r="G1901" s="6">
        <v>40</v>
      </c>
      <c r="H1901" s="6">
        <v>42</v>
      </c>
      <c r="I1901" s="7" t="s">
        <v>4315</v>
      </c>
      <c r="J1901" s="3" t="s">
        <v>4317</v>
      </c>
      <c r="K1901" s="8">
        <v>1.76</v>
      </c>
      <c r="L1901" s="9" t="s">
        <v>3057</v>
      </c>
      <c r="M1901" s="1" t="s">
        <v>3058</v>
      </c>
    </row>
    <row r="1902" spans="1:13" x14ac:dyDescent="0.3">
      <c r="A1902" s="3">
        <v>8710001</v>
      </c>
      <c r="B1902" s="4" t="s">
        <v>3059</v>
      </c>
      <c r="C1902" s="5" t="s">
        <v>3060</v>
      </c>
      <c r="D1902" s="5" t="s">
        <v>96</v>
      </c>
      <c r="E1902" s="3" t="s">
        <v>3061</v>
      </c>
      <c r="F1902" s="6">
        <v>56</v>
      </c>
      <c r="G1902" s="6">
        <v>45</v>
      </c>
      <c r="H1902" s="6">
        <v>36</v>
      </c>
      <c r="I1902" s="7">
        <v>26</v>
      </c>
      <c r="J1902" s="3" t="s">
        <v>4317</v>
      </c>
      <c r="K1902" s="8">
        <v>1.69</v>
      </c>
      <c r="L1902" s="9" t="s">
        <v>3062</v>
      </c>
      <c r="M1902" s="1" t="s">
        <v>3063</v>
      </c>
    </row>
    <row r="1903" spans="1:13" x14ac:dyDescent="0.3">
      <c r="A1903" s="3">
        <v>8719002</v>
      </c>
      <c r="B1903" s="4" t="s">
        <v>3059</v>
      </c>
      <c r="C1903" s="5" t="s">
        <v>74</v>
      </c>
      <c r="D1903" s="5" t="s">
        <v>74</v>
      </c>
      <c r="E1903" s="3" t="s">
        <v>3061</v>
      </c>
      <c r="F1903" s="6">
        <v>54</v>
      </c>
      <c r="G1903" s="6">
        <v>42.5</v>
      </c>
      <c r="H1903" s="6">
        <v>0</v>
      </c>
      <c r="I1903" s="7" t="s">
        <v>3375</v>
      </c>
      <c r="J1903" s="3" t="s">
        <v>4422</v>
      </c>
      <c r="K1903" s="8" t="s">
        <v>4427</v>
      </c>
      <c r="L1903" s="9" t="s">
        <v>3064</v>
      </c>
      <c r="M1903" s="1" t="s">
        <v>3065</v>
      </c>
    </row>
    <row r="1904" spans="1:13" x14ac:dyDescent="0.3">
      <c r="A1904" s="3">
        <v>8720003</v>
      </c>
      <c r="B1904" s="4" t="s">
        <v>3059</v>
      </c>
      <c r="C1904" s="5" t="s">
        <v>90</v>
      </c>
      <c r="D1904" s="5" t="s">
        <v>264</v>
      </c>
      <c r="E1904" s="3" t="s">
        <v>3061</v>
      </c>
      <c r="F1904" s="6">
        <v>54.6</v>
      </c>
      <c r="G1904" s="6">
        <v>11</v>
      </c>
      <c r="H1904" s="6">
        <v>0</v>
      </c>
      <c r="I1904" s="7" t="s">
        <v>4447</v>
      </c>
      <c r="J1904" s="3" t="s">
        <v>4317</v>
      </c>
      <c r="K1904" s="8" t="s">
        <v>4425</v>
      </c>
      <c r="L1904" s="9" t="s">
        <v>3066</v>
      </c>
      <c r="M1904" s="1" t="s">
        <v>3067</v>
      </c>
    </row>
    <row r="1905" spans="1:13" x14ac:dyDescent="0.3">
      <c r="A1905" s="3">
        <v>8721004</v>
      </c>
      <c r="B1905" s="4" t="s">
        <v>3059</v>
      </c>
      <c r="C1905" s="5" t="s">
        <v>90</v>
      </c>
      <c r="D1905" s="5" t="s">
        <v>267</v>
      </c>
      <c r="E1905" s="3" t="s">
        <v>3061</v>
      </c>
      <c r="F1905" s="6">
        <v>54.6</v>
      </c>
      <c r="G1905" s="6">
        <v>4</v>
      </c>
      <c r="H1905" s="6">
        <v>0</v>
      </c>
      <c r="I1905" s="7" t="s">
        <v>4447</v>
      </c>
      <c r="J1905" s="3" t="s">
        <v>4317</v>
      </c>
      <c r="K1905" s="8" t="s">
        <v>4441</v>
      </c>
      <c r="L1905" s="9" t="s">
        <v>3068</v>
      </c>
      <c r="M1905" s="1" t="s">
        <v>3069</v>
      </c>
    </row>
    <row r="1906" spans="1:13" x14ac:dyDescent="0.3">
      <c r="A1906" s="3">
        <v>8722005</v>
      </c>
      <c r="B1906" s="4" t="s">
        <v>3059</v>
      </c>
      <c r="C1906" s="5" t="s">
        <v>90</v>
      </c>
      <c r="D1906" s="5" t="s">
        <v>399</v>
      </c>
      <c r="E1906" s="3" t="s">
        <v>3061</v>
      </c>
      <c r="F1906" s="6">
        <v>44.4</v>
      </c>
      <c r="G1906" s="6">
        <v>17</v>
      </c>
      <c r="H1906" s="6">
        <v>0</v>
      </c>
      <c r="I1906" s="7" t="s">
        <v>4447</v>
      </c>
      <c r="J1906" s="3" t="s">
        <v>4317</v>
      </c>
      <c r="K1906" s="8" t="s">
        <v>4427</v>
      </c>
      <c r="L1906" s="9" t="s">
        <v>3070</v>
      </c>
      <c r="M1906" s="1" t="s">
        <v>3071</v>
      </c>
    </row>
    <row r="1907" spans="1:13" x14ac:dyDescent="0.3">
      <c r="A1907" s="3">
        <v>8723006</v>
      </c>
      <c r="B1907" s="4" t="s">
        <v>3059</v>
      </c>
      <c r="C1907" s="5" t="s">
        <v>90</v>
      </c>
      <c r="D1907" s="5" t="s">
        <v>644</v>
      </c>
      <c r="E1907" s="3" t="s">
        <v>3061</v>
      </c>
      <c r="F1907" s="6">
        <v>44.4</v>
      </c>
      <c r="G1907" s="6">
        <v>4</v>
      </c>
      <c r="H1907" s="6">
        <v>0</v>
      </c>
      <c r="I1907" s="7" t="s">
        <v>4447</v>
      </c>
      <c r="J1907" s="3" t="s">
        <v>4317</v>
      </c>
      <c r="K1907" s="8" t="s">
        <v>4575</v>
      </c>
      <c r="L1907" s="9" t="s">
        <v>3072</v>
      </c>
      <c r="M1907" s="1" t="s">
        <v>3073</v>
      </c>
    </row>
    <row r="1908" spans="1:13" x14ac:dyDescent="0.3">
      <c r="A1908" s="3">
        <v>8720007</v>
      </c>
      <c r="B1908" s="4" t="s">
        <v>3059</v>
      </c>
      <c r="C1908" s="5" t="s">
        <v>90</v>
      </c>
      <c r="D1908" s="5" t="s">
        <v>264</v>
      </c>
      <c r="E1908" s="3" t="s">
        <v>3061</v>
      </c>
      <c r="F1908" s="6">
        <v>54.6</v>
      </c>
      <c r="G1908" s="6">
        <v>11</v>
      </c>
      <c r="H1908" s="6">
        <v>0</v>
      </c>
      <c r="I1908" s="7" t="s">
        <v>4447</v>
      </c>
      <c r="J1908" s="3" t="s">
        <v>4317</v>
      </c>
      <c r="K1908" s="8" t="s">
        <v>4425</v>
      </c>
      <c r="L1908" s="9" t="s">
        <v>3074</v>
      </c>
      <c r="M1908" s="1" t="s">
        <v>3075</v>
      </c>
    </row>
    <row r="1909" spans="1:13" x14ac:dyDescent="0.3">
      <c r="A1909" s="3">
        <v>8721008</v>
      </c>
      <c r="B1909" s="4" t="s">
        <v>3059</v>
      </c>
      <c r="C1909" s="5" t="s">
        <v>90</v>
      </c>
      <c r="D1909" s="5" t="s">
        <v>267</v>
      </c>
      <c r="E1909" s="3" t="s">
        <v>3061</v>
      </c>
      <c r="F1909" s="6">
        <v>54.6</v>
      </c>
      <c r="G1909" s="6">
        <v>4</v>
      </c>
      <c r="H1909" s="6">
        <v>0</v>
      </c>
      <c r="I1909" s="7" t="s">
        <v>4447</v>
      </c>
      <c r="J1909" s="3" t="s">
        <v>4317</v>
      </c>
      <c r="K1909" s="8" t="s">
        <v>4441</v>
      </c>
      <c r="L1909" s="9" t="s">
        <v>3076</v>
      </c>
      <c r="M1909" s="1" t="s">
        <v>3077</v>
      </c>
    </row>
    <row r="1910" spans="1:13" x14ac:dyDescent="0.3">
      <c r="A1910" s="3">
        <v>8722009</v>
      </c>
      <c r="B1910" s="4" t="s">
        <v>3059</v>
      </c>
      <c r="C1910" s="5" t="s">
        <v>90</v>
      </c>
      <c r="D1910" s="5" t="s">
        <v>399</v>
      </c>
      <c r="E1910" s="3" t="s">
        <v>3061</v>
      </c>
      <c r="F1910" s="6">
        <v>44.4</v>
      </c>
      <c r="G1910" s="6">
        <v>17</v>
      </c>
      <c r="H1910" s="6">
        <v>0</v>
      </c>
      <c r="I1910" s="7" t="s">
        <v>4447</v>
      </c>
      <c r="J1910" s="3" t="s">
        <v>4317</v>
      </c>
      <c r="K1910" s="8" t="s">
        <v>4427</v>
      </c>
      <c r="L1910" s="9" t="s">
        <v>3078</v>
      </c>
      <c r="M1910" s="1" t="s">
        <v>3079</v>
      </c>
    </row>
    <row r="1911" spans="1:13" x14ac:dyDescent="0.3">
      <c r="A1911" s="3">
        <v>8723010</v>
      </c>
      <c r="B1911" s="4" t="s">
        <v>3059</v>
      </c>
      <c r="C1911" s="5" t="s">
        <v>131</v>
      </c>
      <c r="D1911" s="5" t="s">
        <v>644</v>
      </c>
      <c r="E1911" s="3" t="s">
        <v>3061</v>
      </c>
      <c r="F1911" s="6">
        <v>44.4</v>
      </c>
      <c r="G1911" s="6">
        <v>4</v>
      </c>
      <c r="H1911" s="6">
        <v>0</v>
      </c>
      <c r="I1911" s="7" t="s">
        <v>4447</v>
      </c>
      <c r="J1911" s="3" t="s">
        <v>4317</v>
      </c>
      <c r="K1911" s="8" t="s">
        <v>4575</v>
      </c>
      <c r="L1911" s="9" t="s">
        <v>3080</v>
      </c>
      <c r="M1911" s="1" t="s">
        <v>3081</v>
      </c>
    </row>
    <row r="1912" spans="1:13" x14ac:dyDescent="0.3">
      <c r="A1912" s="3">
        <v>3611001</v>
      </c>
      <c r="B1912" s="4" t="s">
        <v>5413</v>
      </c>
      <c r="C1912" s="5" t="s">
        <v>3082</v>
      </c>
      <c r="D1912" s="5" t="s">
        <v>154</v>
      </c>
      <c r="E1912" s="3" t="s">
        <v>14</v>
      </c>
      <c r="F1912" s="6">
        <v>60</v>
      </c>
      <c r="G1912" s="6">
        <v>54.5</v>
      </c>
      <c r="H1912" s="6">
        <v>23</v>
      </c>
      <c r="I1912" s="7" t="s">
        <v>4315</v>
      </c>
      <c r="J1912" s="3" t="s">
        <v>4317</v>
      </c>
      <c r="K1912" s="8" t="s">
        <v>4435</v>
      </c>
      <c r="L1912" s="9" t="s">
        <v>3083</v>
      </c>
      <c r="M1912" s="1" t="s">
        <v>3084</v>
      </c>
    </row>
    <row r="1913" spans="1:13" x14ac:dyDescent="0.3">
      <c r="A1913" s="3">
        <v>3613002</v>
      </c>
      <c r="B1913" s="4" t="s">
        <v>5413</v>
      </c>
      <c r="C1913" s="5">
        <v>2558403</v>
      </c>
      <c r="D1913" s="5" t="s">
        <v>2584</v>
      </c>
      <c r="E1913" s="3" t="s">
        <v>14</v>
      </c>
      <c r="F1913" s="6">
        <v>61.4</v>
      </c>
      <c r="G1913" s="6">
        <v>54.4</v>
      </c>
      <c r="H1913" s="6">
        <v>5.4</v>
      </c>
      <c r="I1913" s="7" t="s">
        <v>4315</v>
      </c>
      <c r="J1913" s="3" t="s">
        <v>4317</v>
      </c>
      <c r="K1913" s="8" t="s">
        <v>4628</v>
      </c>
      <c r="L1913" s="9" t="s">
        <v>3085</v>
      </c>
      <c r="M1913" s="1" t="s">
        <v>3086</v>
      </c>
    </row>
    <row r="1914" spans="1:13" x14ac:dyDescent="0.3">
      <c r="A1914" s="3">
        <v>3620003</v>
      </c>
      <c r="B1914" s="4" t="s">
        <v>5413</v>
      </c>
      <c r="C1914" s="5" t="s">
        <v>3087</v>
      </c>
      <c r="D1914" s="5" t="s">
        <v>264</v>
      </c>
      <c r="E1914" s="3" t="s">
        <v>14</v>
      </c>
      <c r="F1914" s="6">
        <v>56.5</v>
      </c>
      <c r="G1914" s="6">
        <v>43.5</v>
      </c>
      <c r="H1914" s="6">
        <v>0</v>
      </c>
      <c r="I1914" s="7" t="s">
        <v>4315</v>
      </c>
      <c r="J1914" s="3" t="s">
        <v>4317</v>
      </c>
      <c r="K1914" s="8" t="s">
        <v>4552</v>
      </c>
      <c r="L1914" s="9" t="s">
        <v>3088</v>
      </c>
      <c r="M1914" s="1" t="s">
        <v>3089</v>
      </c>
    </row>
    <row r="1915" spans="1:13" x14ac:dyDescent="0.3">
      <c r="A1915" s="3">
        <v>3621004</v>
      </c>
      <c r="B1915" s="4" t="s">
        <v>5413</v>
      </c>
      <c r="C1915" s="5" t="s">
        <v>3087</v>
      </c>
      <c r="D1915" s="5" t="s">
        <v>267</v>
      </c>
      <c r="E1915" s="3" t="s">
        <v>14</v>
      </c>
      <c r="F1915" s="6">
        <v>44.5</v>
      </c>
      <c r="G1915" s="6">
        <v>43.5</v>
      </c>
      <c r="H1915" s="6">
        <v>0</v>
      </c>
      <c r="I1915" s="7" t="s">
        <v>4315</v>
      </c>
      <c r="J1915" s="3" t="s">
        <v>4317</v>
      </c>
      <c r="K1915" s="8" t="s">
        <v>4623</v>
      </c>
      <c r="L1915" s="9" t="s">
        <v>3090</v>
      </c>
      <c r="M1915" s="1" t="s">
        <v>3091</v>
      </c>
    </row>
    <row r="1916" spans="1:13" x14ac:dyDescent="0.3">
      <c r="A1916" s="3">
        <v>3610005</v>
      </c>
      <c r="B1916" s="4" t="s">
        <v>5413</v>
      </c>
      <c r="C1916" s="5" t="s">
        <v>3092</v>
      </c>
      <c r="D1916" s="5" t="s">
        <v>96</v>
      </c>
      <c r="E1916" s="3" t="s">
        <v>14</v>
      </c>
      <c r="F1916" s="6">
        <v>55</v>
      </c>
      <c r="G1916" s="6">
        <v>33</v>
      </c>
      <c r="H1916" s="6">
        <v>19.100000000000001</v>
      </c>
      <c r="I1916" s="7" t="s">
        <v>4315</v>
      </c>
      <c r="J1916" s="3" t="s">
        <v>4317</v>
      </c>
      <c r="K1916" s="8" t="s">
        <v>4444</v>
      </c>
      <c r="L1916" s="9" t="s">
        <v>3093</v>
      </c>
      <c r="M1916" s="1" t="s">
        <v>3094</v>
      </c>
    </row>
    <row r="1917" spans="1:13" x14ac:dyDescent="0.3">
      <c r="A1917" s="3">
        <v>3613006</v>
      </c>
      <c r="B1917" s="4" t="s">
        <v>5413</v>
      </c>
      <c r="C1917" s="5" t="s">
        <v>3095</v>
      </c>
      <c r="D1917" s="5" t="s">
        <v>2584</v>
      </c>
      <c r="E1917" s="3" t="s">
        <v>14</v>
      </c>
      <c r="F1917" s="6">
        <v>115.4</v>
      </c>
      <c r="G1917" s="6">
        <v>122.4</v>
      </c>
      <c r="H1917" s="6">
        <v>8.4</v>
      </c>
      <c r="I1917" s="7" t="s">
        <v>4315</v>
      </c>
      <c r="J1917" s="3" t="s">
        <v>4317</v>
      </c>
      <c r="K1917" s="8" t="s">
        <v>4723</v>
      </c>
      <c r="L1917" s="9" t="s">
        <v>3096</v>
      </c>
      <c r="M1917" s="1" t="s">
        <v>3097</v>
      </c>
    </row>
    <row r="1918" spans="1:13" x14ac:dyDescent="0.3">
      <c r="A1918" s="3">
        <v>3611007</v>
      </c>
      <c r="B1918" s="4" t="s">
        <v>5413</v>
      </c>
      <c r="C1918" s="5" t="s">
        <v>3098</v>
      </c>
      <c r="D1918" s="5" t="s">
        <v>154</v>
      </c>
      <c r="E1918" s="3" t="s">
        <v>14</v>
      </c>
      <c r="F1918" s="6">
        <v>122.7</v>
      </c>
      <c r="G1918" s="6">
        <v>115.2</v>
      </c>
      <c r="H1918" s="6">
        <v>66.7</v>
      </c>
      <c r="I1918" s="7" t="s">
        <v>4316</v>
      </c>
      <c r="J1918" s="3" t="s">
        <v>4318</v>
      </c>
      <c r="K1918" s="8" t="s">
        <v>4724</v>
      </c>
      <c r="L1918" s="9" t="s">
        <v>3099</v>
      </c>
      <c r="M1918" s="1" t="s">
        <v>3100</v>
      </c>
    </row>
    <row r="1919" spans="1:13" x14ac:dyDescent="0.3">
      <c r="A1919" s="3">
        <v>3619008</v>
      </c>
      <c r="B1919" s="4" t="s">
        <v>5413</v>
      </c>
      <c r="C1919" s="5" t="s">
        <v>3098</v>
      </c>
      <c r="D1919" s="5" t="s">
        <v>74</v>
      </c>
      <c r="E1919" s="3" t="s">
        <v>14</v>
      </c>
      <c r="F1919" s="6">
        <v>121</v>
      </c>
      <c r="G1919" s="6">
        <v>113</v>
      </c>
      <c r="H1919" s="6">
        <v>0</v>
      </c>
      <c r="I1919" s="7" t="s">
        <v>4316</v>
      </c>
      <c r="J1919" s="3" t="s">
        <v>4318</v>
      </c>
      <c r="K1919" s="8" t="s">
        <v>4328</v>
      </c>
      <c r="L1919" s="9" t="s">
        <v>3101</v>
      </c>
      <c r="M1919" s="1" t="s">
        <v>3102</v>
      </c>
    </row>
    <row r="1920" spans="1:13" x14ac:dyDescent="0.3">
      <c r="A1920" s="3">
        <v>3614009</v>
      </c>
      <c r="B1920" s="4" t="s">
        <v>5413</v>
      </c>
      <c r="C1920" s="5" t="s">
        <v>3098</v>
      </c>
      <c r="D1920" s="5" t="s">
        <v>392</v>
      </c>
      <c r="E1920" s="3" t="s">
        <v>14</v>
      </c>
      <c r="F1920" s="6">
        <v>123.9</v>
      </c>
      <c r="G1920" s="6">
        <v>116.4</v>
      </c>
      <c r="H1920" s="6">
        <v>10.4</v>
      </c>
      <c r="I1920" s="7" t="s">
        <v>4315</v>
      </c>
      <c r="J1920" s="3" t="s">
        <v>4317</v>
      </c>
      <c r="K1920" s="8" t="s">
        <v>4691</v>
      </c>
      <c r="L1920" s="9" t="s">
        <v>3103</v>
      </c>
      <c r="M1920" s="1" t="s">
        <v>3104</v>
      </c>
    </row>
    <row r="1921" spans="1:13" x14ac:dyDescent="0.3">
      <c r="A1921" s="3">
        <v>3614010</v>
      </c>
      <c r="B1921" s="4" t="s">
        <v>5413</v>
      </c>
      <c r="C1921" s="5" t="s">
        <v>3105</v>
      </c>
      <c r="D1921" s="5" t="s">
        <v>392</v>
      </c>
      <c r="E1921" s="3" t="s">
        <v>14</v>
      </c>
      <c r="F1921" s="6">
        <v>61.4</v>
      </c>
      <c r="G1921" s="6">
        <v>57.4</v>
      </c>
      <c r="H1921" s="6">
        <v>5.4</v>
      </c>
      <c r="I1921" s="7" t="s">
        <v>4447</v>
      </c>
      <c r="J1921" s="3" t="s">
        <v>4317</v>
      </c>
      <c r="K1921" s="8" t="s">
        <v>4477</v>
      </c>
      <c r="L1921" s="9" t="s">
        <v>3106</v>
      </c>
      <c r="M1921" s="1" t="s">
        <v>3107</v>
      </c>
    </row>
    <row r="1922" spans="1:13" x14ac:dyDescent="0.3">
      <c r="A1922" s="3">
        <v>3614011</v>
      </c>
      <c r="B1922" s="4" t="s">
        <v>5413</v>
      </c>
      <c r="C1922" s="5" t="s">
        <v>3108</v>
      </c>
      <c r="D1922" s="5" t="s">
        <v>392</v>
      </c>
      <c r="E1922" s="3" t="s">
        <v>14</v>
      </c>
      <c r="F1922" s="6">
        <v>144</v>
      </c>
      <c r="G1922" s="6">
        <v>123</v>
      </c>
      <c r="H1922" s="6">
        <v>10</v>
      </c>
      <c r="I1922" s="7" t="s">
        <v>4315</v>
      </c>
      <c r="J1922" s="3" t="s">
        <v>4317</v>
      </c>
      <c r="K1922" s="8" t="s">
        <v>4611</v>
      </c>
      <c r="L1922" s="9" t="s">
        <v>3109</v>
      </c>
      <c r="M1922" s="1" t="s">
        <v>3110</v>
      </c>
    </row>
    <row r="1923" spans="1:13" x14ac:dyDescent="0.3">
      <c r="A1923" s="3">
        <v>3619012</v>
      </c>
      <c r="B1923" s="4" t="s">
        <v>5413</v>
      </c>
      <c r="C1923" s="5" t="s">
        <v>3111</v>
      </c>
      <c r="D1923" s="5" t="s">
        <v>74</v>
      </c>
      <c r="E1923" s="3" t="s">
        <v>14</v>
      </c>
      <c r="F1923" s="6">
        <v>110.5</v>
      </c>
      <c r="G1923" s="6">
        <v>90.8</v>
      </c>
      <c r="H1923" s="6">
        <v>0</v>
      </c>
      <c r="I1923" s="7" t="s">
        <v>4315</v>
      </c>
      <c r="J1923" s="3" t="s">
        <v>4317</v>
      </c>
      <c r="K1923" s="8" t="s">
        <v>4333</v>
      </c>
      <c r="L1923" s="9" t="s">
        <v>3112</v>
      </c>
      <c r="M1923" s="1" t="s">
        <v>3113</v>
      </c>
    </row>
    <row r="1924" spans="1:13" x14ac:dyDescent="0.3">
      <c r="A1924" s="3">
        <v>3610013</v>
      </c>
      <c r="B1924" s="4" t="s">
        <v>5413</v>
      </c>
      <c r="C1924" s="5" t="s">
        <v>3114</v>
      </c>
      <c r="D1924" s="5" t="s">
        <v>96</v>
      </c>
      <c r="E1924" s="3" t="s">
        <v>3115</v>
      </c>
      <c r="F1924" s="6">
        <v>60.5</v>
      </c>
      <c r="G1924" s="6">
        <v>58</v>
      </c>
      <c r="H1924" s="6">
        <v>59</v>
      </c>
      <c r="I1924" s="7" t="s">
        <v>4315</v>
      </c>
      <c r="J1924" s="3" t="s">
        <v>4317</v>
      </c>
      <c r="K1924" s="8" t="s">
        <v>4725</v>
      </c>
      <c r="L1924" s="9" t="s">
        <v>3116</v>
      </c>
      <c r="M1924" s="1" t="s">
        <v>3117</v>
      </c>
    </row>
    <row r="1925" spans="1:13" x14ac:dyDescent="0.3">
      <c r="A1925" s="3">
        <v>3620014</v>
      </c>
      <c r="B1925" s="4" t="s">
        <v>5413</v>
      </c>
      <c r="C1925" s="5" t="s">
        <v>3118</v>
      </c>
      <c r="D1925" s="5" t="s">
        <v>264</v>
      </c>
      <c r="E1925" s="3" t="s">
        <v>3115</v>
      </c>
      <c r="F1925" s="6">
        <v>56</v>
      </c>
      <c r="G1925" s="6">
        <v>57</v>
      </c>
      <c r="H1925" s="6">
        <v>0</v>
      </c>
      <c r="I1925" s="7" t="s">
        <v>4315</v>
      </c>
      <c r="J1925" s="3" t="s">
        <v>4317</v>
      </c>
      <c r="K1925" s="8" t="s">
        <v>4692</v>
      </c>
      <c r="L1925" s="9" t="s">
        <v>3119</v>
      </c>
      <c r="M1925" s="1" t="s">
        <v>3120</v>
      </c>
    </row>
    <row r="1926" spans="1:13" x14ac:dyDescent="0.3">
      <c r="A1926" s="3">
        <v>3621015</v>
      </c>
      <c r="B1926" s="4" t="s">
        <v>5413</v>
      </c>
      <c r="C1926" s="5" t="s">
        <v>3118</v>
      </c>
      <c r="D1926" s="5" t="s">
        <v>267</v>
      </c>
      <c r="E1926" s="3" t="s">
        <v>3115</v>
      </c>
      <c r="F1926" s="6">
        <v>59</v>
      </c>
      <c r="G1926" s="6">
        <v>57</v>
      </c>
      <c r="H1926" s="6">
        <v>0</v>
      </c>
      <c r="I1926" s="7" t="s">
        <v>4315</v>
      </c>
      <c r="J1926" s="3" t="s">
        <v>4317</v>
      </c>
      <c r="K1926" s="8" t="s">
        <v>4367</v>
      </c>
      <c r="L1926" s="9" t="s">
        <v>3121</v>
      </c>
      <c r="M1926" s="1" t="s">
        <v>3122</v>
      </c>
    </row>
    <row r="1927" spans="1:13" x14ac:dyDescent="0.3">
      <c r="A1927" s="3">
        <v>3610016</v>
      </c>
      <c r="B1927" s="4" t="s">
        <v>5413</v>
      </c>
      <c r="C1927" s="5" t="s">
        <v>3123</v>
      </c>
      <c r="D1927" s="5" t="s">
        <v>96</v>
      </c>
      <c r="E1927" s="3" t="s">
        <v>3124</v>
      </c>
      <c r="F1927" s="6">
        <v>61</v>
      </c>
      <c r="G1927" s="6">
        <v>57</v>
      </c>
      <c r="H1927" s="6">
        <v>63</v>
      </c>
      <c r="I1927" s="7" t="s">
        <v>4315</v>
      </c>
      <c r="J1927" s="3" t="s">
        <v>4317</v>
      </c>
      <c r="K1927" s="8" t="s">
        <v>4726</v>
      </c>
      <c r="L1927" s="9" t="s">
        <v>3125</v>
      </c>
      <c r="M1927" s="1" t="s">
        <v>3126</v>
      </c>
    </row>
    <row r="1928" spans="1:13" x14ac:dyDescent="0.3">
      <c r="A1928" s="3">
        <v>3620017</v>
      </c>
      <c r="B1928" s="4" t="s">
        <v>5413</v>
      </c>
      <c r="C1928" s="5" t="s">
        <v>3127</v>
      </c>
      <c r="D1928" s="5" t="s">
        <v>264</v>
      </c>
      <c r="E1928" s="3" t="s">
        <v>3124</v>
      </c>
      <c r="F1928" s="6">
        <v>56</v>
      </c>
      <c r="G1928" s="6">
        <v>60.5</v>
      </c>
      <c r="H1928" s="6">
        <v>0</v>
      </c>
      <c r="I1928" s="7" t="s">
        <v>4315</v>
      </c>
      <c r="J1928" s="3" t="s">
        <v>4317</v>
      </c>
      <c r="K1928" s="8" t="s">
        <v>4569</v>
      </c>
      <c r="L1928" s="9" t="s">
        <v>3128</v>
      </c>
      <c r="M1928" s="1" t="s">
        <v>3129</v>
      </c>
    </row>
    <row r="1929" spans="1:13" x14ac:dyDescent="0.3">
      <c r="A1929" s="3">
        <v>3621018</v>
      </c>
      <c r="B1929" s="4" t="s">
        <v>5413</v>
      </c>
      <c r="C1929" s="5" t="s">
        <v>3127</v>
      </c>
      <c r="D1929" s="5" t="s">
        <v>267</v>
      </c>
      <c r="E1929" s="3" t="s">
        <v>3124</v>
      </c>
      <c r="F1929" s="6">
        <v>59.5</v>
      </c>
      <c r="G1929" s="6">
        <v>60.5</v>
      </c>
      <c r="H1929" s="6">
        <v>0</v>
      </c>
      <c r="I1929" s="7" t="s">
        <v>4315</v>
      </c>
      <c r="J1929" s="3" t="s">
        <v>4317</v>
      </c>
      <c r="K1929" s="8" t="s">
        <v>4727</v>
      </c>
      <c r="L1929" s="9" t="s">
        <v>3130</v>
      </c>
      <c r="M1929" s="1" t="s">
        <v>3131</v>
      </c>
    </row>
    <row r="1930" spans="1:13" x14ac:dyDescent="0.3">
      <c r="A1930" s="3">
        <v>3610019</v>
      </c>
      <c r="B1930" s="4" t="s">
        <v>5413</v>
      </c>
      <c r="C1930" s="5" t="s">
        <v>3132</v>
      </c>
      <c r="D1930" s="5" t="s">
        <v>96</v>
      </c>
      <c r="E1930" s="3" t="s">
        <v>3133</v>
      </c>
      <c r="F1930" s="6">
        <v>61</v>
      </c>
      <c r="G1930" s="6">
        <v>57</v>
      </c>
      <c r="H1930" s="6">
        <v>65</v>
      </c>
      <c r="I1930" s="7" t="s">
        <v>4315</v>
      </c>
      <c r="J1930" s="3" t="s">
        <v>4317</v>
      </c>
      <c r="K1930" s="8" t="s">
        <v>4679</v>
      </c>
      <c r="L1930" s="9" t="s">
        <v>3134</v>
      </c>
      <c r="M1930" s="1" t="s">
        <v>3135</v>
      </c>
    </row>
    <row r="1931" spans="1:13" x14ac:dyDescent="0.3">
      <c r="A1931" s="3">
        <v>3620020</v>
      </c>
      <c r="B1931" s="4" t="s">
        <v>5413</v>
      </c>
      <c r="C1931" s="5" t="s">
        <v>3136</v>
      </c>
      <c r="D1931" s="5" t="s">
        <v>264</v>
      </c>
      <c r="E1931" s="3" t="s">
        <v>3133</v>
      </c>
      <c r="F1931" s="6">
        <v>56</v>
      </c>
      <c r="G1931" s="6">
        <v>63</v>
      </c>
      <c r="H1931" s="6">
        <v>0</v>
      </c>
      <c r="I1931" s="7" t="s">
        <v>4315</v>
      </c>
      <c r="J1931" s="3" t="s">
        <v>4317</v>
      </c>
      <c r="K1931" s="8" t="s">
        <v>4389</v>
      </c>
      <c r="L1931" s="9" t="s">
        <v>3137</v>
      </c>
      <c r="M1931" s="1" t="s">
        <v>3138</v>
      </c>
    </row>
    <row r="1932" spans="1:13" x14ac:dyDescent="0.3">
      <c r="A1932" s="3">
        <v>3621021</v>
      </c>
      <c r="B1932" s="4" t="s">
        <v>5413</v>
      </c>
      <c r="C1932" s="5" t="s">
        <v>3136</v>
      </c>
      <c r="D1932" s="5" t="s">
        <v>267</v>
      </c>
      <c r="E1932" s="3" t="s">
        <v>3133</v>
      </c>
      <c r="F1932" s="6">
        <v>59</v>
      </c>
      <c r="G1932" s="6">
        <v>63</v>
      </c>
      <c r="H1932" s="6">
        <v>0</v>
      </c>
      <c r="I1932" s="7" t="s">
        <v>4315</v>
      </c>
      <c r="J1932" s="3" t="s">
        <v>4317</v>
      </c>
      <c r="K1932" s="8" t="s">
        <v>4608</v>
      </c>
      <c r="L1932" s="9" t="s">
        <v>3139</v>
      </c>
      <c r="M1932" s="1" t="s">
        <v>3140</v>
      </c>
    </row>
    <row r="1933" spans="1:13" x14ac:dyDescent="0.3">
      <c r="A1933" s="3">
        <v>3610022</v>
      </c>
      <c r="B1933" s="4" t="s">
        <v>5413</v>
      </c>
      <c r="C1933" s="5" t="s">
        <v>3141</v>
      </c>
      <c r="D1933" s="5" t="s">
        <v>96</v>
      </c>
      <c r="E1933" s="3" t="s">
        <v>3142</v>
      </c>
      <c r="F1933" s="6">
        <v>60.5</v>
      </c>
      <c r="G1933" s="6">
        <v>56.7</v>
      </c>
      <c r="H1933" s="6">
        <v>62.2</v>
      </c>
      <c r="I1933" s="7" t="s">
        <v>4473</v>
      </c>
      <c r="J1933" s="3" t="s">
        <v>4317</v>
      </c>
      <c r="K1933" s="8" t="s">
        <v>4338</v>
      </c>
      <c r="L1933" s="9" t="s">
        <v>3143</v>
      </c>
      <c r="M1933" s="1" t="s">
        <v>3144</v>
      </c>
    </row>
    <row r="1934" spans="1:13" x14ac:dyDescent="0.3">
      <c r="A1934" s="3">
        <v>3620023</v>
      </c>
      <c r="B1934" s="4" t="s">
        <v>5413</v>
      </c>
      <c r="C1934" s="5" t="s">
        <v>3141</v>
      </c>
      <c r="D1934" s="5" t="s">
        <v>264</v>
      </c>
      <c r="E1934" s="3" t="s">
        <v>3142</v>
      </c>
      <c r="F1934" s="6">
        <v>59</v>
      </c>
      <c r="G1934" s="6">
        <v>59</v>
      </c>
      <c r="H1934" s="6">
        <v>0</v>
      </c>
      <c r="I1934" s="7" t="s">
        <v>4315</v>
      </c>
      <c r="J1934" s="3" t="s">
        <v>4317</v>
      </c>
      <c r="K1934" s="8" t="s">
        <v>4398</v>
      </c>
      <c r="L1934" s="9" t="s">
        <v>3145</v>
      </c>
      <c r="M1934" s="1" t="s">
        <v>3146</v>
      </c>
    </row>
    <row r="1935" spans="1:13" x14ac:dyDescent="0.3">
      <c r="A1935" s="3">
        <v>3621024</v>
      </c>
      <c r="B1935" s="4" t="s">
        <v>5413</v>
      </c>
      <c r="C1935" s="5" t="s">
        <v>3141</v>
      </c>
      <c r="D1935" s="5" t="s">
        <v>267</v>
      </c>
      <c r="E1935" s="3" t="s">
        <v>3142</v>
      </c>
      <c r="F1935" s="6">
        <v>55.5</v>
      </c>
      <c r="G1935" s="6">
        <v>59</v>
      </c>
      <c r="H1935" s="6">
        <v>0</v>
      </c>
      <c r="I1935" s="7" t="s">
        <v>4315</v>
      </c>
      <c r="J1935" s="3" t="s">
        <v>4317</v>
      </c>
      <c r="K1935" s="8" t="s">
        <v>4445</v>
      </c>
      <c r="L1935" s="9" t="s">
        <v>3147</v>
      </c>
      <c r="M1935" s="1" t="s">
        <v>3148</v>
      </c>
    </row>
    <row r="1936" spans="1:13" x14ac:dyDescent="0.3">
      <c r="A1936" s="3">
        <v>3620025</v>
      </c>
      <c r="B1936" s="4" t="s">
        <v>5413</v>
      </c>
      <c r="C1936" s="5" t="s">
        <v>3149</v>
      </c>
      <c r="D1936" s="5" t="s">
        <v>264</v>
      </c>
      <c r="E1936" s="3" t="s">
        <v>3150</v>
      </c>
      <c r="F1936" s="6">
        <v>35</v>
      </c>
      <c r="G1936" s="6">
        <v>40</v>
      </c>
      <c r="H1936" s="6">
        <v>0</v>
      </c>
      <c r="I1936" s="7" t="s">
        <v>4315</v>
      </c>
      <c r="J1936" s="3" t="s">
        <v>4317</v>
      </c>
      <c r="K1936" s="8" t="s">
        <v>4409</v>
      </c>
      <c r="L1936" s="9" t="s">
        <v>3151</v>
      </c>
      <c r="M1936" s="1" t="s">
        <v>3152</v>
      </c>
    </row>
    <row r="1937" spans="1:14" x14ac:dyDescent="0.3">
      <c r="A1937" s="3">
        <v>3621026</v>
      </c>
      <c r="B1937" s="4" t="s">
        <v>5413</v>
      </c>
      <c r="C1937" s="5" t="s">
        <v>3149</v>
      </c>
      <c r="D1937" s="5" t="s">
        <v>267</v>
      </c>
      <c r="E1937" s="3" t="s">
        <v>3150</v>
      </c>
      <c r="F1937" s="6">
        <v>59.5</v>
      </c>
      <c r="G1937" s="6">
        <v>40</v>
      </c>
      <c r="H1937" s="6">
        <v>0</v>
      </c>
      <c r="I1937" s="7" t="s">
        <v>4315</v>
      </c>
      <c r="J1937" s="3" t="s">
        <v>4317</v>
      </c>
      <c r="K1937" s="8" t="s">
        <v>4602</v>
      </c>
      <c r="L1937" s="9" t="s">
        <v>3153</v>
      </c>
      <c r="M1937" s="1" t="s">
        <v>3154</v>
      </c>
    </row>
    <row r="1938" spans="1:14" x14ac:dyDescent="0.3">
      <c r="A1938" s="3">
        <v>3611027</v>
      </c>
      <c r="B1938" s="4" t="s">
        <v>5413</v>
      </c>
      <c r="C1938" s="5" t="s">
        <v>3155</v>
      </c>
      <c r="D1938" s="5" t="s">
        <v>154</v>
      </c>
      <c r="E1938" s="3" t="s">
        <v>3156</v>
      </c>
      <c r="F1938" s="6">
        <v>60</v>
      </c>
      <c r="G1938" s="6">
        <v>29</v>
      </c>
      <c r="H1938" s="6">
        <v>40.5</v>
      </c>
      <c r="I1938" s="7" t="s">
        <v>4315</v>
      </c>
      <c r="J1938" s="3" t="s">
        <v>4317</v>
      </c>
      <c r="K1938" s="8" t="s">
        <v>4436</v>
      </c>
      <c r="L1938" s="9" t="s">
        <v>3157</v>
      </c>
      <c r="M1938" s="1" t="s">
        <v>3158</v>
      </c>
    </row>
    <row r="1939" spans="1:14" x14ac:dyDescent="0.3">
      <c r="A1939" s="3">
        <v>3614028</v>
      </c>
      <c r="B1939" s="4" t="s">
        <v>5413</v>
      </c>
      <c r="C1939" s="5" t="s">
        <v>3150</v>
      </c>
      <c r="D1939" s="5" t="s">
        <v>392</v>
      </c>
      <c r="E1939" s="3" t="s">
        <v>3150</v>
      </c>
      <c r="F1939" s="6">
        <v>122.3</v>
      </c>
      <c r="G1939" s="6">
        <v>123.2</v>
      </c>
      <c r="H1939" s="6">
        <v>10</v>
      </c>
      <c r="I1939" s="7" t="s">
        <v>4315</v>
      </c>
      <c r="J1939" s="3" t="s">
        <v>4317</v>
      </c>
      <c r="K1939" s="8" t="s">
        <v>4509</v>
      </c>
      <c r="L1939" s="9" t="s">
        <v>3159</v>
      </c>
      <c r="M1939" s="1" t="s">
        <v>3160</v>
      </c>
    </row>
    <row r="1940" spans="1:14" x14ac:dyDescent="0.3">
      <c r="A1940" s="3">
        <v>3614029</v>
      </c>
      <c r="B1940" s="4" t="s">
        <v>5413</v>
      </c>
      <c r="C1940" s="5" t="s">
        <v>3150</v>
      </c>
      <c r="D1940" s="5" t="s">
        <v>154</v>
      </c>
      <c r="E1940" s="3" t="s">
        <v>3150</v>
      </c>
      <c r="F1940" s="6">
        <v>67.5</v>
      </c>
      <c r="G1940" s="6">
        <v>54.6</v>
      </c>
      <c r="H1940" s="6">
        <v>59.4</v>
      </c>
      <c r="I1940" s="7" t="s">
        <v>4315</v>
      </c>
      <c r="J1940" s="3" t="s">
        <v>4317</v>
      </c>
      <c r="K1940" s="8" t="s">
        <v>4728</v>
      </c>
      <c r="L1940" s="9" t="s">
        <v>3161</v>
      </c>
      <c r="M1940" s="1" t="s">
        <v>3162</v>
      </c>
    </row>
    <row r="1941" spans="1:14" x14ac:dyDescent="0.3">
      <c r="A1941" s="3">
        <v>3620030</v>
      </c>
      <c r="B1941" s="4" t="s">
        <v>5413</v>
      </c>
      <c r="C1941" s="5" t="s">
        <v>5251</v>
      </c>
      <c r="D1941" s="5" t="s">
        <v>4792</v>
      </c>
      <c r="E1941" s="3" t="s">
        <v>14</v>
      </c>
      <c r="F1941" s="6">
        <v>56</v>
      </c>
      <c r="G1941" s="6">
        <v>39</v>
      </c>
      <c r="H1941" s="6">
        <v>25.7</v>
      </c>
      <c r="I1941" s="7" t="s">
        <v>5253</v>
      </c>
      <c r="J1941" s="3" t="s">
        <v>4422</v>
      </c>
      <c r="K1941" s="8">
        <v>0.14000000000000001</v>
      </c>
      <c r="L1941" s="9" t="s">
        <v>5254</v>
      </c>
      <c r="M1941" s="1" t="s">
        <v>5256</v>
      </c>
    </row>
    <row r="1942" spans="1:14" x14ac:dyDescent="0.3">
      <c r="A1942" s="3">
        <v>3621031</v>
      </c>
      <c r="B1942" s="4" t="s">
        <v>5413</v>
      </c>
      <c r="C1942" s="5" t="s">
        <v>5252</v>
      </c>
      <c r="D1942" s="5" t="s">
        <v>74</v>
      </c>
      <c r="E1942" s="3" t="s">
        <v>14</v>
      </c>
      <c r="F1942" s="6">
        <v>54</v>
      </c>
      <c r="G1942" s="6">
        <v>51.5</v>
      </c>
      <c r="H1942" s="6" t="s">
        <v>14</v>
      </c>
      <c r="I1942" s="7" t="s">
        <v>5253</v>
      </c>
      <c r="J1942" s="3" t="s">
        <v>4422</v>
      </c>
      <c r="K1942" s="8">
        <v>0.28000000000000003</v>
      </c>
      <c r="L1942" s="9" t="s">
        <v>5255</v>
      </c>
      <c r="M1942" s="1" t="s">
        <v>5257</v>
      </c>
    </row>
    <row r="1943" spans="1:14" x14ac:dyDescent="0.3">
      <c r="A1943" s="3">
        <v>3617033</v>
      </c>
      <c r="B1943" s="4" t="s">
        <v>5413</v>
      </c>
      <c r="C1943" s="5" t="s">
        <v>3163</v>
      </c>
      <c r="D1943" s="5" t="s">
        <v>86</v>
      </c>
      <c r="E1943" s="3" t="s">
        <v>3164</v>
      </c>
      <c r="F1943" s="6">
        <v>122</v>
      </c>
      <c r="G1943" s="6">
        <v>113</v>
      </c>
      <c r="H1943" s="6">
        <v>72</v>
      </c>
      <c r="I1943" s="7" t="s">
        <v>4446</v>
      </c>
      <c r="J1943" s="3" t="s">
        <v>4318</v>
      </c>
      <c r="K1943" s="8" t="s">
        <v>4729</v>
      </c>
      <c r="L1943" s="9" t="s">
        <v>3165</v>
      </c>
      <c r="M1943" s="1" t="s">
        <v>3166</v>
      </c>
    </row>
    <row r="1944" spans="1:14" x14ac:dyDescent="0.3">
      <c r="A1944" s="3">
        <v>3620034</v>
      </c>
      <c r="B1944" s="4" t="s">
        <v>5413</v>
      </c>
      <c r="C1944" s="5" t="s">
        <v>3163</v>
      </c>
      <c r="D1944" s="5" t="s">
        <v>264</v>
      </c>
      <c r="E1944" s="3" t="s">
        <v>3164</v>
      </c>
      <c r="F1944" s="6">
        <v>150.19999999999999</v>
      </c>
      <c r="G1944" s="6">
        <v>69.900000000000006</v>
      </c>
      <c r="H1944" s="6">
        <v>0</v>
      </c>
      <c r="I1944" s="7" t="s">
        <v>4473</v>
      </c>
      <c r="J1944" s="3" t="s">
        <v>4317</v>
      </c>
      <c r="K1944" s="8" t="s">
        <v>4733</v>
      </c>
      <c r="L1944" s="9" t="s">
        <v>3167</v>
      </c>
      <c r="M1944" s="1" t="s">
        <v>3168</v>
      </c>
    </row>
    <row r="1945" spans="1:14" x14ac:dyDescent="0.3">
      <c r="A1945" s="3">
        <v>3621035</v>
      </c>
      <c r="B1945" s="4" t="s">
        <v>5413</v>
      </c>
      <c r="C1945" s="5" t="s">
        <v>3163</v>
      </c>
      <c r="D1945" s="5" t="s">
        <v>267</v>
      </c>
      <c r="E1945" s="3" t="s">
        <v>3164</v>
      </c>
      <c r="F1945" s="6">
        <v>114.3</v>
      </c>
      <c r="G1945" s="6">
        <v>69.5</v>
      </c>
      <c r="H1945" s="6">
        <v>0</v>
      </c>
      <c r="I1945" s="7" t="s">
        <v>4473</v>
      </c>
      <c r="J1945" s="3" t="s">
        <v>4317</v>
      </c>
      <c r="K1945" s="8" t="s">
        <v>4546</v>
      </c>
      <c r="L1945" s="9" t="s">
        <v>3169</v>
      </c>
      <c r="M1945" s="1" t="s">
        <v>3170</v>
      </c>
    </row>
    <row r="1946" spans="1:14" x14ac:dyDescent="0.3">
      <c r="A1946" s="3">
        <v>3631036</v>
      </c>
      <c r="B1946" s="4" t="s">
        <v>5413</v>
      </c>
      <c r="C1946" s="5" t="s">
        <v>3171</v>
      </c>
      <c r="D1946" s="5" t="s">
        <v>261</v>
      </c>
      <c r="E1946" s="3" t="s">
        <v>3164</v>
      </c>
      <c r="F1946" s="6">
        <v>110.5</v>
      </c>
      <c r="G1946" s="6">
        <v>69.2</v>
      </c>
      <c r="H1946" s="6">
        <v>0</v>
      </c>
      <c r="I1946" s="7" t="s">
        <v>4473</v>
      </c>
      <c r="J1946" s="3" t="s">
        <v>4317</v>
      </c>
      <c r="K1946" s="8" t="s">
        <v>4654</v>
      </c>
      <c r="L1946" s="9" t="s">
        <v>3172</v>
      </c>
      <c r="M1946" s="1" t="s">
        <v>3173</v>
      </c>
    </row>
    <row r="1947" spans="1:14" x14ac:dyDescent="0.3">
      <c r="A1947" s="3">
        <v>3613037</v>
      </c>
      <c r="B1947" s="4" t="s">
        <v>5413</v>
      </c>
      <c r="C1947" s="5" t="s">
        <v>3163</v>
      </c>
      <c r="D1947" s="5" t="s">
        <v>2584</v>
      </c>
      <c r="E1947" s="3" t="s">
        <v>3164</v>
      </c>
      <c r="F1947" s="6">
        <v>97.8</v>
      </c>
      <c r="G1947" s="6">
        <v>88.5</v>
      </c>
      <c r="H1947" s="6">
        <v>13</v>
      </c>
      <c r="I1947" s="7" t="s">
        <v>4315</v>
      </c>
      <c r="J1947" s="3" t="s">
        <v>4317</v>
      </c>
      <c r="K1947" s="8" t="s">
        <v>4659</v>
      </c>
      <c r="L1947" s="9" t="s">
        <v>3174</v>
      </c>
      <c r="M1947" s="1" t="s">
        <v>3175</v>
      </c>
    </row>
    <row r="1948" spans="1:14" x14ac:dyDescent="0.3">
      <c r="A1948" s="3">
        <v>3619038</v>
      </c>
      <c r="B1948" s="4" t="s">
        <v>5413</v>
      </c>
      <c r="C1948" s="5" t="s">
        <v>3163</v>
      </c>
      <c r="D1948" s="5" t="s">
        <v>2700</v>
      </c>
      <c r="E1948" s="3" t="s">
        <v>3164</v>
      </c>
      <c r="F1948" s="6">
        <v>121</v>
      </c>
      <c r="G1948" s="6">
        <v>112</v>
      </c>
      <c r="H1948" s="6">
        <v>0</v>
      </c>
      <c r="I1948" s="7" t="s">
        <v>4344</v>
      </c>
      <c r="J1948" s="3" t="s">
        <v>4377</v>
      </c>
      <c r="K1948" s="8" t="s">
        <v>4480</v>
      </c>
      <c r="L1948" s="9" t="s">
        <v>3176</v>
      </c>
      <c r="M1948" s="1" t="s">
        <v>3177</v>
      </c>
    </row>
    <row r="1949" spans="1:14" x14ac:dyDescent="0.3">
      <c r="A1949" s="3">
        <v>3612039</v>
      </c>
      <c r="B1949" s="4" t="s">
        <v>5413</v>
      </c>
      <c r="C1949" s="5" t="s">
        <v>3178</v>
      </c>
      <c r="D1949" s="5" t="s">
        <v>2654</v>
      </c>
      <c r="E1949" s="3" t="s">
        <v>3178</v>
      </c>
      <c r="F1949" s="6">
        <v>230</v>
      </c>
      <c r="G1949" s="6">
        <v>141</v>
      </c>
      <c r="H1949" s="6">
        <v>31.5</v>
      </c>
      <c r="I1949" s="7" t="s">
        <v>4316</v>
      </c>
      <c r="J1949" s="3" t="s">
        <v>4318</v>
      </c>
      <c r="K1949" s="8" t="s">
        <v>4734</v>
      </c>
      <c r="L1949" s="9" t="s">
        <v>3179</v>
      </c>
      <c r="M1949" s="1" t="s">
        <v>5015</v>
      </c>
      <c r="N1949" s="1" t="s">
        <v>3180</v>
      </c>
    </row>
    <row r="1950" spans="1:14" x14ac:dyDescent="0.3">
      <c r="A1950" s="3">
        <v>3614040</v>
      </c>
      <c r="B1950" s="4" t="s">
        <v>5413</v>
      </c>
      <c r="C1950" s="5" t="s">
        <v>3178</v>
      </c>
      <c r="D1950" s="5" t="s">
        <v>392</v>
      </c>
      <c r="E1950" s="3" t="s">
        <v>3178</v>
      </c>
      <c r="F1950" s="6">
        <v>233</v>
      </c>
      <c r="G1950" s="6">
        <v>144</v>
      </c>
      <c r="H1950" s="6">
        <v>31.5</v>
      </c>
      <c r="I1950" s="7" t="s">
        <v>4316</v>
      </c>
      <c r="J1950" s="3" t="s">
        <v>4318</v>
      </c>
      <c r="K1950" s="8" t="s">
        <v>4735</v>
      </c>
      <c r="L1950" s="9" t="s">
        <v>3181</v>
      </c>
      <c r="M1950" s="1" t="s">
        <v>5015</v>
      </c>
      <c r="N1950" s="1" t="s">
        <v>3182</v>
      </c>
    </row>
    <row r="1951" spans="1:14" x14ac:dyDescent="0.3">
      <c r="A1951" s="3">
        <v>3631041</v>
      </c>
      <c r="B1951" s="4" t="s">
        <v>5413</v>
      </c>
      <c r="C1951" s="5" t="s">
        <v>3178</v>
      </c>
      <c r="D1951" s="5" t="s">
        <v>261</v>
      </c>
      <c r="E1951" s="3" t="s">
        <v>3178</v>
      </c>
      <c r="F1951" s="6">
        <v>30</v>
      </c>
      <c r="G1951" s="6">
        <v>14</v>
      </c>
      <c r="H1951" s="6">
        <v>3.8</v>
      </c>
      <c r="I1951" s="7" t="s">
        <v>4730</v>
      </c>
      <c r="J1951" s="3" t="s">
        <v>4731</v>
      </c>
      <c r="K1951" s="8" t="s">
        <v>4563</v>
      </c>
      <c r="L1951" s="9" t="s">
        <v>3183</v>
      </c>
      <c r="M1951" s="1" t="s">
        <v>3184</v>
      </c>
    </row>
    <row r="1952" spans="1:14" x14ac:dyDescent="0.3">
      <c r="A1952" s="3">
        <v>3611042</v>
      </c>
      <c r="B1952" s="4" t="s">
        <v>5413</v>
      </c>
      <c r="C1952" s="5" t="s">
        <v>3185</v>
      </c>
      <c r="D1952" s="5" t="s">
        <v>154</v>
      </c>
      <c r="E1952" s="3" t="s">
        <v>3185</v>
      </c>
      <c r="F1952" s="6">
        <v>122.2</v>
      </c>
      <c r="G1952" s="6">
        <v>114.7</v>
      </c>
      <c r="H1952" s="6">
        <v>62.4</v>
      </c>
      <c r="I1952" s="7" t="s">
        <v>4446</v>
      </c>
      <c r="J1952" s="3" t="s">
        <v>4318</v>
      </c>
      <c r="K1952" s="8" t="s">
        <v>4736</v>
      </c>
      <c r="L1952" s="9" t="s">
        <v>3186</v>
      </c>
      <c r="M1952" s="1" t="s">
        <v>3187</v>
      </c>
    </row>
    <row r="1953" spans="1:13" x14ac:dyDescent="0.3">
      <c r="A1953" s="3">
        <v>3619043</v>
      </c>
      <c r="B1953" s="4" t="s">
        <v>5413</v>
      </c>
      <c r="C1953" s="5" t="s">
        <v>3185</v>
      </c>
      <c r="D1953" s="5" t="s">
        <v>74</v>
      </c>
      <c r="E1953" s="3" t="s">
        <v>3185</v>
      </c>
      <c r="F1953" s="6">
        <v>120</v>
      </c>
      <c r="G1953" s="6">
        <v>112</v>
      </c>
      <c r="H1953" s="6">
        <v>0</v>
      </c>
      <c r="I1953" s="7" t="s">
        <v>4732</v>
      </c>
      <c r="J1953" s="3" t="s">
        <v>4731</v>
      </c>
      <c r="K1953" s="8" t="s">
        <v>4341</v>
      </c>
      <c r="L1953" s="9" t="s">
        <v>3188</v>
      </c>
      <c r="M1953" s="1" t="s">
        <v>3189</v>
      </c>
    </row>
    <row r="1954" spans="1:13" x14ac:dyDescent="0.3">
      <c r="A1954" s="3">
        <v>3614044</v>
      </c>
      <c r="B1954" s="4" t="s">
        <v>5413</v>
      </c>
      <c r="C1954" s="5" t="s">
        <v>3185</v>
      </c>
      <c r="D1954" s="5" t="s">
        <v>392</v>
      </c>
      <c r="E1954" s="3" t="s">
        <v>3185</v>
      </c>
      <c r="F1954" s="6">
        <v>123.8</v>
      </c>
      <c r="G1954" s="6">
        <v>116.4</v>
      </c>
      <c r="H1954" s="6">
        <v>10.4</v>
      </c>
      <c r="I1954" s="7" t="s">
        <v>4315</v>
      </c>
      <c r="J1954" s="3" t="s">
        <v>4317</v>
      </c>
      <c r="K1954" s="8" t="s">
        <v>4481</v>
      </c>
      <c r="L1954" s="9" t="s">
        <v>3190</v>
      </c>
      <c r="M1954" s="1" t="s">
        <v>3191</v>
      </c>
    </row>
    <row r="1955" spans="1:13" x14ac:dyDescent="0.3">
      <c r="A1955" s="3">
        <v>3620045</v>
      </c>
      <c r="B1955" s="4" t="s">
        <v>5413</v>
      </c>
      <c r="C1955" s="5" t="s">
        <v>3195</v>
      </c>
      <c r="D1955" s="5" t="s">
        <v>264</v>
      </c>
      <c r="E1955" s="3" t="s">
        <v>3192</v>
      </c>
      <c r="F1955" s="6">
        <v>120</v>
      </c>
      <c r="G1955" s="6">
        <v>60.5</v>
      </c>
      <c r="H1955" s="6">
        <v>0</v>
      </c>
      <c r="I1955" s="7" t="s">
        <v>4315</v>
      </c>
      <c r="J1955" s="3" t="s">
        <v>4317</v>
      </c>
      <c r="K1955" s="8" t="s">
        <v>4737</v>
      </c>
      <c r="L1955" s="9" t="s">
        <v>3193</v>
      </c>
      <c r="M1955" s="1" t="s">
        <v>3194</v>
      </c>
    </row>
    <row r="1956" spans="1:13" x14ac:dyDescent="0.3">
      <c r="A1956" s="3">
        <v>3621046</v>
      </c>
      <c r="B1956" s="4" t="s">
        <v>5413</v>
      </c>
      <c r="C1956" s="5" t="s">
        <v>3195</v>
      </c>
      <c r="D1956" s="5" t="s">
        <v>267</v>
      </c>
      <c r="E1956" s="3" t="s">
        <v>3192</v>
      </c>
      <c r="F1956" s="6">
        <v>112.5</v>
      </c>
      <c r="G1956" s="6">
        <v>60.5</v>
      </c>
      <c r="H1956" s="6">
        <v>0</v>
      </c>
      <c r="I1956" s="7" t="s">
        <v>4315</v>
      </c>
      <c r="J1956" s="3" t="s">
        <v>4317</v>
      </c>
      <c r="K1956" s="8" t="s">
        <v>4738</v>
      </c>
      <c r="L1956" s="9" t="s">
        <v>3196</v>
      </c>
      <c r="M1956" s="1" t="s">
        <v>3197</v>
      </c>
    </row>
    <row r="1957" spans="1:13" x14ac:dyDescent="0.3">
      <c r="A1957" s="3">
        <v>3620047</v>
      </c>
      <c r="B1957" s="4" t="s">
        <v>5413</v>
      </c>
      <c r="C1957" s="5" t="s">
        <v>3198</v>
      </c>
      <c r="D1957" s="5" t="s">
        <v>264</v>
      </c>
      <c r="E1957" s="3" t="s">
        <v>3199</v>
      </c>
      <c r="F1957" s="6">
        <v>120</v>
      </c>
      <c r="G1957" s="6">
        <v>60.5</v>
      </c>
      <c r="H1957" s="6">
        <v>0</v>
      </c>
      <c r="I1957" s="7" t="s">
        <v>4315</v>
      </c>
      <c r="J1957" s="3" t="s">
        <v>4317</v>
      </c>
      <c r="K1957" s="8" t="s">
        <v>4704</v>
      </c>
      <c r="L1957" s="9" t="s">
        <v>3200</v>
      </c>
      <c r="M1957" s="1" t="s">
        <v>3201</v>
      </c>
    </row>
    <row r="1958" spans="1:13" x14ac:dyDescent="0.3">
      <c r="A1958" s="3">
        <v>3621048</v>
      </c>
      <c r="B1958" s="4" t="s">
        <v>5413</v>
      </c>
      <c r="C1958" s="5" t="s">
        <v>3198</v>
      </c>
      <c r="D1958" s="5" t="s">
        <v>267</v>
      </c>
      <c r="E1958" s="3" t="s">
        <v>3199</v>
      </c>
      <c r="F1958" s="6">
        <v>112.5</v>
      </c>
      <c r="G1958" s="6">
        <v>60.5</v>
      </c>
      <c r="H1958" s="6">
        <v>0</v>
      </c>
      <c r="I1958" s="7" t="s">
        <v>4315</v>
      </c>
      <c r="J1958" s="3" t="s">
        <v>4317</v>
      </c>
      <c r="K1958" s="8" t="s">
        <v>4739</v>
      </c>
      <c r="L1958" s="9" t="s">
        <v>3202</v>
      </c>
      <c r="M1958" s="1" t="s">
        <v>3203</v>
      </c>
    </row>
    <row r="1959" spans="1:13" x14ac:dyDescent="0.3">
      <c r="A1959" s="3">
        <v>3620049</v>
      </c>
      <c r="B1959" s="4" t="s">
        <v>5413</v>
      </c>
      <c r="C1959" s="5" t="s">
        <v>3204</v>
      </c>
      <c r="D1959" s="5" t="s">
        <v>264</v>
      </c>
      <c r="E1959" s="3" t="s">
        <v>3205</v>
      </c>
      <c r="F1959" s="6">
        <v>120</v>
      </c>
      <c r="G1959" s="6">
        <v>60.5</v>
      </c>
      <c r="H1959" s="6">
        <v>0</v>
      </c>
      <c r="I1959" s="7" t="s">
        <v>4315</v>
      </c>
      <c r="J1959" s="3" t="s">
        <v>4317</v>
      </c>
      <c r="K1959" s="8" t="s">
        <v>4740</v>
      </c>
      <c r="L1959" s="9" t="s">
        <v>3206</v>
      </c>
      <c r="M1959" s="1" t="s">
        <v>3207</v>
      </c>
    </row>
    <row r="1960" spans="1:13" x14ac:dyDescent="0.3">
      <c r="A1960" s="3">
        <v>3621050</v>
      </c>
      <c r="B1960" s="4" t="s">
        <v>5413</v>
      </c>
      <c r="C1960" s="5" t="s">
        <v>3204</v>
      </c>
      <c r="D1960" s="5" t="s">
        <v>267</v>
      </c>
      <c r="E1960" s="3" t="s">
        <v>3205</v>
      </c>
      <c r="F1960" s="6">
        <v>112.5</v>
      </c>
      <c r="G1960" s="6">
        <v>60.5</v>
      </c>
      <c r="H1960" s="6">
        <v>0</v>
      </c>
      <c r="I1960" s="7" t="s">
        <v>4315</v>
      </c>
      <c r="J1960" s="3" t="s">
        <v>4317</v>
      </c>
      <c r="K1960" s="8" t="s">
        <v>4651</v>
      </c>
      <c r="L1960" s="9" t="s">
        <v>3208</v>
      </c>
      <c r="M1960" s="1" t="s">
        <v>3209</v>
      </c>
    </row>
    <row r="1961" spans="1:13" x14ac:dyDescent="0.3">
      <c r="A1961" s="3">
        <v>3611051</v>
      </c>
      <c r="B1961" s="4" t="s">
        <v>5413</v>
      </c>
      <c r="C1961" s="5" t="s">
        <v>3210</v>
      </c>
      <c r="D1961" s="5" t="s">
        <v>154</v>
      </c>
      <c r="E1961" s="3" t="s">
        <v>3210</v>
      </c>
      <c r="F1961" s="6">
        <v>62.5</v>
      </c>
      <c r="G1961" s="6">
        <v>36</v>
      </c>
      <c r="H1961" s="6">
        <v>42.5</v>
      </c>
      <c r="I1961" s="7" t="s">
        <v>4315</v>
      </c>
      <c r="J1961" s="3" t="s">
        <v>4317</v>
      </c>
      <c r="K1961" s="8" t="s">
        <v>4544</v>
      </c>
      <c r="L1961" s="9" t="s">
        <v>3211</v>
      </c>
      <c r="M1961" s="1" t="s">
        <v>3212</v>
      </c>
    </row>
    <row r="1962" spans="1:13" x14ac:dyDescent="0.3">
      <c r="A1962" s="3">
        <v>3631052</v>
      </c>
      <c r="B1962" s="4" t="s">
        <v>5413</v>
      </c>
      <c r="C1962" s="5" t="s">
        <v>3213</v>
      </c>
      <c r="D1962" s="5" t="s">
        <v>261</v>
      </c>
      <c r="E1962" s="3" t="s">
        <v>3210</v>
      </c>
      <c r="F1962" s="6">
        <v>51</v>
      </c>
      <c r="G1962" s="6">
        <v>42</v>
      </c>
      <c r="H1962" s="6">
        <v>0</v>
      </c>
      <c r="I1962" s="7" t="s">
        <v>4420</v>
      </c>
      <c r="J1962" s="3" t="s">
        <v>4422</v>
      </c>
      <c r="K1962" s="8" t="s">
        <v>4417</v>
      </c>
      <c r="L1962" s="9" t="s">
        <v>3214</v>
      </c>
      <c r="M1962" s="24" t="s">
        <v>3215</v>
      </c>
    </row>
    <row r="1963" spans="1:13" x14ac:dyDescent="0.3">
      <c r="A1963" s="3">
        <v>3634053</v>
      </c>
      <c r="B1963" s="4" t="s">
        <v>5413</v>
      </c>
      <c r="C1963" s="5" t="s">
        <v>3210</v>
      </c>
      <c r="D1963" s="5" t="s">
        <v>3216</v>
      </c>
      <c r="E1963" s="3" t="s">
        <v>3210</v>
      </c>
      <c r="F1963" s="6">
        <v>121.9</v>
      </c>
      <c r="G1963" s="6">
        <v>114.3</v>
      </c>
      <c r="H1963" s="6">
        <v>10.199999999999999</v>
      </c>
      <c r="I1963" s="7" t="s">
        <v>4447</v>
      </c>
      <c r="J1963" s="3" t="s">
        <v>4317</v>
      </c>
      <c r="K1963" s="8" t="s">
        <v>4662</v>
      </c>
      <c r="L1963" s="9" t="s">
        <v>3217</v>
      </c>
      <c r="M1963" s="1" t="s">
        <v>3218</v>
      </c>
    </row>
    <row r="1964" spans="1:13" x14ac:dyDescent="0.3">
      <c r="A1964" s="3">
        <v>3611054</v>
      </c>
      <c r="B1964" s="4" t="s">
        <v>5413</v>
      </c>
      <c r="C1964" s="5" t="s">
        <v>3219</v>
      </c>
      <c r="D1964" s="5" t="s">
        <v>154</v>
      </c>
      <c r="E1964" s="3" t="s">
        <v>3220</v>
      </c>
      <c r="F1964" s="6">
        <v>57</v>
      </c>
      <c r="G1964" s="6">
        <v>40.299999999999997</v>
      </c>
      <c r="H1964" s="6">
        <v>27.5</v>
      </c>
      <c r="I1964" s="7" t="s">
        <v>4473</v>
      </c>
      <c r="J1964" s="3" t="s">
        <v>4317</v>
      </c>
      <c r="K1964" s="8" t="s">
        <v>4351</v>
      </c>
      <c r="L1964" s="9" t="s">
        <v>5418</v>
      </c>
      <c r="M1964" s="1" t="s">
        <v>3221</v>
      </c>
    </row>
    <row r="1965" spans="1:13" x14ac:dyDescent="0.3">
      <c r="A1965" s="3">
        <v>3620066</v>
      </c>
      <c r="B1965" s="4" t="s">
        <v>5413</v>
      </c>
      <c r="C1965" s="5" t="s">
        <v>3222</v>
      </c>
      <c r="D1965" s="5" t="s">
        <v>264</v>
      </c>
      <c r="E1965" s="3" t="s">
        <v>14</v>
      </c>
      <c r="F1965" s="6">
        <v>54</v>
      </c>
      <c r="G1965" s="6">
        <v>10.8</v>
      </c>
      <c r="H1965" s="6">
        <v>0</v>
      </c>
      <c r="I1965" s="7" t="s">
        <v>4420</v>
      </c>
      <c r="J1965" s="3" t="s">
        <v>4422</v>
      </c>
      <c r="K1965" s="8" t="s">
        <v>4425</v>
      </c>
      <c r="L1965" s="9" t="s">
        <v>3223</v>
      </c>
      <c r="M1965" s="1" t="s">
        <v>3224</v>
      </c>
    </row>
    <row r="1966" spans="1:13" x14ac:dyDescent="0.3">
      <c r="A1966" s="3">
        <v>3621067</v>
      </c>
      <c r="B1966" s="4" t="s">
        <v>5413</v>
      </c>
      <c r="C1966" s="5" t="s">
        <v>3222</v>
      </c>
      <c r="D1966" s="5" t="s">
        <v>267</v>
      </c>
      <c r="E1966" s="3" t="s">
        <v>14</v>
      </c>
      <c r="F1966" s="6">
        <v>59</v>
      </c>
      <c r="G1966" s="6">
        <v>10.8</v>
      </c>
      <c r="H1966" s="6">
        <v>0</v>
      </c>
      <c r="I1966" s="7" t="s">
        <v>4420</v>
      </c>
      <c r="J1966" s="3" t="s">
        <v>4422</v>
      </c>
      <c r="K1966" s="8" t="s">
        <v>4482</v>
      </c>
      <c r="L1966" s="9" t="s">
        <v>3225</v>
      </c>
      <c r="M1966" s="1" t="s">
        <v>3226</v>
      </c>
    </row>
    <row r="1967" spans="1:13" x14ac:dyDescent="0.3">
      <c r="A1967" s="3">
        <v>3620068</v>
      </c>
      <c r="B1967" s="4" t="s">
        <v>5413</v>
      </c>
      <c r="C1967" s="5" t="s">
        <v>3227</v>
      </c>
      <c r="D1967" s="5" t="s">
        <v>264</v>
      </c>
      <c r="E1967" s="3" t="s">
        <v>14</v>
      </c>
      <c r="F1967" s="6">
        <v>32.5</v>
      </c>
      <c r="G1967" s="6">
        <v>17.399999999999999</v>
      </c>
      <c r="H1967" s="6">
        <v>0</v>
      </c>
      <c r="I1967" s="7" t="s">
        <v>4449</v>
      </c>
      <c r="J1967" s="3" t="s">
        <v>4423</v>
      </c>
      <c r="K1967" s="8" t="s">
        <v>4670</v>
      </c>
      <c r="L1967" s="9" t="s">
        <v>3228</v>
      </c>
      <c r="M1967" s="1" t="s">
        <v>3229</v>
      </c>
    </row>
    <row r="1968" spans="1:13" x14ac:dyDescent="0.3">
      <c r="A1968" s="3">
        <v>3621069</v>
      </c>
      <c r="B1968" s="4" t="s">
        <v>5413</v>
      </c>
      <c r="C1968" s="5" t="s">
        <v>3227</v>
      </c>
      <c r="D1968" s="5" t="s">
        <v>267</v>
      </c>
      <c r="E1968" s="3" t="s">
        <v>14</v>
      </c>
      <c r="F1968" s="6">
        <v>53.7</v>
      </c>
      <c r="G1968" s="6">
        <v>17.399999999999999</v>
      </c>
      <c r="H1968" s="6">
        <v>0</v>
      </c>
      <c r="I1968" s="7" t="s">
        <v>4449</v>
      </c>
      <c r="J1968" s="3" t="s">
        <v>4423</v>
      </c>
      <c r="K1968" s="8" t="s">
        <v>4525</v>
      </c>
      <c r="L1968" s="9" t="s">
        <v>3230</v>
      </c>
      <c r="M1968" s="1" t="s">
        <v>3231</v>
      </c>
    </row>
    <row r="1969" spans="1:13" x14ac:dyDescent="0.3">
      <c r="A1969" s="3">
        <v>3622070</v>
      </c>
      <c r="B1969" s="4" t="s">
        <v>5413</v>
      </c>
      <c r="C1969" s="5" t="s">
        <v>3227</v>
      </c>
      <c r="D1969" s="5" t="s">
        <v>399</v>
      </c>
      <c r="E1969" s="3" t="s">
        <v>14</v>
      </c>
      <c r="F1969" s="6">
        <v>32.200000000000003</v>
      </c>
      <c r="G1969" s="6">
        <v>26.2</v>
      </c>
      <c r="H1969" s="6">
        <v>0</v>
      </c>
      <c r="I1969" s="7" t="s">
        <v>4449</v>
      </c>
      <c r="J1969" s="3" t="s">
        <v>4423</v>
      </c>
      <c r="K1969" s="8" t="s">
        <v>4501</v>
      </c>
      <c r="L1969" s="9" t="s">
        <v>3232</v>
      </c>
      <c r="M1969" s="1" t="s">
        <v>3233</v>
      </c>
    </row>
    <row r="1970" spans="1:13" x14ac:dyDescent="0.3">
      <c r="A1970" s="3">
        <v>3611071</v>
      </c>
      <c r="B1970" s="4" t="s">
        <v>5413</v>
      </c>
      <c r="C1970" s="5" t="s">
        <v>3234</v>
      </c>
      <c r="D1970" s="5" t="s">
        <v>3235</v>
      </c>
      <c r="E1970" s="3" t="s">
        <v>14</v>
      </c>
      <c r="F1970" s="6"/>
      <c r="G1970" s="6"/>
      <c r="H1970" s="6"/>
      <c r="I1970" s="7" t="s">
        <v>4315</v>
      </c>
      <c r="J1970" s="3" t="s">
        <v>4317</v>
      </c>
      <c r="K1970" s="8" t="s">
        <v>4364</v>
      </c>
      <c r="L1970" s="9" t="s">
        <v>3236</v>
      </c>
      <c r="M1970" s="24" t="s">
        <v>3237</v>
      </c>
    </row>
    <row r="1971" spans="1:13" x14ac:dyDescent="0.3">
      <c r="A1971" s="3">
        <v>3619072</v>
      </c>
      <c r="B1971" s="4" t="s">
        <v>5413</v>
      </c>
      <c r="C1971" s="5" t="s">
        <v>3238</v>
      </c>
      <c r="D1971" s="5" t="s">
        <v>74</v>
      </c>
      <c r="E1971" s="3" t="s">
        <v>3238</v>
      </c>
      <c r="F1971" s="6"/>
      <c r="G1971" s="6"/>
      <c r="H1971" s="6"/>
      <c r="I1971" s="7" t="s">
        <v>4315</v>
      </c>
      <c r="J1971" s="3" t="s">
        <v>4317</v>
      </c>
      <c r="K1971" s="8" t="s">
        <v>4364</v>
      </c>
      <c r="L1971" s="9" t="s">
        <v>3239</v>
      </c>
      <c r="M1971" s="1" t="s">
        <v>3240</v>
      </c>
    </row>
    <row r="1972" spans="1:13" x14ac:dyDescent="0.3">
      <c r="A1972" s="3">
        <v>3610073</v>
      </c>
      <c r="B1972" s="4" t="s">
        <v>5413</v>
      </c>
      <c r="C1972" s="5" t="s">
        <v>3241</v>
      </c>
      <c r="D1972" s="5" t="s">
        <v>96</v>
      </c>
      <c r="E1972" s="3" t="s">
        <v>3242</v>
      </c>
      <c r="F1972" s="6"/>
      <c r="G1972" s="6"/>
      <c r="H1972" s="6"/>
      <c r="I1972" s="7" t="s">
        <v>4315</v>
      </c>
      <c r="J1972" s="3" t="s">
        <v>4317</v>
      </c>
      <c r="K1972" s="8" t="s">
        <v>4364</v>
      </c>
      <c r="L1972" s="9" t="s">
        <v>3243</v>
      </c>
      <c r="M1972" s="1" t="s">
        <v>3244</v>
      </c>
    </row>
    <row r="1973" spans="1:13" x14ac:dyDescent="0.3">
      <c r="A1973" s="3">
        <v>3619074</v>
      </c>
      <c r="B1973" s="4" t="s">
        <v>5413</v>
      </c>
      <c r="C1973" s="5" t="s">
        <v>3241</v>
      </c>
      <c r="D1973" s="5" t="s">
        <v>3245</v>
      </c>
      <c r="E1973" s="3" t="s">
        <v>3242</v>
      </c>
      <c r="F1973" s="6"/>
      <c r="G1973" s="6"/>
      <c r="H1973" s="6"/>
      <c r="I1973" s="7" t="s">
        <v>4315</v>
      </c>
      <c r="J1973" s="3" t="s">
        <v>4317</v>
      </c>
      <c r="K1973" s="8" t="s">
        <v>4364</v>
      </c>
      <c r="L1973" s="9" t="s">
        <v>3246</v>
      </c>
      <c r="M1973" s="1" t="s">
        <v>3247</v>
      </c>
    </row>
    <row r="1974" spans="1:13" x14ac:dyDescent="0.3">
      <c r="A1974" s="3">
        <v>3611075</v>
      </c>
      <c r="B1974" s="4" t="s">
        <v>5413</v>
      </c>
      <c r="C1974" s="5" t="s">
        <v>3248</v>
      </c>
      <c r="D1974" s="5" t="s">
        <v>154</v>
      </c>
      <c r="E1974" s="3" t="s">
        <v>14</v>
      </c>
      <c r="F1974" s="6">
        <v>61</v>
      </c>
      <c r="G1974" s="6">
        <v>57.5</v>
      </c>
      <c r="H1974" s="6">
        <v>28.2</v>
      </c>
      <c r="I1974" s="7" t="s">
        <v>4315</v>
      </c>
      <c r="J1974" s="3" t="s">
        <v>4317</v>
      </c>
      <c r="K1974" s="8" t="s">
        <v>4689</v>
      </c>
      <c r="L1974" s="9" t="s">
        <v>3249</v>
      </c>
      <c r="M1974" s="1" t="s">
        <v>3250</v>
      </c>
    </row>
    <row r="1975" spans="1:13" x14ac:dyDescent="0.3">
      <c r="A1975" s="3">
        <v>3620076</v>
      </c>
      <c r="B1975" s="4" t="s">
        <v>5413</v>
      </c>
      <c r="C1975" s="5" t="s">
        <v>3248</v>
      </c>
      <c r="D1975" s="5" t="s">
        <v>264</v>
      </c>
      <c r="E1975" s="3" t="s">
        <v>14</v>
      </c>
      <c r="F1975" s="6">
        <v>59</v>
      </c>
      <c r="G1975" s="6">
        <v>28</v>
      </c>
      <c r="H1975" s="6">
        <v>0</v>
      </c>
      <c r="I1975" s="7" t="s">
        <v>4315</v>
      </c>
      <c r="J1975" s="3" t="s">
        <v>4317</v>
      </c>
      <c r="K1975" s="8" t="s">
        <v>4439</v>
      </c>
      <c r="L1975" s="9" t="s">
        <v>3251</v>
      </c>
      <c r="M1975" s="1" t="s">
        <v>3252</v>
      </c>
    </row>
    <row r="1976" spans="1:13" x14ac:dyDescent="0.3">
      <c r="A1976" s="3">
        <v>3621077</v>
      </c>
      <c r="B1976" s="4" t="s">
        <v>5413</v>
      </c>
      <c r="C1976" s="5" t="s">
        <v>3248</v>
      </c>
      <c r="D1976" s="5" t="s">
        <v>267</v>
      </c>
      <c r="E1976" s="3" t="s">
        <v>14</v>
      </c>
      <c r="F1976" s="6">
        <v>56</v>
      </c>
      <c r="G1976" s="6">
        <v>28</v>
      </c>
      <c r="H1976" s="6">
        <v>0</v>
      </c>
      <c r="I1976" s="7" t="s">
        <v>4315</v>
      </c>
      <c r="J1976" s="3" t="s">
        <v>4317</v>
      </c>
      <c r="K1976" s="8" t="s">
        <v>4486</v>
      </c>
      <c r="L1976" s="9" t="s">
        <v>3253</v>
      </c>
      <c r="M1976" s="1" t="s">
        <v>3254</v>
      </c>
    </row>
    <row r="1977" spans="1:13" x14ac:dyDescent="0.3">
      <c r="A1977" s="3">
        <v>3614078</v>
      </c>
      <c r="B1977" s="4" t="s">
        <v>5413</v>
      </c>
      <c r="C1977" s="5" t="s">
        <v>3248</v>
      </c>
      <c r="D1977" s="5" t="s">
        <v>392</v>
      </c>
      <c r="E1977" s="3" t="s">
        <v>14</v>
      </c>
      <c r="F1977" s="6">
        <v>62.7</v>
      </c>
      <c r="G1977" s="6">
        <v>58.4</v>
      </c>
      <c r="H1977" s="6">
        <v>9</v>
      </c>
      <c r="I1977" s="7" t="s">
        <v>4315</v>
      </c>
      <c r="J1977" s="3" t="s">
        <v>4317</v>
      </c>
      <c r="K1977" s="8" t="s">
        <v>4485</v>
      </c>
      <c r="L1977" s="9" t="s">
        <v>3255</v>
      </c>
      <c r="M1977" s="24" t="s">
        <v>3256</v>
      </c>
    </row>
    <row r="1978" spans="1:13" x14ac:dyDescent="0.3">
      <c r="A1978" s="3">
        <v>3631079</v>
      </c>
      <c r="B1978" s="4" t="s">
        <v>5413</v>
      </c>
      <c r="C1978" s="5" t="s">
        <v>3257</v>
      </c>
      <c r="D1978" s="5" t="s">
        <v>261</v>
      </c>
      <c r="E1978" s="3" t="s">
        <v>3258</v>
      </c>
      <c r="F1978" s="6">
        <v>100</v>
      </c>
      <c r="G1978" s="6">
        <v>22</v>
      </c>
      <c r="H1978" s="6">
        <v>5.5</v>
      </c>
      <c r="I1978" s="7" t="s">
        <v>4315</v>
      </c>
      <c r="J1978" s="3" t="s">
        <v>4317</v>
      </c>
      <c r="K1978" s="8">
        <v>0.6</v>
      </c>
      <c r="L1978" s="9" t="s">
        <v>3259</v>
      </c>
      <c r="M1978" s="24" t="s">
        <v>3260</v>
      </c>
    </row>
    <row r="1979" spans="1:13" x14ac:dyDescent="0.3">
      <c r="A1979" s="3">
        <v>3611080</v>
      </c>
      <c r="B1979" s="4" t="s">
        <v>5413</v>
      </c>
      <c r="C1979" s="5" t="s">
        <v>3257</v>
      </c>
      <c r="D1979" s="5" t="s">
        <v>154</v>
      </c>
      <c r="E1979" s="3" t="s">
        <v>3258</v>
      </c>
      <c r="F1979" s="6">
        <v>114</v>
      </c>
      <c r="G1979" s="6">
        <v>100</v>
      </c>
      <c r="H1979" s="6">
        <v>100</v>
      </c>
      <c r="I1979" s="7" t="s">
        <v>4316</v>
      </c>
      <c r="J1979" s="3" t="s">
        <v>4318</v>
      </c>
      <c r="K1979" s="8">
        <v>6.59</v>
      </c>
      <c r="L1979" s="9" t="s">
        <v>3261</v>
      </c>
      <c r="M1979" s="1" t="s">
        <v>3262</v>
      </c>
    </row>
    <row r="1980" spans="1:13" x14ac:dyDescent="0.3">
      <c r="A1980" s="3">
        <v>3619081</v>
      </c>
      <c r="B1980" s="4" t="s">
        <v>5413</v>
      </c>
      <c r="C1980" s="5" t="s">
        <v>3257</v>
      </c>
      <c r="D1980" s="5" t="s">
        <v>74</v>
      </c>
      <c r="E1980" s="3" t="s">
        <v>3258</v>
      </c>
      <c r="F1980" s="6">
        <v>102</v>
      </c>
      <c r="G1980" s="6">
        <v>116</v>
      </c>
      <c r="H1980" s="6">
        <v>20</v>
      </c>
      <c r="I1980" s="7" t="s">
        <v>4315</v>
      </c>
      <c r="J1980" s="3" t="s">
        <v>4317</v>
      </c>
      <c r="K1980" s="8">
        <v>1.42</v>
      </c>
      <c r="L1980" s="9" t="s">
        <v>3263</v>
      </c>
      <c r="M1980" s="24" t="s">
        <v>3264</v>
      </c>
    </row>
    <row r="1981" spans="1:13" x14ac:dyDescent="0.3">
      <c r="A1981" s="3">
        <v>3611082</v>
      </c>
      <c r="B1981" s="4" t="s">
        <v>5413</v>
      </c>
      <c r="C1981" s="5" t="s">
        <v>3265</v>
      </c>
      <c r="D1981" s="5" t="s">
        <v>154</v>
      </c>
      <c r="E1981" s="3" t="s">
        <v>3266</v>
      </c>
      <c r="F1981" s="6">
        <v>122</v>
      </c>
      <c r="G1981" s="6">
        <v>108</v>
      </c>
      <c r="H1981" s="6">
        <v>111</v>
      </c>
      <c r="I1981" s="7" t="s">
        <v>4316</v>
      </c>
      <c r="J1981" s="3" t="s">
        <v>4318</v>
      </c>
      <c r="K1981" s="8">
        <v>7.78</v>
      </c>
      <c r="L1981" s="9" t="s">
        <v>3267</v>
      </c>
      <c r="M1981" s="1" t="s">
        <v>3268</v>
      </c>
    </row>
    <row r="1982" spans="1:13" x14ac:dyDescent="0.3">
      <c r="A1982" s="3">
        <v>3620083</v>
      </c>
      <c r="B1982" s="4" t="s">
        <v>5413</v>
      </c>
      <c r="C1982" s="5" t="s">
        <v>3265</v>
      </c>
      <c r="D1982" s="5" t="s">
        <v>264</v>
      </c>
      <c r="E1982" s="3" t="s">
        <v>3266</v>
      </c>
      <c r="F1982" s="6">
        <v>107</v>
      </c>
      <c r="G1982" s="6">
        <v>128</v>
      </c>
      <c r="H1982" s="6">
        <v>110</v>
      </c>
      <c r="I1982" s="7" t="s">
        <v>4316</v>
      </c>
      <c r="J1982" s="3" t="s">
        <v>4318</v>
      </c>
      <c r="K1982" s="8">
        <v>1.18</v>
      </c>
      <c r="L1982" s="9" t="s">
        <v>3269</v>
      </c>
      <c r="M1982" s="1" t="s">
        <v>3270</v>
      </c>
    </row>
    <row r="1983" spans="1:13" x14ac:dyDescent="0.3">
      <c r="A1983" s="3">
        <v>3621084</v>
      </c>
      <c r="B1983" s="4" t="s">
        <v>5413</v>
      </c>
      <c r="C1983" s="5" t="s">
        <v>3265</v>
      </c>
      <c r="D1983" s="5" t="s">
        <v>267</v>
      </c>
      <c r="E1983" s="3" t="s">
        <v>3266</v>
      </c>
      <c r="F1983" s="6">
        <v>107</v>
      </c>
      <c r="G1983" s="6">
        <v>128</v>
      </c>
      <c r="H1983" s="6">
        <v>110</v>
      </c>
      <c r="I1983" s="7" t="s">
        <v>4316</v>
      </c>
      <c r="J1983" s="3" t="s">
        <v>4318</v>
      </c>
      <c r="K1983" s="8">
        <v>1.41</v>
      </c>
      <c r="L1983" s="9" t="s">
        <v>3271</v>
      </c>
      <c r="M1983" s="1" t="s">
        <v>3272</v>
      </c>
    </row>
    <row r="1984" spans="1:13" x14ac:dyDescent="0.3">
      <c r="A1984" s="3">
        <v>3614085</v>
      </c>
      <c r="B1984" s="4" t="s">
        <v>5413</v>
      </c>
      <c r="C1984" s="5" t="s">
        <v>3265</v>
      </c>
      <c r="D1984" s="5" t="s">
        <v>392</v>
      </c>
      <c r="E1984" s="3" t="s">
        <v>3266</v>
      </c>
      <c r="F1984" s="6">
        <v>123</v>
      </c>
      <c r="G1984" s="6">
        <v>109</v>
      </c>
      <c r="H1984" s="6">
        <v>10</v>
      </c>
      <c r="I1984" s="7">
        <v>32</v>
      </c>
      <c r="J1984" s="3" t="s">
        <v>4317</v>
      </c>
      <c r="K1984" s="8">
        <v>1.84</v>
      </c>
      <c r="L1984" s="9" t="s">
        <v>3273</v>
      </c>
      <c r="M1984" s="1" t="s">
        <v>3274</v>
      </c>
    </row>
    <row r="1985" spans="1:13" x14ac:dyDescent="0.3">
      <c r="A1985" s="3">
        <v>3611086</v>
      </c>
      <c r="B1985" s="4" t="s">
        <v>5413</v>
      </c>
      <c r="C1985" s="5" t="s">
        <v>3275</v>
      </c>
      <c r="D1985" s="5" t="s">
        <v>154</v>
      </c>
      <c r="E1985" s="3" t="s">
        <v>3276</v>
      </c>
      <c r="F1985" s="6">
        <v>60.5</v>
      </c>
      <c r="G1985" s="6">
        <v>38</v>
      </c>
      <c r="H1985" s="6">
        <v>38.5</v>
      </c>
      <c r="I1985" s="7" t="s">
        <v>4315</v>
      </c>
      <c r="J1985" s="3" t="s">
        <v>4317</v>
      </c>
      <c r="K1985" s="8">
        <v>1.17</v>
      </c>
      <c r="L1985" s="9" t="s">
        <v>3277</v>
      </c>
      <c r="M1985" s="1" t="s">
        <v>3278</v>
      </c>
    </row>
    <row r="1986" spans="1:13" x14ac:dyDescent="0.3">
      <c r="A1986" s="3">
        <v>3620087</v>
      </c>
      <c r="B1986" s="4" t="s">
        <v>5413</v>
      </c>
      <c r="C1986" s="5" t="s">
        <v>3275</v>
      </c>
      <c r="D1986" s="5" t="s">
        <v>264</v>
      </c>
      <c r="E1986" s="3" t="s">
        <v>3276</v>
      </c>
      <c r="F1986" s="6">
        <v>60</v>
      </c>
      <c r="G1986" s="6">
        <v>45</v>
      </c>
      <c r="H1986" s="6">
        <v>38</v>
      </c>
      <c r="I1986" s="7" t="s">
        <v>4420</v>
      </c>
      <c r="J1986" s="3" t="s">
        <v>4422</v>
      </c>
      <c r="K1986" s="8">
        <v>0.23</v>
      </c>
      <c r="L1986" s="9" t="s">
        <v>3279</v>
      </c>
      <c r="M1986" s="1" t="s">
        <v>3280</v>
      </c>
    </row>
    <row r="1987" spans="1:13" x14ac:dyDescent="0.3">
      <c r="A1987" s="3">
        <v>3621088</v>
      </c>
      <c r="B1987" s="4" t="s">
        <v>5413</v>
      </c>
      <c r="C1987" s="5" t="s">
        <v>3275</v>
      </c>
      <c r="D1987" s="5" t="s">
        <v>267</v>
      </c>
      <c r="E1987" s="3" t="s">
        <v>3276</v>
      </c>
      <c r="F1987" s="6">
        <v>60</v>
      </c>
      <c r="G1987" s="6">
        <v>45</v>
      </c>
      <c r="H1987" s="6">
        <v>38</v>
      </c>
      <c r="I1987" s="7" t="s">
        <v>4420</v>
      </c>
      <c r="J1987" s="3" t="s">
        <v>4422</v>
      </c>
      <c r="K1987" s="8">
        <v>0.17</v>
      </c>
      <c r="L1987" s="9" t="s">
        <v>3281</v>
      </c>
      <c r="M1987" s="1" t="s">
        <v>3282</v>
      </c>
    </row>
    <row r="1988" spans="1:13" x14ac:dyDescent="0.3">
      <c r="A1988" s="3">
        <v>3619089</v>
      </c>
      <c r="B1988" s="4" t="s">
        <v>5413</v>
      </c>
      <c r="C1988" s="5" t="s">
        <v>3275</v>
      </c>
      <c r="D1988" s="5" t="s">
        <v>74</v>
      </c>
      <c r="E1988" s="3" t="s">
        <v>3276</v>
      </c>
      <c r="F1988" s="6">
        <v>36.5</v>
      </c>
      <c r="G1988" s="6">
        <v>38.5</v>
      </c>
      <c r="H1988" s="6"/>
      <c r="I1988" s="7" t="s">
        <v>4420</v>
      </c>
      <c r="J1988" s="3" t="s">
        <v>4422</v>
      </c>
      <c r="K1988" s="8">
        <v>0.14000000000000001</v>
      </c>
      <c r="L1988" s="9" t="s">
        <v>3283</v>
      </c>
      <c r="M1988" s="1" t="s">
        <v>3284</v>
      </c>
    </row>
    <row r="1989" spans="1:13" x14ac:dyDescent="0.3">
      <c r="A1989" s="3">
        <v>3611090</v>
      </c>
      <c r="B1989" s="4" t="s">
        <v>5413</v>
      </c>
      <c r="C1989" s="5" t="s">
        <v>3285</v>
      </c>
      <c r="D1989" s="5" t="s">
        <v>154</v>
      </c>
      <c r="E1989" s="3" t="s">
        <v>4741</v>
      </c>
      <c r="F1989" s="6">
        <v>61</v>
      </c>
      <c r="G1989" s="6">
        <v>38</v>
      </c>
      <c r="H1989" s="6">
        <v>23</v>
      </c>
      <c r="I1989" s="7" t="s">
        <v>4315</v>
      </c>
      <c r="J1989" s="3" t="s">
        <v>4317</v>
      </c>
      <c r="K1989" s="8">
        <v>0.86</v>
      </c>
      <c r="L1989" s="9" t="s">
        <v>3286</v>
      </c>
      <c r="M1989" s="1" t="s">
        <v>3287</v>
      </c>
    </row>
    <row r="1990" spans="1:13" x14ac:dyDescent="0.3">
      <c r="A1990" s="3">
        <v>3620091</v>
      </c>
      <c r="B1990" s="4" t="s">
        <v>5413</v>
      </c>
      <c r="C1990" s="5" t="s">
        <v>3288</v>
      </c>
      <c r="D1990" s="5" t="s">
        <v>264</v>
      </c>
      <c r="E1990" s="3" t="s">
        <v>3289</v>
      </c>
      <c r="F1990" s="6">
        <v>60.5</v>
      </c>
      <c r="G1990" s="6">
        <v>37.5</v>
      </c>
      <c r="H1990" s="6">
        <v>22.5</v>
      </c>
      <c r="I1990" s="7" t="s">
        <v>4315</v>
      </c>
      <c r="J1990" s="3" t="s">
        <v>4317</v>
      </c>
      <c r="K1990" s="8">
        <v>0.14000000000000001</v>
      </c>
      <c r="L1990" s="9" t="s">
        <v>3290</v>
      </c>
      <c r="M1990" s="1" t="s">
        <v>3291</v>
      </c>
    </row>
    <row r="1991" spans="1:13" x14ac:dyDescent="0.3">
      <c r="A1991" s="3">
        <v>3621092</v>
      </c>
      <c r="B1991" s="4" t="s">
        <v>5413</v>
      </c>
      <c r="C1991" s="5" t="s">
        <v>3285</v>
      </c>
      <c r="D1991" s="5" t="s">
        <v>267</v>
      </c>
      <c r="E1991" s="3" t="s">
        <v>3289</v>
      </c>
      <c r="F1991" s="6">
        <v>60.5</v>
      </c>
      <c r="G1991" s="6">
        <v>37.5</v>
      </c>
      <c r="H1991" s="6">
        <v>22.5</v>
      </c>
      <c r="I1991" s="7" t="s">
        <v>4315</v>
      </c>
      <c r="J1991" s="3" t="s">
        <v>4317</v>
      </c>
      <c r="K1991" s="8">
        <v>0.08</v>
      </c>
      <c r="L1991" s="9" t="s">
        <v>3292</v>
      </c>
      <c r="M1991" s="1" t="s">
        <v>3293</v>
      </c>
    </row>
    <row r="1992" spans="1:13" x14ac:dyDescent="0.3">
      <c r="A1992" s="3">
        <v>3614093</v>
      </c>
      <c r="B1992" s="4" t="s">
        <v>5413</v>
      </c>
      <c r="C1992" s="5" t="s">
        <v>3285</v>
      </c>
      <c r="D1992" s="5" t="s">
        <v>392</v>
      </c>
      <c r="E1992" s="3" t="s">
        <v>3289</v>
      </c>
      <c r="F1992" s="6">
        <v>62</v>
      </c>
      <c r="G1992" s="6">
        <v>39</v>
      </c>
      <c r="H1992" s="6">
        <v>8</v>
      </c>
      <c r="I1992" s="7">
        <v>32</v>
      </c>
      <c r="J1992" s="3" t="s">
        <v>4317</v>
      </c>
      <c r="K1992" s="8">
        <v>0.43</v>
      </c>
      <c r="L1992" s="9" t="s">
        <v>3294</v>
      </c>
      <c r="M1992" s="1" t="s">
        <v>3295</v>
      </c>
    </row>
    <row r="1993" spans="1:13" x14ac:dyDescent="0.3">
      <c r="A1993" s="3">
        <v>3611094</v>
      </c>
      <c r="B1993" s="4" t="s">
        <v>5413</v>
      </c>
      <c r="C1993" s="5" t="s">
        <v>3296</v>
      </c>
      <c r="D1993" s="5" t="s">
        <v>96</v>
      </c>
      <c r="E1993" s="3" t="s">
        <v>3297</v>
      </c>
      <c r="F1993" s="6">
        <v>61</v>
      </c>
      <c r="G1993" s="6">
        <v>57.5</v>
      </c>
      <c r="H1993" s="6">
        <v>36.5</v>
      </c>
      <c r="I1993" s="7" t="s">
        <v>4315</v>
      </c>
      <c r="J1993" s="3" t="s">
        <v>4317</v>
      </c>
      <c r="K1993" s="8" t="s">
        <v>4546</v>
      </c>
      <c r="L1993" s="9" t="s">
        <v>3298</v>
      </c>
      <c r="M1993" s="1" t="s">
        <v>3299</v>
      </c>
    </row>
    <row r="1994" spans="1:13" x14ac:dyDescent="0.3">
      <c r="A1994" s="3">
        <v>3620095</v>
      </c>
      <c r="B1994" s="4" t="s">
        <v>5413</v>
      </c>
      <c r="C1994" s="5" t="s">
        <v>3296</v>
      </c>
      <c r="D1994" s="5" t="s">
        <v>264</v>
      </c>
      <c r="E1994" s="3" t="s">
        <v>3297</v>
      </c>
      <c r="F1994" s="6">
        <v>57</v>
      </c>
      <c r="G1994" s="6">
        <v>25.5</v>
      </c>
      <c r="H1994" s="6">
        <v>0</v>
      </c>
      <c r="I1994" s="7" t="s">
        <v>4315</v>
      </c>
      <c r="J1994" s="3" t="s">
        <v>4317</v>
      </c>
      <c r="K1994" s="8" t="s">
        <v>4500</v>
      </c>
      <c r="L1994" s="9" t="s">
        <v>3300</v>
      </c>
      <c r="M1994" s="24" t="s">
        <v>3301</v>
      </c>
    </row>
    <row r="1995" spans="1:13" x14ac:dyDescent="0.3">
      <c r="A1995" s="3">
        <v>3621096</v>
      </c>
      <c r="B1995" s="4" t="s">
        <v>5413</v>
      </c>
      <c r="C1995" s="5" t="s">
        <v>3296</v>
      </c>
      <c r="D1995" s="5" t="s">
        <v>267</v>
      </c>
      <c r="E1995" s="3" t="s">
        <v>3297</v>
      </c>
      <c r="F1995" s="6">
        <v>60.4</v>
      </c>
      <c r="G1995" s="6">
        <v>25.5</v>
      </c>
      <c r="H1995" s="6">
        <v>0</v>
      </c>
      <c r="I1995" s="7" t="s">
        <v>4315</v>
      </c>
      <c r="J1995" s="3" t="s">
        <v>4317</v>
      </c>
      <c r="K1995" s="8" t="s">
        <v>4623</v>
      </c>
      <c r="L1995" s="9" t="s">
        <v>3302</v>
      </c>
      <c r="M1995" s="1" t="s">
        <v>3303</v>
      </c>
    </row>
    <row r="1996" spans="1:13" x14ac:dyDescent="0.3">
      <c r="A1996" s="3">
        <v>3614097</v>
      </c>
      <c r="B1996" s="4" t="s">
        <v>5413</v>
      </c>
      <c r="C1996" s="5" t="s">
        <v>3296</v>
      </c>
      <c r="D1996" s="5" t="s">
        <v>392</v>
      </c>
      <c r="E1996" s="3" t="s">
        <v>3297</v>
      </c>
      <c r="F1996" s="6">
        <v>62</v>
      </c>
      <c r="G1996" s="6">
        <v>58</v>
      </c>
      <c r="H1996" s="6">
        <v>6</v>
      </c>
      <c r="I1996" s="7" t="s">
        <v>4315</v>
      </c>
      <c r="J1996" s="3" t="s">
        <v>4317</v>
      </c>
      <c r="K1996" s="8" t="s">
        <v>4350</v>
      </c>
      <c r="L1996" s="9" t="s">
        <v>3304</v>
      </c>
      <c r="M1996" s="1" t="s">
        <v>3305</v>
      </c>
    </row>
    <row r="1997" spans="1:13" x14ac:dyDescent="0.3">
      <c r="A1997" s="3">
        <v>3620098</v>
      </c>
      <c r="B1997" s="4" t="s">
        <v>5413</v>
      </c>
      <c r="C1997" s="5" t="s">
        <v>3306</v>
      </c>
      <c r="D1997" s="5" t="s">
        <v>264</v>
      </c>
      <c r="E1997" s="3" t="s">
        <v>3307</v>
      </c>
      <c r="F1997" s="6">
        <v>51.5</v>
      </c>
      <c r="G1997" s="6">
        <v>35</v>
      </c>
      <c r="H1997" s="6">
        <v>0</v>
      </c>
      <c r="I1997" s="7" t="s">
        <v>4315</v>
      </c>
      <c r="J1997" s="3" t="s">
        <v>4317</v>
      </c>
      <c r="K1997" s="8" t="s">
        <v>4361</v>
      </c>
      <c r="L1997" s="9" t="s">
        <v>3308</v>
      </c>
      <c r="M1997" s="1" t="s">
        <v>3309</v>
      </c>
    </row>
    <row r="1998" spans="1:13" x14ac:dyDescent="0.3">
      <c r="A1998" s="3">
        <v>3621099</v>
      </c>
      <c r="B1998" s="4" t="s">
        <v>5413</v>
      </c>
      <c r="C1998" s="5" t="s">
        <v>8024</v>
      </c>
      <c r="D1998" s="5" t="s">
        <v>267</v>
      </c>
      <c r="E1998" s="3" t="s">
        <v>3307</v>
      </c>
      <c r="F1998" s="6">
        <v>52.8</v>
      </c>
      <c r="G1998" s="6">
        <v>35</v>
      </c>
      <c r="H1998" s="6">
        <v>0</v>
      </c>
      <c r="I1998" s="7" t="s">
        <v>4315</v>
      </c>
      <c r="J1998" s="3" t="s">
        <v>4317</v>
      </c>
      <c r="K1998" s="8" t="s">
        <v>4368</v>
      </c>
      <c r="L1998" s="9" t="s">
        <v>3310</v>
      </c>
      <c r="M1998" s="1" t="s">
        <v>3311</v>
      </c>
    </row>
    <row r="1999" spans="1:13" x14ac:dyDescent="0.3">
      <c r="A1999" s="3">
        <v>3611100</v>
      </c>
      <c r="B1999" s="4" t="s">
        <v>5413</v>
      </c>
      <c r="C1999" s="5" t="s">
        <v>3312</v>
      </c>
      <c r="D1999" s="5" t="s">
        <v>154</v>
      </c>
      <c r="E1999" s="3" t="s">
        <v>3307</v>
      </c>
      <c r="F1999" s="6">
        <v>53.3</v>
      </c>
      <c r="G1999" s="6">
        <v>51.6</v>
      </c>
      <c r="H1999" s="6">
        <v>35.5</v>
      </c>
      <c r="I1999" s="7" t="s">
        <v>4473</v>
      </c>
      <c r="J1999" s="3" t="s">
        <v>4317</v>
      </c>
      <c r="K1999" s="8" t="s">
        <v>4583</v>
      </c>
      <c r="L1999" s="9" t="s">
        <v>3313</v>
      </c>
      <c r="M1999" s="1" t="s">
        <v>3314</v>
      </c>
    </row>
    <row r="2000" spans="1:13" x14ac:dyDescent="0.3">
      <c r="A2000" s="3">
        <v>3614101</v>
      </c>
      <c r="B2000" s="4" t="s">
        <v>5413</v>
      </c>
      <c r="C2000" s="5" t="s">
        <v>3315</v>
      </c>
      <c r="D2000" s="5" t="s">
        <v>392</v>
      </c>
      <c r="E2000" s="3" t="s">
        <v>3307</v>
      </c>
      <c r="F2000" s="6">
        <v>24.3</v>
      </c>
      <c r="G2000" s="6">
        <v>52.6</v>
      </c>
      <c r="H2000" s="6">
        <v>8</v>
      </c>
      <c r="I2000" s="7" t="s">
        <v>4315</v>
      </c>
      <c r="J2000" s="3" t="s">
        <v>4317</v>
      </c>
      <c r="K2000" s="8" t="s">
        <v>4602</v>
      </c>
      <c r="L2000" s="9" t="s">
        <v>3316</v>
      </c>
      <c r="M2000" s="1" t="s">
        <v>3317</v>
      </c>
    </row>
    <row r="2001" spans="1:13" x14ac:dyDescent="0.3">
      <c r="A2001" s="3">
        <v>3620102</v>
      </c>
      <c r="B2001" s="4" t="s">
        <v>5413</v>
      </c>
      <c r="C2001" s="5" t="s">
        <v>3321</v>
      </c>
      <c r="D2001" s="5" t="s">
        <v>264</v>
      </c>
      <c r="E2001" s="3" t="s">
        <v>3318</v>
      </c>
      <c r="F2001" s="6">
        <v>121</v>
      </c>
      <c r="G2001" s="6">
        <v>76.5</v>
      </c>
      <c r="H2001" s="6">
        <v>0</v>
      </c>
      <c r="I2001" s="7" t="s">
        <v>4315</v>
      </c>
      <c r="J2001" s="3" t="s">
        <v>4317</v>
      </c>
      <c r="K2001" s="8" t="s">
        <v>4551</v>
      </c>
      <c r="L2001" s="9" t="s">
        <v>3319</v>
      </c>
      <c r="M2001" s="1" t="s">
        <v>3320</v>
      </c>
    </row>
    <row r="2002" spans="1:13" x14ac:dyDescent="0.3">
      <c r="A2002" s="3">
        <v>3621103</v>
      </c>
      <c r="B2002" s="4" t="s">
        <v>5413</v>
      </c>
      <c r="C2002" s="5" t="s">
        <v>3321</v>
      </c>
      <c r="D2002" s="5" t="s">
        <v>267</v>
      </c>
      <c r="E2002" s="3" t="s">
        <v>3318</v>
      </c>
      <c r="F2002" s="6">
        <v>113.4</v>
      </c>
      <c r="G2002" s="6">
        <v>76.5</v>
      </c>
      <c r="H2002" s="6">
        <v>0</v>
      </c>
      <c r="I2002" s="7" t="s">
        <v>4315</v>
      </c>
      <c r="J2002" s="3" t="s">
        <v>4317</v>
      </c>
      <c r="K2002" s="8" t="s">
        <v>4742</v>
      </c>
      <c r="L2002" s="9" t="s">
        <v>3322</v>
      </c>
      <c r="M2002" s="1" t="s">
        <v>3323</v>
      </c>
    </row>
    <row r="2003" spans="1:13" x14ac:dyDescent="0.3">
      <c r="A2003" s="3">
        <v>3611104</v>
      </c>
      <c r="B2003" s="4" t="s">
        <v>5413</v>
      </c>
      <c r="C2003" s="5" t="s">
        <v>3324</v>
      </c>
      <c r="D2003" s="5" t="s">
        <v>154</v>
      </c>
      <c r="E2003" s="3" t="s">
        <v>3318</v>
      </c>
      <c r="F2003" s="6">
        <v>121.5</v>
      </c>
      <c r="G2003" s="6">
        <v>114</v>
      </c>
      <c r="H2003" s="6">
        <v>77</v>
      </c>
      <c r="I2003" s="7" t="s">
        <v>4473</v>
      </c>
      <c r="J2003" s="3" t="s">
        <v>4317</v>
      </c>
      <c r="K2003" s="8" t="s">
        <v>4743</v>
      </c>
      <c r="L2003" s="9" t="s">
        <v>3325</v>
      </c>
      <c r="M2003" s="1" t="s">
        <v>3326</v>
      </c>
    </row>
    <row r="2004" spans="1:13" x14ac:dyDescent="0.3">
      <c r="A2004" s="3">
        <v>3613105</v>
      </c>
      <c r="B2004" s="4" t="s">
        <v>5413</v>
      </c>
      <c r="C2004" s="5" t="s">
        <v>3327</v>
      </c>
      <c r="D2004" s="5" t="s">
        <v>2584</v>
      </c>
      <c r="E2004" s="3" t="s">
        <v>3318</v>
      </c>
      <c r="F2004" s="6">
        <v>123</v>
      </c>
      <c r="G2004" s="6">
        <v>115.5</v>
      </c>
      <c r="H2004" s="6">
        <v>10</v>
      </c>
      <c r="I2004" s="7" t="s">
        <v>4315</v>
      </c>
      <c r="J2004" s="3" t="s">
        <v>4317</v>
      </c>
      <c r="K2004" s="8" t="s">
        <v>4744</v>
      </c>
      <c r="L2004" s="9" t="s">
        <v>3328</v>
      </c>
      <c r="M2004" s="1" t="s">
        <v>3329</v>
      </c>
    </row>
    <row r="2005" spans="1:13" x14ac:dyDescent="0.3">
      <c r="A2005" s="3">
        <v>3620106</v>
      </c>
      <c r="B2005" s="4" t="s">
        <v>5413</v>
      </c>
      <c r="C2005" s="5" t="s">
        <v>3330</v>
      </c>
      <c r="D2005" s="5" t="s">
        <v>264</v>
      </c>
      <c r="E2005" s="3" t="s">
        <v>3331</v>
      </c>
      <c r="F2005" s="6">
        <v>60</v>
      </c>
      <c r="G2005" s="6">
        <v>37</v>
      </c>
      <c r="H2005" s="6">
        <v>0</v>
      </c>
      <c r="I2005" s="7" t="s">
        <v>4315</v>
      </c>
      <c r="J2005" s="3" t="s">
        <v>4317</v>
      </c>
      <c r="K2005" s="8" t="s">
        <v>4500</v>
      </c>
      <c r="L2005" s="9" t="s">
        <v>3332</v>
      </c>
      <c r="M2005" s="1" t="s">
        <v>3333</v>
      </c>
    </row>
    <row r="2006" spans="1:13" x14ac:dyDescent="0.3">
      <c r="A2006" s="3">
        <v>3621107</v>
      </c>
      <c r="B2006" s="4" t="s">
        <v>5413</v>
      </c>
      <c r="C2006" s="5" t="s">
        <v>3330</v>
      </c>
      <c r="D2006" s="5" t="s">
        <v>267</v>
      </c>
      <c r="E2006" s="3" t="s">
        <v>3331</v>
      </c>
      <c r="F2006" s="6">
        <v>45</v>
      </c>
      <c r="G2006" s="6">
        <v>37</v>
      </c>
      <c r="H2006" s="6">
        <v>0</v>
      </c>
      <c r="I2006" s="7" t="s">
        <v>4315</v>
      </c>
      <c r="J2006" s="3" t="s">
        <v>4317</v>
      </c>
      <c r="K2006" s="8" t="s">
        <v>4356</v>
      </c>
      <c r="L2006" s="9" t="s">
        <v>3334</v>
      </c>
      <c r="M2006" s="1" t="s">
        <v>3335</v>
      </c>
    </row>
    <row r="2007" spans="1:13" x14ac:dyDescent="0.3">
      <c r="A2007" s="3">
        <v>3611108</v>
      </c>
      <c r="B2007" s="4" t="s">
        <v>5413</v>
      </c>
      <c r="C2007" s="5" t="s">
        <v>3336</v>
      </c>
      <c r="D2007" s="5" t="s">
        <v>154</v>
      </c>
      <c r="E2007" s="3" t="s">
        <v>3331</v>
      </c>
      <c r="F2007" s="6">
        <v>60.5</v>
      </c>
      <c r="G2007" s="6">
        <v>38</v>
      </c>
      <c r="H2007" s="6">
        <v>37.5</v>
      </c>
      <c r="I2007" s="7" t="s">
        <v>4473</v>
      </c>
      <c r="J2007" s="3" t="s">
        <v>4317</v>
      </c>
      <c r="K2007" s="8" t="s">
        <v>4404</v>
      </c>
      <c r="L2007" s="9" t="s">
        <v>3337</v>
      </c>
      <c r="M2007" s="1" t="s">
        <v>3338</v>
      </c>
    </row>
    <row r="2008" spans="1:13" x14ac:dyDescent="0.3">
      <c r="A2008" s="3">
        <v>3614109</v>
      </c>
      <c r="B2008" s="4" t="s">
        <v>5413</v>
      </c>
      <c r="C2008" s="5" t="s">
        <v>3339</v>
      </c>
      <c r="D2008" s="5" t="s">
        <v>392</v>
      </c>
      <c r="E2008" s="3" t="s">
        <v>3331</v>
      </c>
      <c r="F2008" s="6">
        <v>61.5</v>
      </c>
      <c r="G2008" s="6">
        <v>39</v>
      </c>
      <c r="H2008" s="6">
        <v>8</v>
      </c>
      <c r="I2008" s="7" t="s">
        <v>4315</v>
      </c>
      <c r="J2008" s="3" t="s">
        <v>4317</v>
      </c>
      <c r="K2008" s="8" t="s">
        <v>4442</v>
      </c>
      <c r="L2008" s="9" t="s">
        <v>3340</v>
      </c>
      <c r="M2008" s="1" t="s">
        <v>3341</v>
      </c>
    </row>
    <row r="2009" spans="1:13" x14ac:dyDescent="0.3">
      <c r="A2009" s="3">
        <v>3611110</v>
      </c>
      <c r="B2009" s="4" t="s">
        <v>5413</v>
      </c>
      <c r="C2009" s="5" t="s">
        <v>3342</v>
      </c>
      <c r="D2009" s="5" t="s">
        <v>154</v>
      </c>
      <c r="E2009" s="3" t="s">
        <v>3343</v>
      </c>
      <c r="F2009" s="6">
        <v>59.9</v>
      </c>
      <c r="G2009" s="6">
        <v>56.5</v>
      </c>
      <c r="H2009" s="6">
        <v>22</v>
      </c>
      <c r="I2009" s="7" t="s">
        <v>4315</v>
      </c>
      <c r="J2009" s="3" t="s">
        <v>4317</v>
      </c>
      <c r="K2009" s="8">
        <v>1.21</v>
      </c>
      <c r="L2009" s="9" t="s">
        <v>3344</v>
      </c>
      <c r="M2009" s="1" t="s">
        <v>3345</v>
      </c>
    </row>
    <row r="2010" spans="1:13" x14ac:dyDescent="0.3">
      <c r="A2010" s="3">
        <v>3620111</v>
      </c>
      <c r="B2010" s="4" t="s">
        <v>5413</v>
      </c>
      <c r="C2010" s="5" t="s">
        <v>3346</v>
      </c>
      <c r="D2010" s="5" t="s">
        <v>264</v>
      </c>
      <c r="E2010" s="3" t="s">
        <v>3343</v>
      </c>
      <c r="F2010" s="6">
        <v>59.4</v>
      </c>
      <c r="G2010" s="6">
        <v>56</v>
      </c>
      <c r="H2010" s="6">
        <v>21.5</v>
      </c>
      <c r="I2010" s="7" t="s">
        <v>4449</v>
      </c>
      <c r="J2010" s="3" t="s">
        <v>4423</v>
      </c>
      <c r="K2010" s="8">
        <v>0.13</v>
      </c>
      <c r="L2010" s="9" t="s">
        <v>3347</v>
      </c>
      <c r="M2010" s="1" t="s">
        <v>3348</v>
      </c>
    </row>
    <row r="2011" spans="1:13" x14ac:dyDescent="0.3">
      <c r="A2011" s="3">
        <v>362112</v>
      </c>
      <c r="B2011" s="4" t="s">
        <v>5413</v>
      </c>
      <c r="C2011" s="5" t="s">
        <v>3346</v>
      </c>
      <c r="D2011" s="5" t="s">
        <v>267</v>
      </c>
      <c r="E2011" s="3" t="s">
        <v>3343</v>
      </c>
      <c r="F2011" s="6">
        <v>59.4</v>
      </c>
      <c r="G2011" s="6">
        <v>56</v>
      </c>
      <c r="H2011" s="6">
        <v>21.8</v>
      </c>
      <c r="I2011" s="7" t="s">
        <v>4449</v>
      </c>
      <c r="J2011" s="3" t="s">
        <v>4423</v>
      </c>
      <c r="K2011" s="8">
        <v>0.13</v>
      </c>
      <c r="L2011" s="9" t="s">
        <v>3349</v>
      </c>
      <c r="M2011" s="1" t="s">
        <v>3350</v>
      </c>
    </row>
    <row r="2012" spans="1:13" x14ac:dyDescent="0.3">
      <c r="A2012" s="3">
        <v>3622113</v>
      </c>
      <c r="B2012" s="4" t="s">
        <v>5413</v>
      </c>
      <c r="C2012" s="5" t="s">
        <v>3346</v>
      </c>
      <c r="D2012" s="5" t="s">
        <v>399</v>
      </c>
      <c r="E2012" s="3" t="s">
        <v>3343</v>
      </c>
      <c r="F2012" s="6">
        <v>59.4</v>
      </c>
      <c r="G2012" s="6">
        <v>56</v>
      </c>
      <c r="H2012" s="6">
        <v>21.8</v>
      </c>
      <c r="I2012" s="7" t="s">
        <v>4449</v>
      </c>
      <c r="J2012" s="3" t="s">
        <v>4423</v>
      </c>
      <c r="K2012" s="8">
        <v>0.12</v>
      </c>
      <c r="L2012" s="9" t="s">
        <v>3351</v>
      </c>
      <c r="M2012" s="1" t="s">
        <v>3352</v>
      </c>
    </row>
    <row r="2013" spans="1:13" x14ac:dyDescent="0.3">
      <c r="A2013" s="3">
        <v>3623114</v>
      </c>
      <c r="B2013" s="4" t="s">
        <v>5413</v>
      </c>
      <c r="C2013" s="5" t="s">
        <v>3346</v>
      </c>
      <c r="D2013" s="5" t="s">
        <v>644</v>
      </c>
      <c r="E2013" s="3" t="s">
        <v>3343</v>
      </c>
      <c r="F2013" s="6">
        <v>59.4</v>
      </c>
      <c r="G2013" s="6">
        <v>56</v>
      </c>
      <c r="H2013" s="6">
        <v>21.8</v>
      </c>
      <c r="I2013" s="7" t="s">
        <v>4449</v>
      </c>
      <c r="J2013" s="3" t="s">
        <v>4423</v>
      </c>
      <c r="K2013" s="8">
        <v>0.08</v>
      </c>
      <c r="L2013" s="9" t="s">
        <v>3353</v>
      </c>
      <c r="M2013" s="1" t="s">
        <v>3354</v>
      </c>
    </row>
    <row r="2014" spans="1:13" x14ac:dyDescent="0.3">
      <c r="A2014" s="3">
        <v>3624115</v>
      </c>
      <c r="B2014" s="4" t="s">
        <v>5413</v>
      </c>
      <c r="C2014" s="5" t="s">
        <v>3346</v>
      </c>
      <c r="D2014" s="5" t="s">
        <v>647</v>
      </c>
      <c r="E2014" s="3" t="s">
        <v>3343</v>
      </c>
      <c r="F2014" s="6">
        <v>59.4</v>
      </c>
      <c r="G2014" s="6">
        <v>56</v>
      </c>
      <c r="H2014" s="6">
        <v>21.8</v>
      </c>
      <c r="I2014" s="7" t="s">
        <v>4449</v>
      </c>
      <c r="J2014" s="3" t="s">
        <v>4423</v>
      </c>
      <c r="K2014" s="8">
        <v>0.03</v>
      </c>
      <c r="L2014" s="9" t="s">
        <v>3355</v>
      </c>
      <c r="M2014" s="1" t="s">
        <v>3356</v>
      </c>
    </row>
    <row r="2015" spans="1:13" x14ac:dyDescent="0.3">
      <c r="A2015" s="3">
        <v>3613116</v>
      </c>
      <c r="B2015" s="4" t="s">
        <v>5413</v>
      </c>
      <c r="C2015" s="5" t="s">
        <v>3357</v>
      </c>
      <c r="D2015" s="5" t="s">
        <v>1218</v>
      </c>
      <c r="E2015" s="3" t="s">
        <v>3343</v>
      </c>
      <c r="F2015" s="6">
        <v>62</v>
      </c>
      <c r="G2015" s="6">
        <v>57.5</v>
      </c>
      <c r="H2015" s="6">
        <v>6.5</v>
      </c>
      <c r="I2015" s="7" t="s">
        <v>4315</v>
      </c>
      <c r="J2015" s="3" t="s">
        <v>4317</v>
      </c>
      <c r="K2015" s="8">
        <v>0.61</v>
      </c>
      <c r="L2015" s="9" t="s">
        <v>3358</v>
      </c>
      <c r="M2015" s="1" t="s">
        <v>3359</v>
      </c>
    </row>
    <row r="2016" spans="1:13" x14ac:dyDescent="0.3">
      <c r="A2016" s="3">
        <v>3619117</v>
      </c>
      <c r="B2016" s="4" t="s">
        <v>5413</v>
      </c>
      <c r="C2016" s="5" t="s">
        <v>7875</v>
      </c>
      <c r="D2016" s="5" t="s">
        <v>74</v>
      </c>
      <c r="E2016" s="3" t="s">
        <v>3343</v>
      </c>
      <c r="F2016" s="6">
        <v>59.4</v>
      </c>
      <c r="G2016" s="6">
        <v>56</v>
      </c>
      <c r="H2016" s="6" t="s">
        <v>14</v>
      </c>
      <c r="I2016" s="7" t="s">
        <v>4449</v>
      </c>
      <c r="J2016" s="3" t="s">
        <v>4423</v>
      </c>
      <c r="K2016" s="8">
        <v>0.33</v>
      </c>
      <c r="L2016" s="9" t="s">
        <v>3360</v>
      </c>
      <c r="M2016" s="1" t="s">
        <v>3361</v>
      </c>
    </row>
    <row r="2017" spans="1:13" x14ac:dyDescent="0.3">
      <c r="A2017" s="3">
        <v>3625118</v>
      </c>
      <c r="B2017" s="4" t="s">
        <v>5413</v>
      </c>
      <c r="C2017" s="5" t="s">
        <v>6786</v>
      </c>
      <c r="D2017" s="5" t="s">
        <v>90</v>
      </c>
      <c r="E2017" s="3" t="s">
        <v>6787</v>
      </c>
      <c r="F2017" s="6">
        <v>56</v>
      </c>
      <c r="G2017" s="6">
        <v>44</v>
      </c>
      <c r="H2017" s="6">
        <v>12</v>
      </c>
      <c r="I2017" s="7" t="s">
        <v>6788</v>
      </c>
      <c r="J2017" s="3" t="s">
        <v>4422</v>
      </c>
      <c r="K2017" s="8">
        <v>0.05</v>
      </c>
      <c r="L2017" s="9" t="s">
        <v>4793</v>
      </c>
      <c r="M2017" s="1"/>
    </row>
    <row r="2018" spans="1:13" x14ac:dyDescent="0.3">
      <c r="A2018" s="3">
        <v>3745138</v>
      </c>
      <c r="B2018" s="4" t="s">
        <v>5413</v>
      </c>
      <c r="C2018" s="5" t="s">
        <v>2686</v>
      </c>
      <c r="D2018" s="5" t="s">
        <v>682</v>
      </c>
      <c r="E2018" s="3" t="s">
        <v>4940</v>
      </c>
      <c r="F2018" s="6">
        <v>121</v>
      </c>
      <c r="G2018" s="6">
        <v>113.5</v>
      </c>
      <c r="H2018" s="6">
        <v>86</v>
      </c>
      <c r="I2018" s="7">
        <v>42</v>
      </c>
      <c r="J2018" s="3" t="s">
        <v>4318</v>
      </c>
      <c r="K2018" s="8">
        <v>2.06</v>
      </c>
      <c r="L2018" s="9" t="s">
        <v>4941</v>
      </c>
      <c r="M2018" s="1"/>
    </row>
    <row r="2019" spans="1:13" x14ac:dyDescent="0.3">
      <c r="A2019" s="3">
        <v>3751139</v>
      </c>
      <c r="B2019" s="4" t="s">
        <v>5413</v>
      </c>
      <c r="C2019" s="5" t="s">
        <v>4936</v>
      </c>
      <c r="D2019" s="5" t="s">
        <v>4939</v>
      </c>
      <c r="E2019" s="3" t="s">
        <v>4940</v>
      </c>
      <c r="F2019" s="6">
        <v>120</v>
      </c>
      <c r="G2019" s="6">
        <v>20</v>
      </c>
      <c r="H2019" s="6">
        <v>86</v>
      </c>
      <c r="I2019" s="7">
        <v>42</v>
      </c>
      <c r="J2019" s="3" t="s">
        <v>4318</v>
      </c>
      <c r="K2019" s="8">
        <v>1.25</v>
      </c>
      <c r="L2019" s="9" t="s">
        <v>4942</v>
      </c>
      <c r="M2019" s="1"/>
    </row>
    <row r="2020" spans="1:13" x14ac:dyDescent="0.3">
      <c r="A2020" s="3">
        <v>3757140</v>
      </c>
      <c r="B2020" s="4" t="s">
        <v>5413</v>
      </c>
      <c r="C2020" s="5" t="s">
        <v>4937</v>
      </c>
      <c r="D2020" s="5" t="s">
        <v>13</v>
      </c>
      <c r="E2020" s="3" t="s">
        <v>4940</v>
      </c>
      <c r="F2020" s="6">
        <v>133</v>
      </c>
      <c r="G2020" s="6">
        <v>115</v>
      </c>
      <c r="H2020" s="6">
        <v>10</v>
      </c>
      <c r="I2020" s="7">
        <v>32</v>
      </c>
      <c r="J2020" s="3" t="s">
        <v>4317</v>
      </c>
      <c r="K2020" s="8">
        <v>2.0699999999999998</v>
      </c>
      <c r="L2020" s="9" t="s">
        <v>4943</v>
      </c>
      <c r="M2020" s="1"/>
    </row>
    <row r="2021" spans="1:13" x14ac:dyDescent="0.3">
      <c r="A2021" s="3">
        <v>3763141</v>
      </c>
      <c r="B2021" s="4" t="s">
        <v>5413</v>
      </c>
      <c r="C2021" s="5" t="s">
        <v>4938</v>
      </c>
      <c r="D2021" s="5" t="s">
        <v>74</v>
      </c>
      <c r="E2021" s="3" t="s">
        <v>4940</v>
      </c>
      <c r="F2021" s="6">
        <v>120</v>
      </c>
      <c r="G2021" s="6">
        <v>90</v>
      </c>
      <c r="H2021" s="6" t="s">
        <v>14</v>
      </c>
      <c r="I2021" s="7">
        <v>32</v>
      </c>
      <c r="J2021" s="3" t="s">
        <v>4317</v>
      </c>
      <c r="K2021" s="8">
        <v>1.08</v>
      </c>
      <c r="L2021" s="9" t="s">
        <v>4944</v>
      </c>
      <c r="M2021" s="1"/>
    </row>
    <row r="2022" spans="1:13" x14ac:dyDescent="0.3">
      <c r="A2022" s="3">
        <v>3763142</v>
      </c>
      <c r="B2022" s="4" t="s">
        <v>5413</v>
      </c>
      <c r="C2022" s="5" t="s">
        <v>5422</v>
      </c>
      <c r="D2022" s="5" t="s">
        <v>23</v>
      </c>
      <c r="E2022" s="3" t="s">
        <v>5424</v>
      </c>
      <c r="F2022" s="6"/>
      <c r="G2022" s="6"/>
      <c r="H2022" s="6"/>
      <c r="I2022" s="7"/>
      <c r="J2022" s="3"/>
      <c r="K2022" s="8"/>
      <c r="L2022" s="9" t="s">
        <v>5419</v>
      </c>
      <c r="M2022" s="1"/>
    </row>
    <row r="2023" spans="1:13" x14ac:dyDescent="0.3">
      <c r="A2023" s="3">
        <v>3763143</v>
      </c>
      <c r="B2023" s="4" t="s">
        <v>5413</v>
      </c>
      <c r="C2023" s="5" t="s">
        <v>5423</v>
      </c>
      <c r="D2023" s="5" t="s">
        <v>4792</v>
      </c>
      <c r="E2023" s="3" t="s">
        <v>5424</v>
      </c>
      <c r="F2023" s="6"/>
      <c r="G2023" s="6"/>
      <c r="H2023" s="6"/>
      <c r="I2023" s="7"/>
      <c r="J2023" s="3"/>
      <c r="K2023" s="8"/>
      <c r="L2023" s="9" t="s">
        <v>5420</v>
      </c>
      <c r="M2023" s="1"/>
    </row>
    <row r="2024" spans="1:13" x14ac:dyDescent="0.3">
      <c r="A2024" s="3">
        <v>3763144</v>
      </c>
      <c r="B2024" s="4" t="s">
        <v>5413</v>
      </c>
      <c r="C2024" s="5" t="s">
        <v>5425</v>
      </c>
      <c r="D2024" s="5" t="s">
        <v>13</v>
      </c>
      <c r="E2024" s="3" t="s">
        <v>5424</v>
      </c>
      <c r="F2024" s="6"/>
      <c r="G2024" s="6"/>
      <c r="H2024" s="6"/>
      <c r="I2024" s="7"/>
      <c r="J2024" s="3"/>
      <c r="K2024" s="8"/>
      <c r="L2024" s="9" t="s">
        <v>5421</v>
      </c>
      <c r="M2024" s="1"/>
    </row>
    <row r="2025" spans="1:13" x14ac:dyDescent="0.3">
      <c r="A2025" s="3">
        <v>3763145</v>
      </c>
      <c r="B2025" s="4" t="s">
        <v>5413</v>
      </c>
      <c r="C2025" s="5" t="s">
        <v>6684</v>
      </c>
      <c r="D2025" s="5" t="s">
        <v>23</v>
      </c>
      <c r="E2025" s="3" t="s">
        <v>6685</v>
      </c>
      <c r="F2025" s="6">
        <v>59.5</v>
      </c>
      <c r="G2025" s="6">
        <v>36.5</v>
      </c>
      <c r="H2025" s="6">
        <v>40</v>
      </c>
      <c r="I2025" s="7">
        <v>32</v>
      </c>
      <c r="J2025" s="3" t="s">
        <v>4317</v>
      </c>
      <c r="K2025" s="8">
        <v>1.1499999999999999</v>
      </c>
      <c r="L2025" s="9" t="s">
        <v>6686</v>
      </c>
      <c r="M2025" s="1" t="s">
        <v>6697</v>
      </c>
    </row>
    <row r="2026" spans="1:13" x14ac:dyDescent="0.3">
      <c r="A2026" s="3">
        <v>3763146</v>
      </c>
      <c r="B2026" s="4" t="s">
        <v>5413</v>
      </c>
      <c r="C2026" s="5" t="s">
        <v>6684</v>
      </c>
      <c r="D2026" s="5" t="s">
        <v>90</v>
      </c>
      <c r="E2026" s="3" t="s">
        <v>6685</v>
      </c>
      <c r="F2026" s="6">
        <v>59</v>
      </c>
      <c r="G2026" s="6">
        <v>36</v>
      </c>
      <c r="H2026" s="6">
        <v>39</v>
      </c>
      <c r="I2026" s="7">
        <v>32</v>
      </c>
      <c r="J2026" s="3" t="s">
        <v>4317</v>
      </c>
      <c r="K2026" s="8">
        <f>0.23+0.14</f>
        <v>0.37</v>
      </c>
      <c r="L2026" s="9" t="s">
        <v>6687</v>
      </c>
      <c r="M2026" s="1" t="s">
        <v>6698</v>
      </c>
    </row>
    <row r="2027" spans="1:13" x14ac:dyDescent="0.3">
      <c r="A2027" s="3">
        <v>3763147</v>
      </c>
      <c r="B2027" s="4" t="s">
        <v>5413</v>
      </c>
      <c r="C2027" s="5" t="s">
        <v>6694</v>
      </c>
      <c r="D2027" s="5" t="s">
        <v>23</v>
      </c>
      <c r="E2027" s="3" t="s">
        <v>6685</v>
      </c>
      <c r="F2027" s="6">
        <v>59.5</v>
      </c>
      <c r="G2027" s="6">
        <v>36.5</v>
      </c>
      <c r="H2027" s="6">
        <v>41</v>
      </c>
      <c r="I2027" s="7">
        <v>32</v>
      </c>
      <c r="J2027" s="3" t="s">
        <v>4317</v>
      </c>
      <c r="K2027" s="8">
        <v>1.17</v>
      </c>
      <c r="L2027" s="9" t="s">
        <v>6688</v>
      </c>
      <c r="M2027" s="1" t="s">
        <v>6699</v>
      </c>
    </row>
    <row r="2028" spans="1:13" x14ac:dyDescent="0.3">
      <c r="A2028" s="3">
        <v>3763148</v>
      </c>
      <c r="B2028" s="4" t="s">
        <v>5413</v>
      </c>
      <c r="C2028" s="5" t="s">
        <v>6694</v>
      </c>
      <c r="D2028" s="5" t="s">
        <v>90</v>
      </c>
      <c r="E2028" s="3" t="s">
        <v>6685</v>
      </c>
      <c r="F2028" s="6">
        <v>59</v>
      </c>
      <c r="G2028" s="6">
        <v>36</v>
      </c>
      <c r="H2028" s="6">
        <v>40</v>
      </c>
      <c r="I2028" s="7">
        <v>32</v>
      </c>
      <c r="J2028" s="3" t="s">
        <v>4317</v>
      </c>
      <c r="K2028" s="8">
        <f>0.24+0.14</f>
        <v>0.38</v>
      </c>
      <c r="L2028" s="9" t="s">
        <v>6689</v>
      </c>
      <c r="M2028" s="1" t="s">
        <v>6700</v>
      </c>
    </row>
    <row r="2029" spans="1:13" x14ac:dyDescent="0.3">
      <c r="A2029" s="3">
        <v>3763149</v>
      </c>
      <c r="B2029" s="4" t="s">
        <v>5413</v>
      </c>
      <c r="C2029" s="5" t="s">
        <v>6695</v>
      </c>
      <c r="D2029" s="5" t="s">
        <v>23</v>
      </c>
      <c r="E2029" s="3" t="s">
        <v>6685</v>
      </c>
      <c r="F2029" s="6">
        <v>60</v>
      </c>
      <c r="G2029" s="6">
        <v>55</v>
      </c>
      <c r="H2029" s="6">
        <v>25</v>
      </c>
      <c r="I2029" s="7">
        <v>32</v>
      </c>
      <c r="J2029" s="3" t="s">
        <v>4317</v>
      </c>
      <c r="K2029" s="8">
        <v>1.24</v>
      </c>
      <c r="L2029" s="9" t="s">
        <v>6690</v>
      </c>
      <c r="M2029" s="1" t="s">
        <v>6701</v>
      </c>
    </row>
    <row r="2030" spans="1:13" x14ac:dyDescent="0.3">
      <c r="A2030" s="3">
        <v>3763150</v>
      </c>
      <c r="B2030" s="4" t="s">
        <v>5413</v>
      </c>
      <c r="C2030" s="5" t="s">
        <v>6695</v>
      </c>
      <c r="D2030" s="5" t="s">
        <v>90</v>
      </c>
      <c r="E2030" s="3" t="s">
        <v>6685</v>
      </c>
      <c r="F2030" s="6">
        <v>59.5</v>
      </c>
      <c r="G2030" s="6">
        <v>54.5</v>
      </c>
      <c r="H2030" s="6">
        <v>24</v>
      </c>
      <c r="I2030" s="7">
        <v>32</v>
      </c>
      <c r="J2030" s="3" t="s">
        <v>4317</v>
      </c>
      <c r="K2030" s="8">
        <f>0.14+0.13</f>
        <v>0.27</v>
      </c>
      <c r="L2030" s="9" t="s">
        <v>6691</v>
      </c>
      <c r="M2030" s="1" t="s">
        <v>6702</v>
      </c>
    </row>
    <row r="2031" spans="1:13" x14ac:dyDescent="0.3">
      <c r="A2031" s="3">
        <v>3763151</v>
      </c>
      <c r="B2031" s="4" t="s">
        <v>5413</v>
      </c>
      <c r="C2031" s="5" t="s">
        <v>6696</v>
      </c>
      <c r="D2031" s="5" t="s">
        <v>23</v>
      </c>
      <c r="E2031" s="3" t="s">
        <v>6685</v>
      </c>
      <c r="F2031" s="6">
        <v>59.5</v>
      </c>
      <c r="G2031" s="6">
        <v>36.5</v>
      </c>
      <c r="H2031" s="6">
        <v>51</v>
      </c>
      <c r="I2031" s="7">
        <v>32</v>
      </c>
      <c r="J2031" s="3" t="s">
        <v>4317</v>
      </c>
      <c r="K2031" s="8">
        <v>1.37</v>
      </c>
      <c r="L2031" s="9" t="s">
        <v>6692</v>
      </c>
      <c r="M2031" s="1" t="s">
        <v>6703</v>
      </c>
    </row>
    <row r="2032" spans="1:13" x14ac:dyDescent="0.3">
      <c r="A2032" s="3">
        <v>3763152</v>
      </c>
      <c r="B2032" s="4" t="s">
        <v>5413</v>
      </c>
      <c r="C2032" s="5" t="s">
        <v>6696</v>
      </c>
      <c r="D2032" s="5" t="s">
        <v>90</v>
      </c>
      <c r="E2032" s="3" t="s">
        <v>6685</v>
      </c>
      <c r="F2032" s="6">
        <v>69</v>
      </c>
      <c r="G2032" s="6">
        <v>36</v>
      </c>
      <c r="H2032" s="6">
        <v>50.5</v>
      </c>
      <c r="I2032" s="7">
        <v>32</v>
      </c>
      <c r="J2032" s="3" t="s">
        <v>4317</v>
      </c>
      <c r="K2032" s="8">
        <f>0.3+0.18</f>
        <v>0.48</v>
      </c>
      <c r="L2032" s="9" t="s">
        <v>6693</v>
      </c>
      <c r="M2032" s="1" t="s">
        <v>6704</v>
      </c>
    </row>
    <row r="2033" spans="1:13" x14ac:dyDescent="0.3">
      <c r="A2033" s="3">
        <v>3763153</v>
      </c>
      <c r="B2033" s="4" t="s">
        <v>5413</v>
      </c>
      <c r="C2033" s="5" t="s">
        <v>6780</v>
      </c>
      <c r="D2033" s="5" t="s">
        <v>2584</v>
      </c>
      <c r="E2033" s="3" t="s">
        <v>6717</v>
      </c>
      <c r="F2033" s="6">
        <v>122.5</v>
      </c>
      <c r="G2033" s="6">
        <v>116.5</v>
      </c>
      <c r="H2033" s="6">
        <v>12.5</v>
      </c>
      <c r="I2033" s="7">
        <v>32</v>
      </c>
      <c r="J2033" s="3" t="s">
        <v>4317</v>
      </c>
      <c r="K2033" s="8">
        <v>2.09</v>
      </c>
      <c r="L2033" s="9" t="s">
        <v>6718</v>
      </c>
      <c r="M2033" s="24" t="s">
        <v>6726</v>
      </c>
    </row>
    <row r="2034" spans="1:13" x14ac:dyDescent="0.3">
      <c r="A2034" s="3">
        <v>3763154</v>
      </c>
      <c r="B2034" s="4" t="s">
        <v>5413</v>
      </c>
      <c r="C2034" s="5" t="s">
        <v>7076</v>
      </c>
      <c r="D2034" s="5" t="s">
        <v>23</v>
      </c>
      <c r="E2034" s="3" t="s">
        <v>7077</v>
      </c>
      <c r="F2034" s="6">
        <v>61</v>
      </c>
      <c r="G2034" s="6">
        <v>38.5</v>
      </c>
      <c r="H2034" s="6">
        <v>35.799999999999997</v>
      </c>
      <c r="I2034" s="7">
        <v>32</v>
      </c>
      <c r="J2034" s="3" t="s">
        <v>4317</v>
      </c>
      <c r="K2034" s="8">
        <v>1.1299999999999999</v>
      </c>
      <c r="L2034" s="9" t="s">
        <v>7078</v>
      </c>
      <c r="M2034" s="1" t="s">
        <v>7081</v>
      </c>
    </row>
    <row r="2035" spans="1:13" x14ac:dyDescent="0.3">
      <c r="A2035" s="3">
        <v>3763155</v>
      </c>
      <c r="B2035" s="4" t="s">
        <v>5413</v>
      </c>
      <c r="C2035" s="5" t="s">
        <v>7080</v>
      </c>
      <c r="D2035" s="5" t="s">
        <v>90</v>
      </c>
      <c r="E2035" s="3" t="s">
        <v>7077</v>
      </c>
      <c r="F2035" s="6">
        <v>60</v>
      </c>
      <c r="G2035" s="6">
        <v>37.5</v>
      </c>
      <c r="H2035" s="6">
        <v>35</v>
      </c>
      <c r="I2035" s="7">
        <v>32</v>
      </c>
      <c r="J2035" s="3" t="s">
        <v>4317</v>
      </c>
      <c r="K2035" s="8">
        <f>0.21+0.13</f>
        <v>0.33999999999999997</v>
      </c>
      <c r="L2035" s="9" t="s">
        <v>7079</v>
      </c>
      <c r="M2035" s="1" t="s">
        <v>7082</v>
      </c>
    </row>
    <row r="2036" spans="1:13" x14ac:dyDescent="0.3">
      <c r="A2036" s="3">
        <v>3763156</v>
      </c>
      <c r="B2036" s="4" t="s">
        <v>5413</v>
      </c>
      <c r="C2036" s="5" t="s">
        <v>8028</v>
      </c>
      <c r="D2036" s="5" t="s">
        <v>96</v>
      </c>
      <c r="E2036" s="3" t="s">
        <v>7162</v>
      </c>
      <c r="F2036" s="6">
        <v>55.5</v>
      </c>
      <c r="G2036" s="6">
        <v>44.5</v>
      </c>
      <c r="H2036" s="6">
        <v>19.5</v>
      </c>
      <c r="I2036" s="7">
        <v>32</v>
      </c>
      <c r="J2036" s="3" t="s">
        <v>4317</v>
      </c>
      <c r="K2036" s="8">
        <v>1.32</v>
      </c>
      <c r="L2036" s="9" t="s">
        <v>7163</v>
      </c>
      <c r="M2036" s="1" t="s">
        <v>7249</v>
      </c>
    </row>
    <row r="2037" spans="1:13" x14ac:dyDescent="0.3">
      <c r="A2037" s="3">
        <v>3763157</v>
      </c>
      <c r="B2037" s="4" t="s">
        <v>5413</v>
      </c>
      <c r="C2037" s="5" t="s">
        <v>8029</v>
      </c>
      <c r="D2037" s="5" t="s">
        <v>90</v>
      </c>
      <c r="E2037" s="3" t="s">
        <v>7162</v>
      </c>
      <c r="F2037" s="6">
        <v>44</v>
      </c>
      <c r="G2037" s="6">
        <v>55</v>
      </c>
      <c r="H2037" s="6">
        <v>9</v>
      </c>
      <c r="I2037" s="7">
        <v>32</v>
      </c>
      <c r="J2037" s="3" t="s">
        <v>4317</v>
      </c>
      <c r="K2037" s="8">
        <f>0.04+0.05</f>
        <v>0.09</v>
      </c>
      <c r="L2037" s="9" t="s">
        <v>7164</v>
      </c>
      <c r="M2037" s="1" t="s">
        <v>7238</v>
      </c>
    </row>
    <row r="2038" spans="1:13" ht="15" thickBot="1" x14ac:dyDescent="0.35">
      <c r="A2038" s="27">
        <v>37631577</v>
      </c>
      <c r="B2038" s="28" t="s">
        <v>5413</v>
      </c>
      <c r="C2038" s="29" t="s">
        <v>8030</v>
      </c>
      <c r="D2038" s="29" t="s">
        <v>74</v>
      </c>
      <c r="E2038" s="27" t="s">
        <v>7162</v>
      </c>
      <c r="F2038" s="36">
        <v>54</v>
      </c>
      <c r="G2038" s="36">
        <v>43</v>
      </c>
      <c r="H2038" s="36" t="s">
        <v>14</v>
      </c>
      <c r="I2038" s="37">
        <v>32</v>
      </c>
      <c r="J2038" s="27" t="s">
        <v>4317</v>
      </c>
      <c r="K2038" s="38">
        <v>0.23</v>
      </c>
      <c r="L2038" s="39" t="s">
        <v>7229</v>
      </c>
      <c r="M2038" s="1" t="s">
        <v>7248</v>
      </c>
    </row>
    <row r="2039" spans="1:13" x14ac:dyDescent="0.3">
      <c r="A2039" s="45">
        <v>3763158</v>
      </c>
      <c r="B2039" s="46" t="s">
        <v>5413</v>
      </c>
      <c r="C2039" s="47" t="s">
        <v>8031</v>
      </c>
      <c r="D2039" s="47" t="s">
        <v>96</v>
      </c>
      <c r="E2039" s="48" t="s">
        <v>7228</v>
      </c>
      <c r="F2039" s="49">
        <v>60.7</v>
      </c>
      <c r="G2039" s="49">
        <v>55.5</v>
      </c>
      <c r="H2039" s="49">
        <v>37.5</v>
      </c>
      <c r="I2039" s="50">
        <v>32</v>
      </c>
      <c r="J2039" s="48" t="s">
        <v>4317</v>
      </c>
      <c r="K2039" s="51">
        <v>2.2200000000000002</v>
      </c>
      <c r="L2039" s="52" t="s">
        <v>7165</v>
      </c>
      <c r="M2039" s="2" t="s">
        <v>7247</v>
      </c>
    </row>
    <row r="2040" spans="1:13" x14ac:dyDescent="0.3">
      <c r="A2040" s="53">
        <v>3763159</v>
      </c>
      <c r="B2040" s="4" t="s">
        <v>5413</v>
      </c>
      <c r="C2040" s="5" t="s">
        <v>8032</v>
      </c>
      <c r="D2040" s="5" t="s">
        <v>90</v>
      </c>
      <c r="E2040" s="3" t="s">
        <v>7228</v>
      </c>
      <c r="F2040" s="6">
        <v>60.2</v>
      </c>
      <c r="G2040" s="6">
        <v>55</v>
      </c>
      <c r="H2040" s="6">
        <v>36.5</v>
      </c>
      <c r="I2040" s="7">
        <v>32</v>
      </c>
      <c r="J2040" s="3" t="s">
        <v>4317</v>
      </c>
      <c r="K2040" s="8">
        <f>0.22+0.2</f>
        <v>0.42000000000000004</v>
      </c>
      <c r="L2040" s="54" t="s">
        <v>7166</v>
      </c>
      <c r="M2040" s="2" t="s">
        <v>7239</v>
      </c>
    </row>
    <row r="2041" spans="1:13" x14ac:dyDescent="0.3">
      <c r="A2041" s="53">
        <v>3763160</v>
      </c>
      <c r="B2041" s="4" t="s">
        <v>5413</v>
      </c>
      <c r="C2041" s="5" t="s">
        <v>7175</v>
      </c>
      <c r="D2041" s="5" t="s">
        <v>96</v>
      </c>
      <c r="E2041" s="3" t="s">
        <v>7177</v>
      </c>
      <c r="F2041" s="6">
        <v>122</v>
      </c>
      <c r="G2041" s="6">
        <v>113</v>
      </c>
      <c r="H2041" s="6">
        <v>61</v>
      </c>
      <c r="I2041" s="7">
        <v>32</v>
      </c>
      <c r="J2041" s="3" t="s">
        <v>4317</v>
      </c>
      <c r="K2041" s="8">
        <v>8.2899999999999991</v>
      </c>
      <c r="L2041" s="54" t="s">
        <v>7167</v>
      </c>
      <c r="M2041" s="2"/>
    </row>
    <row r="2042" spans="1:13" ht="15" thickBot="1" x14ac:dyDescent="0.35">
      <c r="A2042" s="55">
        <v>3763161</v>
      </c>
      <c r="B2042" s="56" t="s">
        <v>5413</v>
      </c>
      <c r="C2042" s="57" t="s">
        <v>7176</v>
      </c>
      <c r="D2042" s="57" t="s">
        <v>4792</v>
      </c>
      <c r="E2042" s="3" t="s">
        <v>7177</v>
      </c>
      <c r="F2042" s="58">
        <v>120.4</v>
      </c>
      <c r="G2042" s="58">
        <v>112</v>
      </c>
      <c r="H2042" s="58">
        <v>60</v>
      </c>
      <c r="I2042" s="59">
        <v>32</v>
      </c>
      <c r="J2042" s="60" t="s">
        <v>4317</v>
      </c>
      <c r="K2042" s="61">
        <f>0.72+0.67</f>
        <v>1.3900000000000001</v>
      </c>
      <c r="L2042" s="62" t="s">
        <v>7168</v>
      </c>
      <c r="M2042" s="2"/>
    </row>
    <row r="2043" spans="1:13" x14ac:dyDescent="0.3">
      <c r="A2043" s="45">
        <v>3763162</v>
      </c>
      <c r="B2043" s="46" t="s">
        <v>5413</v>
      </c>
      <c r="C2043" s="47" t="s">
        <v>8033</v>
      </c>
      <c r="D2043" s="47" t="s">
        <v>96</v>
      </c>
      <c r="E2043" s="48" t="s">
        <v>7178</v>
      </c>
      <c r="F2043" s="49">
        <v>60.5</v>
      </c>
      <c r="G2043" s="49">
        <v>55.5</v>
      </c>
      <c r="H2043" s="49">
        <v>23</v>
      </c>
      <c r="I2043" s="50">
        <v>32</v>
      </c>
      <c r="J2043" s="48" t="s">
        <v>4317</v>
      </c>
      <c r="K2043" s="51">
        <v>1.87</v>
      </c>
      <c r="L2043" s="52" t="s">
        <v>7169</v>
      </c>
      <c r="M2043" s="2" t="s">
        <v>7245</v>
      </c>
    </row>
    <row r="2044" spans="1:13" x14ac:dyDescent="0.3">
      <c r="A2044" s="63">
        <v>3763163</v>
      </c>
      <c r="B2044" s="32" t="s">
        <v>5413</v>
      </c>
      <c r="C2044" s="33" t="s">
        <v>8034</v>
      </c>
      <c r="D2044" s="33" t="s">
        <v>90</v>
      </c>
      <c r="E2044" s="31" t="s">
        <v>7178</v>
      </c>
      <c r="F2044" s="41">
        <v>60</v>
      </c>
      <c r="G2044" s="41">
        <v>55</v>
      </c>
      <c r="H2044" s="41">
        <v>22</v>
      </c>
      <c r="I2044" s="42">
        <v>32</v>
      </c>
      <c r="J2044" s="31" t="s">
        <v>4317</v>
      </c>
      <c r="K2044" s="43">
        <v>0.25</v>
      </c>
      <c r="L2044" s="64" t="s">
        <v>7170</v>
      </c>
      <c r="M2044" s="2" t="s">
        <v>7240</v>
      </c>
    </row>
    <row r="2045" spans="1:13" ht="15" thickBot="1" x14ac:dyDescent="0.35">
      <c r="A2045" s="55">
        <v>3763164</v>
      </c>
      <c r="B2045" s="56" t="s">
        <v>5413</v>
      </c>
      <c r="C2045" s="57" t="s">
        <v>8035</v>
      </c>
      <c r="D2045" s="57" t="s">
        <v>96</v>
      </c>
      <c r="E2045" s="60" t="s">
        <v>7179</v>
      </c>
      <c r="F2045" s="58">
        <v>60.5</v>
      </c>
      <c r="G2045" s="58">
        <v>55.5</v>
      </c>
      <c r="H2045" s="58">
        <v>33</v>
      </c>
      <c r="I2045" s="59">
        <v>32</v>
      </c>
      <c r="J2045" s="60" t="s">
        <v>4317</v>
      </c>
      <c r="K2045" s="61">
        <v>2.11</v>
      </c>
      <c r="L2045" s="62" t="s">
        <v>7171</v>
      </c>
      <c r="M2045" s="2" t="s">
        <v>7246</v>
      </c>
    </row>
    <row r="2046" spans="1:13" x14ac:dyDescent="0.3">
      <c r="A2046" s="31">
        <v>3763165</v>
      </c>
      <c r="B2046" s="32" t="s">
        <v>5413</v>
      </c>
      <c r="C2046" s="33" t="s">
        <v>8036</v>
      </c>
      <c r="D2046" s="33" t="s">
        <v>90</v>
      </c>
      <c r="E2046" s="31" t="s">
        <v>7179</v>
      </c>
      <c r="F2046" s="41">
        <v>60</v>
      </c>
      <c r="G2046" s="41">
        <v>55</v>
      </c>
      <c r="H2046" s="41">
        <v>32</v>
      </c>
      <c r="I2046" s="42">
        <v>32</v>
      </c>
      <c r="J2046" s="31" t="s">
        <v>4317</v>
      </c>
      <c r="K2046" s="43">
        <f>0.19+0.18</f>
        <v>0.37</v>
      </c>
      <c r="L2046" s="44" t="s">
        <v>7172</v>
      </c>
      <c r="M2046" s="1" t="s">
        <v>7241</v>
      </c>
    </row>
    <row r="2047" spans="1:13" x14ac:dyDescent="0.3">
      <c r="A2047" s="3">
        <v>3763166</v>
      </c>
      <c r="B2047" s="4" t="s">
        <v>5413</v>
      </c>
      <c r="C2047" s="5" t="s">
        <v>7335</v>
      </c>
      <c r="D2047" s="5" t="s">
        <v>96</v>
      </c>
      <c r="E2047" s="3" t="s">
        <v>7180</v>
      </c>
      <c r="F2047" s="6">
        <v>122</v>
      </c>
      <c r="G2047" s="6">
        <v>114</v>
      </c>
      <c r="H2047" s="6">
        <v>63</v>
      </c>
      <c r="I2047" s="7">
        <v>32</v>
      </c>
      <c r="J2047" s="3" t="s">
        <v>4317</v>
      </c>
      <c r="K2047" s="8">
        <f>8.47/2</f>
        <v>4.2350000000000003</v>
      </c>
      <c r="L2047" s="9" t="s">
        <v>7173</v>
      </c>
      <c r="M2047" s="1" t="s">
        <v>7244</v>
      </c>
    </row>
    <row r="2048" spans="1:13" x14ac:dyDescent="0.3">
      <c r="A2048" s="3">
        <v>3763167</v>
      </c>
      <c r="B2048" s="4" t="s">
        <v>5413</v>
      </c>
      <c r="C2048" s="5" t="s">
        <v>7336</v>
      </c>
      <c r="D2048" s="5" t="s">
        <v>90</v>
      </c>
      <c r="E2048" s="3" t="s">
        <v>7180</v>
      </c>
      <c r="F2048" s="6">
        <v>121</v>
      </c>
      <c r="G2048" s="6">
        <v>112.7</v>
      </c>
      <c r="H2048" s="6">
        <v>63</v>
      </c>
      <c r="I2048" s="7">
        <v>32</v>
      </c>
      <c r="J2048" s="3" t="s">
        <v>4317</v>
      </c>
      <c r="K2048" s="8">
        <f>0.76+0.71</f>
        <v>1.47</v>
      </c>
      <c r="L2048" s="9" t="s">
        <v>7174</v>
      </c>
      <c r="M2048" s="1" t="s">
        <v>7237</v>
      </c>
    </row>
    <row r="2049" spans="1:13" x14ac:dyDescent="0.3">
      <c r="A2049" s="3">
        <v>3763168</v>
      </c>
      <c r="B2049" s="4" t="s">
        <v>5413</v>
      </c>
      <c r="C2049" s="5">
        <v>1500722</v>
      </c>
      <c r="D2049" s="5" t="s">
        <v>23</v>
      </c>
      <c r="E2049" s="3" t="s">
        <v>14</v>
      </c>
      <c r="F2049" s="6">
        <v>61</v>
      </c>
      <c r="G2049" s="6">
        <v>38</v>
      </c>
      <c r="H2049" s="6">
        <v>13.5</v>
      </c>
      <c r="I2049" s="7">
        <v>32</v>
      </c>
      <c r="J2049" s="3" t="s">
        <v>4317</v>
      </c>
      <c r="K2049" s="8">
        <v>0.66</v>
      </c>
      <c r="L2049" s="9" t="s">
        <v>7209</v>
      </c>
      <c r="M2049" s="1"/>
    </row>
    <row r="2050" spans="1:13" x14ac:dyDescent="0.3">
      <c r="A2050" s="3">
        <v>3763169</v>
      </c>
      <c r="B2050" s="4" t="s">
        <v>5413</v>
      </c>
      <c r="C2050" s="5">
        <v>1500723</v>
      </c>
      <c r="D2050" s="5" t="s">
        <v>90</v>
      </c>
      <c r="E2050" s="3" t="s">
        <v>14</v>
      </c>
      <c r="F2050" s="6">
        <v>60</v>
      </c>
      <c r="G2050" s="6">
        <v>37</v>
      </c>
      <c r="H2050" s="6">
        <v>12.7</v>
      </c>
      <c r="I2050" s="7">
        <v>32</v>
      </c>
      <c r="J2050" s="3" t="s">
        <v>4317</v>
      </c>
      <c r="K2050" s="8">
        <f>0.08+0.05</f>
        <v>0.13</v>
      </c>
      <c r="L2050" s="9" t="s">
        <v>7210</v>
      </c>
      <c r="M2050" s="1"/>
    </row>
    <row r="2051" spans="1:13" x14ac:dyDescent="0.3">
      <c r="A2051" s="3">
        <v>3763170</v>
      </c>
      <c r="B2051" s="4" t="s">
        <v>5413</v>
      </c>
      <c r="C2051" s="5" t="s">
        <v>7225</v>
      </c>
      <c r="D2051" s="5" t="s">
        <v>5462</v>
      </c>
      <c r="E2051" s="3" t="s">
        <v>14</v>
      </c>
      <c r="F2051" s="6">
        <v>60</v>
      </c>
      <c r="G2051" s="6">
        <v>37</v>
      </c>
      <c r="H2051" s="6" t="s">
        <v>14</v>
      </c>
      <c r="I2051" s="7" t="s">
        <v>5312</v>
      </c>
      <c r="J2051" s="3" t="s">
        <v>4731</v>
      </c>
      <c r="K2051" s="8">
        <v>0.22</v>
      </c>
      <c r="L2051" s="9" t="s">
        <v>7211</v>
      </c>
      <c r="M2051" s="1"/>
    </row>
    <row r="2052" spans="1:13" x14ac:dyDescent="0.3">
      <c r="A2052" s="3">
        <v>3763171</v>
      </c>
      <c r="B2052" s="4" t="s">
        <v>5413</v>
      </c>
      <c r="C2052" s="5">
        <v>1500712</v>
      </c>
      <c r="D2052" s="5" t="s">
        <v>23</v>
      </c>
      <c r="E2052" s="3" t="s">
        <v>14</v>
      </c>
      <c r="F2052" s="6">
        <v>71</v>
      </c>
      <c r="G2052" s="6">
        <v>35.5</v>
      </c>
      <c r="H2052" s="6">
        <v>35.299999999999997</v>
      </c>
      <c r="I2052" s="7">
        <v>32</v>
      </c>
      <c r="J2052" s="3" t="s">
        <v>4317</v>
      </c>
      <c r="K2052" s="8">
        <v>1.1599999999999999</v>
      </c>
      <c r="L2052" s="9" t="s">
        <v>7212</v>
      </c>
      <c r="M2052" s="1"/>
    </row>
    <row r="2053" spans="1:13" x14ac:dyDescent="0.3">
      <c r="A2053" s="3">
        <v>3763172</v>
      </c>
      <c r="B2053" s="4" t="s">
        <v>5413</v>
      </c>
      <c r="C2053" s="5">
        <v>1500713</v>
      </c>
      <c r="D2053" s="5" t="s">
        <v>90</v>
      </c>
      <c r="E2053" s="3" t="s">
        <v>14</v>
      </c>
      <c r="F2053" s="6">
        <v>70</v>
      </c>
      <c r="G2053" s="6">
        <v>70</v>
      </c>
      <c r="H2053" s="6">
        <v>34.5</v>
      </c>
      <c r="I2053" s="7">
        <v>26</v>
      </c>
      <c r="J2053" s="3" t="s">
        <v>4317</v>
      </c>
      <c r="K2053" s="8">
        <v>0.24</v>
      </c>
      <c r="L2053" s="9" t="s">
        <v>7213</v>
      </c>
      <c r="M2053" s="1"/>
    </row>
    <row r="2054" spans="1:13" x14ac:dyDescent="0.3">
      <c r="A2054" s="3">
        <v>3763173</v>
      </c>
      <c r="B2054" s="4" t="s">
        <v>5413</v>
      </c>
      <c r="C2054" s="5" t="s">
        <v>7226</v>
      </c>
      <c r="D2054" s="5" t="s">
        <v>5462</v>
      </c>
      <c r="E2054" s="3" t="s">
        <v>14</v>
      </c>
      <c r="F2054" s="6">
        <v>70</v>
      </c>
      <c r="G2054" s="6">
        <v>34.5</v>
      </c>
      <c r="H2054" s="6" t="s">
        <v>14</v>
      </c>
      <c r="I2054" s="7" t="s">
        <v>5312</v>
      </c>
      <c r="J2054" s="3" t="s">
        <v>4731</v>
      </c>
      <c r="K2054" s="8">
        <v>0.24</v>
      </c>
      <c r="L2054" s="9" t="s">
        <v>7214</v>
      </c>
      <c r="M2054" s="1"/>
    </row>
    <row r="2055" spans="1:13" x14ac:dyDescent="0.3">
      <c r="A2055" s="3">
        <v>3763174</v>
      </c>
      <c r="B2055" s="4" t="s">
        <v>5413</v>
      </c>
      <c r="C2055" s="5">
        <v>1500715</v>
      </c>
      <c r="D2055" s="5" t="s">
        <v>23</v>
      </c>
      <c r="E2055" s="3" t="s">
        <v>14</v>
      </c>
      <c r="F2055" s="6">
        <v>61</v>
      </c>
      <c r="G2055" s="6">
        <v>38</v>
      </c>
      <c r="H2055" s="6">
        <v>64.3</v>
      </c>
      <c r="I2055" s="7">
        <v>32</v>
      </c>
      <c r="J2055" s="3" t="s">
        <v>4317</v>
      </c>
      <c r="K2055" s="8">
        <v>1.7</v>
      </c>
      <c r="L2055" s="9" t="s">
        <v>7215</v>
      </c>
      <c r="M2055" s="1"/>
    </row>
    <row r="2056" spans="1:13" x14ac:dyDescent="0.3">
      <c r="A2056" s="3">
        <v>3763175</v>
      </c>
      <c r="B2056" s="4" t="s">
        <v>5413</v>
      </c>
      <c r="C2056" s="5">
        <v>1500716</v>
      </c>
      <c r="D2056" s="5" t="s">
        <v>90</v>
      </c>
      <c r="E2056" s="3" t="s">
        <v>14</v>
      </c>
      <c r="F2056" s="6">
        <v>60</v>
      </c>
      <c r="G2056" s="6">
        <v>37</v>
      </c>
      <c r="H2056" s="6">
        <v>63.5</v>
      </c>
      <c r="I2056" s="7">
        <v>32</v>
      </c>
      <c r="J2056" s="3" t="s">
        <v>4317</v>
      </c>
      <c r="K2056" s="8">
        <v>0.38</v>
      </c>
      <c r="L2056" s="9" t="s">
        <v>7216</v>
      </c>
      <c r="M2056" s="1"/>
    </row>
    <row r="2057" spans="1:13" x14ac:dyDescent="0.3">
      <c r="A2057" s="3">
        <v>3763176</v>
      </c>
      <c r="B2057" s="4" t="s">
        <v>5413</v>
      </c>
      <c r="C2057" s="5" t="s">
        <v>7225</v>
      </c>
      <c r="D2057" s="5" t="s">
        <v>5462</v>
      </c>
      <c r="E2057" s="3" t="s">
        <v>14</v>
      </c>
      <c r="F2057" s="6">
        <v>60</v>
      </c>
      <c r="G2057" s="6">
        <v>37</v>
      </c>
      <c r="H2057" s="6" t="s">
        <v>14</v>
      </c>
      <c r="I2057" s="7" t="s">
        <v>5780</v>
      </c>
      <c r="J2057" s="3" t="s">
        <v>4731</v>
      </c>
      <c r="K2057" s="8">
        <v>0.22</v>
      </c>
      <c r="L2057" s="9" t="s">
        <v>7217</v>
      </c>
      <c r="M2057" s="1"/>
    </row>
    <row r="2058" spans="1:13" x14ac:dyDescent="0.3">
      <c r="A2058" s="3">
        <v>3763177</v>
      </c>
      <c r="B2058" s="4" t="s">
        <v>5413</v>
      </c>
      <c r="C2058" s="5">
        <v>1500500</v>
      </c>
      <c r="D2058" s="5" t="s">
        <v>23</v>
      </c>
      <c r="E2058" s="3" t="s">
        <v>14</v>
      </c>
      <c r="F2058" s="6">
        <v>61</v>
      </c>
      <c r="G2058" s="6">
        <v>38</v>
      </c>
      <c r="H2058" s="6">
        <v>43.8</v>
      </c>
      <c r="I2058" s="7">
        <v>32</v>
      </c>
      <c r="J2058" s="3" t="s">
        <v>4317</v>
      </c>
      <c r="K2058" s="8">
        <v>1.28</v>
      </c>
      <c r="L2058" s="9" t="s">
        <v>7218</v>
      </c>
      <c r="M2058" s="1"/>
    </row>
    <row r="2059" spans="1:13" x14ac:dyDescent="0.3">
      <c r="A2059" s="3">
        <v>3763178</v>
      </c>
      <c r="B2059" s="4" t="s">
        <v>5413</v>
      </c>
      <c r="C2059" s="5">
        <v>1500501</v>
      </c>
      <c r="D2059" s="5" t="s">
        <v>90</v>
      </c>
      <c r="E2059" s="3" t="s">
        <v>14</v>
      </c>
      <c r="F2059" s="6">
        <v>60</v>
      </c>
      <c r="G2059" s="6">
        <v>37</v>
      </c>
      <c r="H2059" s="6">
        <v>43</v>
      </c>
      <c r="I2059" s="7">
        <v>32</v>
      </c>
      <c r="J2059" s="3" t="s">
        <v>4317</v>
      </c>
      <c r="K2059" s="8">
        <f>0.26+0.16</f>
        <v>0.42000000000000004</v>
      </c>
      <c r="L2059" s="9" t="s">
        <v>7219</v>
      </c>
      <c r="M2059" s="1"/>
    </row>
    <row r="2060" spans="1:13" x14ac:dyDescent="0.3">
      <c r="A2060" s="3">
        <v>3763179</v>
      </c>
      <c r="B2060" s="4" t="s">
        <v>5413</v>
      </c>
      <c r="C2060" s="5" t="s">
        <v>7225</v>
      </c>
      <c r="D2060" s="5" t="s">
        <v>5462</v>
      </c>
      <c r="E2060" s="3" t="s">
        <v>14</v>
      </c>
      <c r="F2060" s="6">
        <v>60</v>
      </c>
      <c r="G2060" s="6">
        <v>37</v>
      </c>
      <c r="H2060" s="6" t="s">
        <v>14</v>
      </c>
      <c r="I2060" s="7" t="s">
        <v>5780</v>
      </c>
      <c r="J2060" s="3" t="s">
        <v>4731</v>
      </c>
      <c r="K2060" s="8">
        <v>0.22</v>
      </c>
      <c r="L2060" s="9" t="s">
        <v>7220</v>
      </c>
      <c r="M2060" s="1"/>
    </row>
    <row r="2061" spans="1:13" x14ac:dyDescent="0.3">
      <c r="A2061" s="3">
        <v>3763180</v>
      </c>
      <c r="B2061" s="4" t="s">
        <v>5413</v>
      </c>
      <c r="C2061" s="5">
        <v>1500502</v>
      </c>
      <c r="D2061" s="5" t="s">
        <v>13</v>
      </c>
      <c r="E2061" s="3" t="s">
        <v>14</v>
      </c>
      <c r="F2061" s="6">
        <v>63</v>
      </c>
      <c r="G2061" s="6">
        <v>40</v>
      </c>
      <c r="H2061" s="6">
        <v>8</v>
      </c>
      <c r="I2061" s="7">
        <v>32</v>
      </c>
      <c r="J2061" s="3" t="s">
        <v>4317</v>
      </c>
      <c r="K2061" s="8">
        <v>0.44</v>
      </c>
      <c r="L2061" s="9" t="s">
        <v>7221</v>
      </c>
      <c r="M2061" s="1"/>
    </row>
    <row r="2062" spans="1:13" x14ac:dyDescent="0.3">
      <c r="A2062" s="3">
        <v>3763181</v>
      </c>
      <c r="B2062" s="4" t="s">
        <v>5413</v>
      </c>
      <c r="C2062" s="5">
        <v>1500720</v>
      </c>
      <c r="D2062" s="5" t="s">
        <v>23</v>
      </c>
      <c r="E2062" s="3" t="s">
        <v>14</v>
      </c>
      <c r="F2062" s="6">
        <v>60</v>
      </c>
      <c r="G2062" s="6">
        <v>55.5</v>
      </c>
      <c r="H2062" s="6">
        <v>38.799999999999997</v>
      </c>
      <c r="I2062" s="7">
        <v>32</v>
      </c>
      <c r="J2062" s="3" t="s">
        <v>4317</v>
      </c>
      <c r="K2062" s="8">
        <v>1.53</v>
      </c>
      <c r="L2062" s="9" t="s">
        <v>7222</v>
      </c>
      <c r="M2062" s="1"/>
    </row>
    <row r="2063" spans="1:13" x14ac:dyDescent="0.3">
      <c r="A2063" s="3">
        <v>3763182</v>
      </c>
      <c r="B2063" s="4" t="s">
        <v>5413</v>
      </c>
      <c r="C2063" s="5">
        <v>1500721</v>
      </c>
      <c r="D2063" s="5" t="s">
        <v>4792</v>
      </c>
      <c r="E2063" s="3" t="s">
        <v>14</v>
      </c>
      <c r="F2063" s="6">
        <v>59</v>
      </c>
      <c r="G2063" s="6">
        <v>54.5</v>
      </c>
      <c r="H2063" s="6">
        <v>36</v>
      </c>
      <c r="I2063" s="7">
        <v>32</v>
      </c>
      <c r="J2063" s="3" t="s">
        <v>4317</v>
      </c>
      <c r="K2063" s="8">
        <f>0.21+0.2</f>
        <v>0.41000000000000003</v>
      </c>
      <c r="L2063" s="9" t="s">
        <v>7223</v>
      </c>
      <c r="M2063" s="1"/>
    </row>
    <row r="2064" spans="1:13" x14ac:dyDescent="0.3">
      <c r="A2064" s="3">
        <v>3763183</v>
      </c>
      <c r="B2064" s="4" t="s">
        <v>5413</v>
      </c>
      <c r="C2064" s="5" t="s">
        <v>7227</v>
      </c>
      <c r="D2064" s="5" t="s">
        <v>5462</v>
      </c>
      <c r="E2064" s="3" t="s">
        <v>14</v>
      </c>
      <c r="F2064" s="6">
        <v>59</v>
      </c>
      <c r="G2064" s="6">
        <v>54.5</v>
      </c>
      <c r="H2064" s="6" t="s">
        <v>14</v>
      </c>
      <c r="I2064" s="7" t="s">
        <v>5780</v>
      </c>
      <c r="J2064" s="3" t="s">
        <v>4731</v>
      </c>
      <c r="K2064" s="8">
        <v>0.32</v>
      </c>
      <c r="L2064" s="9" t="s">
        <v>7224</v>
      </c>
      <c r="M2064" s="1"/>
    </row>
    <row r="2065" spans="1:13" x14ac:dyDescent="0.3">
      <c r="A2065" s="3">
        <v>3763184</v>
      </c>
      <c r="B2065" s="4" t="s">
        <v>5413</v>
      </c>
      <c r="C2065" s="5" t="s">
        <v>8037</v>
      </c>
      <c r="D2065" s="5" t="s">
        <v>96</v>
      </c>
      <c r="E2065" s="3" t="s">
        <v>7230</v>
      </c>
      <c r="F2065" s="6">
        <v>60.5</v>
      </c>
      <c r="G2065" s="6">
        <v>55.5</v>
      </c>
      <c r="H2065" s="6">
        <v>28</v>
      </c>
      <c r="I2065" s="7">
        <v>32</v>
      </c>
      <c r="J2065" s="3" t="s">
        <v>4317</v>
      </c>
      <c r="K2065" s="8">
        <v>1.99</v>
      </c>
      <c r="L2065" s="9" t="s">
        <v>7231</v>
      </c>
      <c r="M2065" s="1" t="s">
        <v>7243</v>
      </c>
    </row>
    <row r="2066" spans="1:13" x14ac:dyDescent="0.3">
      <c r="A2066" s="3">
        <v>3763185</v>
      </c>
      <c r="B2066" s="4" t="s">
        <v>5413</v>
      </c>
      <c r="C2066" s="5" t="s">
        <v>8038</v>
      </c>
      <c r="D2066" s="5" t="s">
        <v>4792</v>
      </c>
      <c r="E2066" s="3" t="s">
        <v>7230</v>
      </c>
      <c r="F2066" s="6">
        <v>60</v>
      </c>
      <c r="G2066" s="6">
        <v>55</v>
      </c>
      <c r="H2066" s="6">
        <v>27</v>
      </c>
      <c r="I2066" s="7">
        <v>32</v>
      </c>
      <c r="J2066" s="3" t="s">
        <v>4317</v>
      </c>
      <c r="K2066" s="8">
        <f>0.16+0.15</f>
        <v>0.31</v>
      </c>
      <c r="L2066" s="9" t="s">
        <v>7232</v>
      </c>
      <c r="M2066" s="1" t="s">
        <v>7242</v>
      </c>
    </row>
    <row r="2067" spans="1:13" x14ac:dyDescent="0.3">
      <c r="A2067" s="3">
        <v>3763186</v>
      </c>
      <c r="B2067" s="4" t="s">
        <v>5413</v>
      </c>
      <c r="C2067" s="5" t="s">
        <v>7250</v>
      </c>
      <c r="D2067" s="5" t="s">
        <v>23</v>
      </c>
      <c r="E2067" s="3" t="s">
        <v>14</v>
      </c>
      <c r="F2067" s="6">
        <v>61</v>
      </c>
      <c r="G2067" s="6">
        <v>57.1</v>
      </c>
      <c r="H2067" s="6">
        <v>53.3</v>
      </c>
      <c r="I2067" s="7">
        <v>32</v>
      </c>
      <c r="J2067" s="3" t="s">
        <v>4317</v>
      </c>
      <c r="K2067" s="8">
        <v>1.98</v>
      </c>
      <c r="L2067" s="9" t="s">
        <v>7231</v>
      </c>
      <c r="M2067" s="70"/>
    </row>
    <row r="2068" spans="1:13" x14ac:dyDescent="0.3">
      <c r="A2068" s="3">
        <v>3763187</v>
      </c>
      <c r="B2068" s="4" t="s">
        <v>5413</v>
      </c>
      <c r="C2068" s="5" t="s">
        <v>7251</v>
      </c>
      <c r="D2068" s="5" t="s">
        <v>4792</v>
      </c>
      <c r="E2068" s="3" t="s">
        <v>14</v>
      </c>
      <c r="F2068" s="6">
        <v>60</v>
      </c>
      <c r="G2068" s="6">
        <v>56.1</v>
      </c>
      <c r="H2068" s="6">
        <v>53</v>
      </c>
      <c r="I2068" s="7">
        <v>32</v>
      </c>
      <c r="J2068" s="3" t="s">
        <v>4317</v>
      </c>
      <c r="K2068" s="8">
        <f>0.32+0.3</f>
        <v>0.62</v>
      </c>
      <c r="L2068" s="9" t="s">
        <v>7232</v>
      </c>
      <c r="M2068" s="1"/>
    </row>
    <row r="2069" spans="1:13" x14ac:dyDescent="0.3">
      <c r="A2069" s="3">
        <v>3763188</v>
      </c>
      <c r="B2069" s="4" t="s">
        <v>5413</v>
      </c>
      <c r="C2069" s="5" t="s">
        <v>7254</v>
      </c>
      <c r="D2069" s="5" t="s">
        <v>23</v>
      </c>
      <c r="E2069" s="3" t="s">
        <v>14</v>
      </c>
      <c r="F2069" s="6">
        <v>61</v>
      </c>
      <c r="G2069" s="6">
        <v>37.5</v>
      </c>
      <c r="H2069" s="6">
        <v>60.3</v>
      </c>
      <c r="I2069" s="7">
        <v>32</v>
      </c>
      <c r="J2069" s="3" t="s">
        <v>4317</v>
      </c>
      <c r="K2069" s="8">
        <v>1.6</v>
      </c>
      <c r="L2069" s="9" t="s">
        <v>7252</v>
      </c>
      <c r="M2069" s="1"/>
    </row>
    <row r="2070" spans="1:13" x14ac:dyDescent="0.3">
      <c r="A2070" s="3">
        <v>3763189</v>
      </c>
      <c r="B2070" s="4" t="s">
        <v>5413</v>
      </c>
      <c r="C2070" s="5" t="s">
        <v>7255</v>
      </c>
      <c r="D2070" s="5" t="s">
        <v>4792</v>
      </c>
      <c r="E2070" s="3" t="s">
        <v>14</v>
      </c>
      <c r="F2070" s="6">
        <v>60</v>
      </c>
      <c r="G2070" s="6">
        <v>36.5</v>
      </c>
      <c r="H2070" s="6">
        <v>60</v>
      </c>
      <c r="I2070" s="7">
        <v>32</v>
      </c>
      <c r="J2070" s="3" t="s">
        <v>4317</v>
      </c>
      <c r="K2070" s="8">
        <v>0.36</v>
      </c>
      <c r="L2070" s="9" t="s">
        <v>7253</v>
      </c>
      <c r="M2070" s="1"/>
    </row>
    <row r="2071" spans="1:13" x14ac:dyDescent="0.3">
      <c r="A2071" s="3">
        <v>3763190</v>
      </c>
      <c r="B2071" s="4" t="s">
        <v>5413</v>
      </c>
      <c r="C2071" s="5" t="s">
        <v>7301</v>
      </c>
      <c r="D2071" s="5" t="s">
        <v>23</v>
      </c>
      <c r="E2071" s="3" t="s">
        <v>14</v>
      </c>
      <c r="F2071" s="6">
        <v>61</v>
      </c>
      <c r="G2071" s="6">
        <v>57.5</v>
      </c>
      <c r="H2071" s="6">
        <v>43.3</v>
      </c>
      <c r="I2071" s="7">
        <v>32</v>
      </c>
      <c r="J2071" s="3" t="s">
        <v>4317</v>
      </c>
      <c r="K2071" s="8">
        <v>1.75</v>
      </c>
      <c r="L2071" s="9" t="s">
        <v>7303</v>
      </c>
      <c r="M2071" s="1"/>
    </row>
    <row r="2072" spans="1:13" x14ac:dyDescent="0.3">
      <c r="A2072" s="3">
        <v>3763191</v>
      </c>
      <c r="B2072" s="4" t="s">
        <v>5413</v>
      </c>
      <c r="C2072" s="5" t="s">
        <v>7302</v>
      </c>
      <c r="D2072" s="5" t="s">
        <v>4792</v>
      </c>
      <c r="E2072" s="3" t="s">
        <v>14</v>
      </c>
      <c r="F2072" s="6">
        <v>60</v>
      </c>
      <c r="G2072" s="6">
        <v>56.5</v>
      </c>
      <c r="H2072" s="6">
        <v>43</v>
      </c>
      <c r="I2072" s="7">
        <v>32</v>
      </c>
      <c r="J2072" s="3" t="s">
        <v>4317</v>
      </c>
      <c r="K2072" s="8">
        <f>0.26+0.24</f>
        <v>0.5</v>
      </c>
      <c r="L2072" s="9" t="s">
        <v>7304</v>
      </c>
      <c r="M2072" s="1"/>
    </row>
    <row r="2073" spans="1:13" x14ac:dyDescent="0.3">
      <c r="A2073" s="3">
        <v>3763192</v>
      </c>
      <c r="B2073" s="4" t="s">
        <v>5413</v>
      </c>
      <c r="C2073" s="5" t="s">
        <v>7324</v>
      </c>
      <c r="D2073" s="5" t="s">
        <v>23</v>
      </c>
      <c r="E2073" s="3" t="s">
        <v>7305</v>
      </c>
      <c r="F2073" s="6">
        <v>63.5</v>
      </c>
      <c r="G2073" s="6">
        <v>34.5</v>
      </c>
      <c r="H2073" s="6">
        <v>19</v>
      </c>
      <c r="I2073" s="7">
        <v>32</v>
      </c>
      <c r="J2073" s="3" t="s">
        <v>4317</v>
      </c>
      <c r="K2073" s="8">
        <v>0.73</v>
      </c>
      <c r="L2073" s="9" t="s">
        <v>7306</v>
      </c>
      <c r="M2073" s="1" t="s">
        <v>7329</v>
      </c>
    </row>
    <row r="2074" spans="1:13" x14ac:dyDescent="0.3">
      <c r="A2074" s="3">
        <v>3763193</v>
      </c>
      <c r="B2074" s="4" t="s">
        <v>5413</v>
      </c>
      <c r="C2074" s="5" t="s">
        <v>7325</v>
      </c>
      <c r="D2074" s="5" t="s">
        <v>74</v>
      </c>
      <c r="E2074" s="3" t="s">
        <v>7305</v>
      </c>
      <c r="F2074" s="6">
        <v>63</v>
      </c>
      <c r="G2074" s="6">
        <v>34</v>
      </c>
      <c r="H2074" s="6" t="s">
        <v>14</v>
      </c>
      <c r="I2074" s="7">
        <v>32</v>
      </c>
      <c r="J2074" s="3" t="s">
        <v>4317</v>
      </c>
      <c r="K2074" s="8">
        <v>0.21</v>
      </c>
      <c r="L2074" s="9" t="s">
        <v>7307</v>
      </c>
      <c r="M2074" s="1" t="s">
        <v>7331</v>
      </c>
    </row>
    <row r="2075" spans="1:13" x14ac:dyDescent="0.3">
      <c r="A2075" s="3">
        <v>3763194</v>
      </c>
      <c r="B2075" s="4" t="s">
        <v>5413</v>
      </c>
      <c r="C2075" s="5" t="s">
        <v>7326</v>
      </c>
      <c r="D2075" s="5" t="s">
        <v>23</v>
      </c>
      <c r="E2075" s="3" t="s">
        <v>7328</v>
      </c>
      <c r="F2075" s="6">
        <v>79.5</v>
      </c>
      <c r="G2075" s="6">
        <v>39.5</v>
      </c>
      <c r="H2075" s="6">
        <v>19.5</v>
      </c>
      <c r="I2075" s="7">
        <v>32</v>
      </c>
      <c r="J2075" s="3" t="s">
        <v>4317</v>
      </c>
      <c r="K2075" s="8">
        <v>0.96</v>
      </c>
      <c r="L2075" s="9" t="s">
        <v>7308</v>
      </c>
      <c r="M2075" s="1" t="s">
        <v>7330</v>
      </c>
    </row>
    <row r="2076" spans="1:13" x14ac:dyDescent="0.3">
      <c r="A2076" s="3">
        <v>3763195</v>
      </c>
      <c r="B2076" s="4" t="s">
        <v>5413</v>
      </c>
      <c r="C2076" s="5" t="s">
        <v>7327</v>
      </c>
      <c r="D2076" s="5" t="s">
        <v>74</v>
      </c>
      <c r="E2076" s="3" t="s">
        <v>7328</v>
      </c>
      <c r="F2076" s="6">
        <v>79</v>
      </c>
      <c r="G2076" s="6">
        <v>39</v>
      </c>
      <c r="H2076" s="6" t="s">
        <v>14</v>
      </c>
      <c r="I2076" s="7">
        <v>32</v>
      </c>
      <c r="J2076" s="3" t="s">
        <v>4317</v>
      </c>
      <c r="K2076" s="8">
        <v>0.31</v>
      </c>
      <c r="L2076" s="9" t="s">
        <v>7309</v>
      </c>
      <c r="M2076" s="1" t="s">
        <v>7332</v>
      </c>
    </row>
    <row r="2077" spans="1:13" x14ac:dyDescent="0.3">
      <c r="A2077" s="3">
        <v>3763196</v>
      </c>
      <c r="B2077" s="4" t="s">
        <v>5413</v>
      </c>
      <c r="C2077" s="5" t="s">
        <v>7448</v>
      </c>
      <c r="D2077" s="5" t="s">
        <v>23</v>
      </c>
      <c r="E2077" s="3" t="s">
        <v>7449</v>
      </c>
      <c r="F2077" s="6">
        <v>61</v>
      </c>
      <c r="G2077" s="6">
        <v>37</v>
      </c>
      <c r="H2077" s="6">
        <v>12.8</v>
      </c>
      <c r="I2077" s="7">
        <v>32</v>
      </c>
      <c r="J2077" s="3" t="s">
        <v>4317</v>
      </c>
      <c r="K2077" s="8">
        <v>0.61</v>
      </c>
      <c r="L2077" s="9" t="s">
        <v>7450</v>
      </c>
      <c r="M2077" s="1"/>
    </row>
    <row r="2078" spans="1:13" x14ac:dyDescent="0.3">
      <c r="A2078" s="3">
        <v>3763197</v>
      </c>
      <c r="B2078" s="4" t="s">
        <v>5413</v>
      </c>
      <c r="C2078" s="5" t="s">
        <v>7457</v>
      </c>
      <c r="D2078" s="5" t="s">
        <v>4792</v>
      </c>
      <c r="E2078" s="3" t="s">
        <v>7449</v>
      </c>
      <c r="F2078" s="6">
        <v>60</v>
      </c>
      <c r="G2078" s="6">
        <v>36</v>
      </c>
      <c r="H2078" s="6">
        <v>11.5</v>
      </c>
      <c r="I2078" s="7">
        <v>32</v>
      </c>
      <c r="J2078" s="3" t="s">
        <v>4317</v>
      </c>
      <c r="K2078" s="8">
        <f>0.07+0.04</f>
        <v>0.11000000000000001</v>
      </c>
      <c r="L2078" s="9" t="s">
        <v>7451</v>
      </c>
      <c r="M2078" s="1"/>
    </row>
    <row r="2079" spans="1:13" x14ac:dyDescent="0.3">
      <c r="A2079" s="3">
        <v>3763198</v>
      </c>
      <c r="B2079" s="4" t="s">
        <v>5413</v>
      </c>
      <c r="C2079" s="5" t="s">
        <v>1138</v>
      </c>
      <c r="D2079" s="5" t="s">
        <v>7458</v>
      </c>
      <c r="E2079" s="3" t="s">
        <v>7449</v>
      </c>
      <c r="F2079" s="6">
        <v>62</v>
      </c>
      <c r="G2079" s="6">
        <v>38</v>
      </c>
      <c r="H2079" s="6">
        <v>6</v>
      </c>
      <c r="I2079" s="7">
        <v>32</v>
      </c>
      <c r="J2079" s="3" t="s">
        <v>4317</v>
      </c>
      <c r="K2079" s="8">
        <v>0.37</v>
      </c>
      <c r="L2079" s="9" t="s">
        <v>7452</v>
      </c>
      <c r="M2079" s="1"/>
    </row>
    <row r="2080" spans="1:13" x14ac:dyDescent="0.3">
      <c r="A2080" s="3">
        <v>3763199</v>
      </c>
      <c r="B2080" s="4" t="s">
        <v>5413</v>
      </c>
      <c r="C2080" s="5" t="s">
        <v>7459</v>
      </c>
      <c r="D2080" s="5" t="s">
        <v>4792</v>
      </c>
      <c r="E2080" s="3" t="s">
        <v>7460</v>
      </c>
      <c r="F2080" s="6">
        <v>58</v>
      </c>
      <c r="G2080" s="6">
        <v>34.200000000000003</v>
      </c>
      <c r="H2080" s="6">
        <v>60</v>
      </c>
      <c r="I2080" s="7">
        <v>32</v>
      </c>
      <c r="J2080" s="3" t="s">
        <v>4317</v>
      </c>
      <c r="K2080" s="8">
        <v>0.55000000000000004</v>
      </c>
      <c r="L2080" s="9" t="s">
        <v>7453</v>
      </c>
      <c r="M2080" s="1" t="s">
        <v>7589</v>
      </c>
    </row>
    <row r="2081" spans="1:13" x14ac:dyDescent="0.3">
      <c r="A2081" s="3">
        <v>3763200</v>
      </c>
      <c r="B2081" s="4" t="s">
        <v>5413</v>
      </c>
      <c r="C2081" s="5" t="s">
        <v>7459</v>
      </c>
      <c r="D2081" s="5" t="s">
        <v>96</v>
      </c>
      <c r="E2081" s="3" t="s">
        <v>7460</v>
      </c>
      <c r="F2081" s="6">
        <v>59</v>
      </c>
      <c r="G2081" s="6">
        <v>35.5</v>
      </c>
      <c r="H2081" s="6">
        <v>61.5</v>
      </c>
      <c r="I2081" s="7">
        <v>32</v>
      </c>
      <c r="J2081" s="3" t="s">
        <v>4317</v>
      </c>
      <c r="K2081" s="8">
        <v>1.89</v>
      </c>
      <c r="L2081" s="9" t="s">
        <v>7454</v>
      </c>
      <c r="M2081" s="83" t="s">
        <v>7588</v>
      </c>
    </row>
    <row r="2082" spans="1:13" x14ac:dyDescent="0.3">
      <c r="A2082" s="3">
        <v>3763201</v>
      </c>
      <c r="B2082" s="4" t="s">
        <v>5413</v>
      </c>
      <c r="C2082" s="5" t="s">
        <v>7461</v>
      </c>
      <c r="D2082" s="5" t="s">
        <v>96</v>
      </c>
      <c r="E2082" s="3" t="s">
        <v>14</v>
      </c>
      <c r="F2082" s="6">
        <v>57</v>
      </c>
      <c r="G2082" s="6">
        <v>40</v>
      </c>
      <c r="H2082" s="6">
        <v>47</v>
      </c>
      <c r="I2082" s="7">
        <v>32</v>
      </c>
      <c r="J2082" s="3" t="s">
        <v>4317</v>
      </c>
      <c r="K2082" s="8">
        <v>1.34</v>
      </c>
      <c r="L2082" s="9" t="s">
        <v>7455</v>
      </c>
      <c r="M2082" s="1"/>
    </row>
    <row r="2083" spans="1:13" x14ac:dyDescent="0.3">
      <c r="A2083" s="3">
        <v>3763202</v>
      </c>
      <c r="B2083" s="4" t="s">
        <v>5413</v>
      </c>
      <c r="C2083" s="5" t="s">
        <v>7461</v>
      </c>
      <c r="D2083" s="5" t="s">
        <v>90</v>
      </c>
      <c r="E2083" s="3" t="s">
        <v>14</v>
      </c>
      <c r="F2083" s="6">
        <v>56.5</v>
      </c>
      <c r="G2083" s="6">
        <v>39.5</v>
      </c>
      <c r="H2083" s="6">
        <v>455</v>
      </c>
      <c r="I2083" s="7">
        <v>32</v>
      </c>
      <c r="J2083" s="3" t="s">
        <v>4317</v>
      </c>
      <c r="K2083" s="8">
        <v>0.44</v>
      </c>
      <c r="L2083" s="9" t="s">
        <v>7456</v>
      </c>
      <c r="M2083" s="1"/>
    </row>
    <row r="2084" spans="1:13" x14ac:dyDescent="0.3">
      <c r="A2084" s="3">
        <v>3763203</v>
      </c>
      <c r="B2084" s="4" t="s">
        <v>5413</v>
      </c>
      <c r="C2084" s="5">
        <v>1500885</v>
      </c>
      <c r="D2084" s="5" t="s">
        <v>96</v>
      </c>
      <c r="E2084" s="3" t="s">
        <v>7822</v>
      </c>
      <c r="F2084" s="6">
        <v>60.5</v>
      </c>
      <c r="G2084" s="6">
        <v>56.3</v>
      </c>
      <c r="H2084" s="6">
        <v>68</v>
      </c>
      <c r="I2084" s="7">
        <v>32</v>
      </c>
      <c r="J2084" s="3" t="s">
        <v>4317</v>
      </c>
      <c r="K2084" s="8">
        <v>2.27</v>
      </c>
      <c r="L2084" s="9" t="s">
        <v>7815</v>
      </c>
      <c r="M2084" s="1" t="s">
        <v>7820</v>
      </c>
    </row>
    <row r="2085" spans="1:13" x14ac:dyDescent="0.3">
      <c r="A2085" s="3">
        <v>3763204</v>
      </c>
      <c r="B2085" s="4" t="s">
        <v>5413</v>
      </c>
      <c r="C2085" s="5">
        <v>1500886</v>
      </c>
      <c r="D2085" s="5" t="s">
        <v>4792</v>
      </c>
      <c r="E2085" s="3" t="s">
        <v>7822</v>
      </c>
      <c r="F2085" s="6">
        <v>60</v>
      </c>
      <c r="G2085" s="6">
        <v>55.8</v>
      </c>
      <c r="H2085" s="6">
        <v>67</v>
      </c>
      <c r="I2085" s="7">
        <v>32</v>
      </c>
      <c r="J2085" s="3" t="s">
        <v>4317</v>
      </c>
      <c r="K2085" s="8">
        <v>0.56999999999999995</v>
      </c>
      <c r="L2085" s="9" t="s">
        <v>7816</v>
      </c>
      <c r="M2085" s="1" t="s">
        <v>7821</v>
      </c>
    </row>
    <row r="2086" spans="1:13" x14ac:dyDescent="0.3">
      <c r="A2086" s="3">
        <v>6217021</v>
      </c>
      <c r="B2086" s="4" t="s">
        <v>4791</v>
      </c>
      <c r="C2086" s="5" t="s">
        <v>3362</v>
      </c>
      <c r="D2086" s="5" t="s">
        <v>86</v>
      </c>
      <c r="E2086" s="3" t="s">
        <v>3363</v>
      </c>
      <c r="F2086" s="6">
        <v>111</v>
      </c>
      <c r="G2086" s="6">
        <v>105</v>
      </c>
      <c r="H2086" s="6">
        <v>68</v>
      </c>
      <c r="I2086" s="7" t="s">
        <v>4343</v>
      </c>
      <c r="J2086" s="3" t="s">
        <v>4346</v>
      </c>
      <c r="K2086" s="8" t="s">
        <v>4515</v>
      </c>
      <c r="L2086" s="9" t="s">
        <v>3364</v>
      </c>
      <c r="M2086" s="1" t="s">
        <v>3365</v>
      </c>
    </row>
    <row r="2087" spans="1:13" x14ac:dyDescent="0.3">
      <c r="A2087" s="3">
        <v>6211022</v>
      </c>
      <c r="B2087" s="4" t="s">
        <v>4791</v>
      </c>
      <c r="C2087" s="5">
        <v>373318</v>
      </c>
      <c r="D2087" s="5" t="s">
        <v>154</v>
      </c>
      <c r="E2087" s="3">
        <v>373318</v>
      </c>
      <c r="F2087" s="6">
        <v>37.5</v>
      </c>
      <c r="G2087" s="6">
        <v>32.5</v>
      </c>
      <c r="H2087" s="6">
        <v>18.5</v>
      </c>
      <c r="I2087" s="7" t="s">
        <v>4315</v>
      </c>
      <c r="J2087" s="3" t="s">
        <v>4317</v>
      </c>
      <c r="K2087" s="8" t="s">
        <v>4391</v>
      </c>
      <c r="L2087" s="9" t="s">
        <v>3366</v>
      </c>
      <c r="M2087" s="1" t="s">
        <v>3367</v>
      </c>
    </row>
    <row r="2088" spans="1:13" x14ac:dyDescent="0.3">
      <c r="A2088" s="3">
        <v>6220023</v>
      </c>
      <c r="B2088" s="4" t="s">
        <v>4791</v>
      </c>
      <c r="C2088" s="5">
        <v>373318</v>
      </c>
      <c r="D2088" s="5" t="s">
        <v>264</v>
      </c>
      <c r="E2088" s="3">
        <v>373318</v>
      </c>
      <c r="F2088" s="6">
        <v>39.6</v>
      </c>
      <c r="G2088" s="6">
        <v>10.6</v>
      </c>
      <c r="H2088" s="6">
        <v>0</v>
      </c>
      <c r="I2088" s="7" t="s">
        <v>4315</v>
      </c>
      <c r="J2088" s="3" t="s">
        <v>4317</v>
      </c>
      <c r="K2088" s="8" t="s">
        <v>4501</v>
      </c>
      <c r="L2088" s="9" t="s">
        <v>3368</v>
      </c>
      <c r="M2088" s="1" t="s">
        <v>3369</v>
      </c>
    </row>
    <row r="2089" spans="1:13" x14ac:dyDescent="0.3">
      <c r="A2089" s="3">
        <v>6221024</v>
      </c>
      <c r="B2089" s="4" t="s">
        <v>4791</v>
      </c>
      <c r="C2089" s="5">
        <v>373319</v>
      </c>
      <c r="D2089" s="5" t="s">
        <v>267</v>
      </c>
      <c r="E2089" s="3">
        <v>373318</v>
      </c>
      <c r="F2089" s="6">
        <v>32</v>
      </c>
      <c r="G2089" s="6">
        <v>100.6</v>
      </c>
      <c r="H2089" s="6">
        <v>0</v>
      </c>
      <c r="I2089" s="7" t="s">
        <v>4315</v>
      </c>
      <c r="J2089" s="3" t="s">
        <v>4317</v>
      </c>
      <c r="K2089" s="8" t="s">
        <v>4595</v>
      </c>
      <c r="L2089" s="9" t="s">
        <v>3370</v>
      </c>
      <c r="M2089" s="1" t="s">
        <v>3371</v>
      </c>
    </row>
    <row r="2090" spans="1:13" x14ac:dyDescent="0.3">
      <c r="A2090" s="3">
        <v>6214025</v>
      </c>
      <c r="B2090" s="4" t="s">
        <v>4791</v>
      </c>
      <c r="C2090" s="5">
        <v>373318</v>
      </c>
      <c r="D2090" s="5" t="s">
        <v>392</v>
      </c>
      <c r="E2090" s="3">
        <v>373318</v>
      </c>
      <c r="F2090" s="6">
        <v>115</v>
      </c>
      <c r="G2090" s="6">
        <v>100</v>
      </c>
      <c r="H2090" s="6">
        <v>10</v>
      </c>
      <c r="I2090" s="7" t="s">
        <v>4315</v>
      </c>
      <c r="J2090" s="3" t="s">
        <v>4317</v>
      </c>
      <c r="K2090" s="8" t="s">
        <v>4592</v>
      </c>
      <c r="L2090" s="9" t="s">
        <v>3372</v>
      </c>
      <c r="M2090" s="1" t="s">
        <v>3373</v>
      </c>
    </row>
    <row r="2091" spans="1:13" x14ac:dyDescent="0.3">
      <c r="A2091" s="3">
        <v>6220026</v>
      </c>
      <c r="B2091" s="4" t="s">
        <v>4791</v>
      </c>
      <c r="C2091" s="5" t="s">
        <v>3374</v>
      </c>
      <c r="D2091" s="5" t="s">
        <v>264</v>
      </c>
      <c r="E2091" s="3" t="s">
        <v>3375</v>
      </c>
      <c r="F2091" s="6">
        <v>24</v>
      </c>
      <c r="G2091" s="6">
        <v>8</v>
      </c>
      <c r="H2091" s="6">
        <v>0</v>
      </c>
      <c r="I2091" s="7" t="s">
        <v>4420</v>
      </c>
      <c r="J2091" s="3" t="s">
        <v>4422</v>
      </c>
      <c r="K2091" s="8" t="s">
        <v>4562</v>
      </c>
      <c r="L2091" s="9" t="s">
        <v>3376</v>
      </c>
      <c r="M2091" s="1" t="s">
        <v>3377</v>
      </c>
    </row>
    <row r="2092" spans="1:13" x14ac:dyDescent="0.3">
      <c r="A2092" s="3">
        <v>6221027</v>
      </c>
      <c r="B2092" s="4" t="s">
        <v>4791</v>
      </c>
      <c r="C2092" s="5" t="s">
        <v>3374</v>
      </c>
      <c r="D2092" s="5" t="s">
        <v>267</v>
      </c>
      <c r="E2092" s="3" t="s">
        <v>3375</v>
      </c>
      <c r="F2092" s="6">
        <v>33</v>
      </c>
      <c r="G2092" s="6">
        <v>8</v>
      </c>
      <c r="H2092" s="6">
        <v>0</v>
      </c>
      <c r="I2092" s="7" t="s">
        <v>4420</v>
      </c>
      <c r="J2092" s="3" t="s">
        <v>4422</v>
      </c>
      <c r="K2092" s="8" t="s">
        <v>4559</v>
      </c>
      <c r="L2092" s="9" t="s">
        <v>3378</v>
      </c>
      <c r="M2092" s="1" t="s">
        <v>3379</v>
      </c>
    </row>
    <row r="2093" spans="1:13" x14ac:dyDescent="0.3">
      <c r="A2093" s="3">
        <v>6220028</v>
      </c>
      <c r="B2093" s="4" t="s">
        <v>4791</v>
      </c>
      <c r="C2093" s="5" t="s">
        <v>3380</v>
      </c>
      <c r="D2093" s="5" t="s">
        <v>264</v>
      </c>
      <c r="E2093" s="3" t="s">
        <v>3381</v>
      </c>
      <c r="F2093" s="6">
        <v>33</v>
      </c>
      <c r="G2093" s="6">
        <v>10.5</v>
      </c>
      <c r="H2093" s="6">
        <v>0</v>
      </c>
      <c r="I2093" s="7" t="s">
        <v>4315</v>
      </c>
      <c r="J2093" s="3" t="s">
        <v>4317</v>
      </c>
      <c r="K2093" s="8" t="s">
        <v>4501</v>
      </c>
      <c r="L2093" s="9" t="s">
        <v>3382</v>
      </c>
      <c r="M2093" s="1" t="s">
        <v>3383</v>
      </c>
    </row>
    <row r="2094" spans="1:13" x14ac:dyDescent="0.3">
      <c r="A2094" s="3">
        <v>6221029</v>
      </c>
      <c r="B2094" s="4" t="s">
        <v>4791</v>
      </c>
      <c r="C2094" s="5" t="s">
        <v>3380</v>
      </c>
      <c r="D2094" s="5" t="s">
        <v>267</v>
      </c>
      <c r="E2094" s="3" t="s">
        <v>3381</v>
      </c>
      <c r="F2094" s="6">
        <v>54.5</v>
      </c>
      <c r="G2094" s="6">
        <v>10.5</v>
      </c>
      <c r="H2094" s="6">
        <v>0</v>
      </c>
      <c r="I2094" s="7" t="s">
        <v>4315</v>
      </c>
      <c r="J2094" s="3" t="s">
        <v>4317</v>
      </c>
      <c r="K2094" s="8" t="s">
        <v>4501</v>
      </c>
      <c r="L2094" s="9" t="s">
        <v>3384</v>
      </c>
      <c r="M2094" s="1" t="s">
        <v>3385</v>
      </c>
    </row>
    <row r="2095" spans="1:13" x14ac:dyDescent="0.3">
      <c r="A2095" s="3">
        <v>6219030</v>
      </c>
      <c r="B2095" s="4" t="s">
        <v>4791</v>
      </c>
      <c r="C2095" s="5" t="s">
        <v>3386</v>
      </c>
      <c r="D2095" s="5" t="s">
        <v>74</v>
      </c>
      <c r="E2095" s="3" t="s">
        <v>14</v>
      </c>
      <c r="F2095" s="6">
        <v>54.5</v>
      </c>
      <c r="G2095" s="6">
        <v>33</v>
      </c>
      <c r="H2095" s="6">
        <v>0</v>
      </c>
      <c r="I2095" s="7" t="s">
        <v>4315</v>
      </c>
      <c r="J2095" s="3" t="s">
        <v>4317</v>
      </c>
      <c r="K2095" s="8" t="s">
        <v>4424</v>
      </c>
      <c r="L2095" s="9" t="s">
        <v>3387</v>
      </c>
      <c r="M2095" s="1" t="s">
        <v>3388</v>
      </c>
    </row>
    <row r="2096" spans="1:13" x14ac:dyDescent="0.3">
      <c r="A2096" s="3">
        <v>6219031</v>
      </c>
      <c r="B2096" s="4" t="s">
        <v>4791</v>
      </c>
      <c r="C2096" s="5" t="s">
        <v>3389</v>
      </c>
      <c r="D2096" s="5" t="s">
        <v>74</v>
      </c>
      <c r="E2096" s="3" t="s">
        <v>14</v>
      </c>
      <c r="F2096" s="6">
        <v>24</v>
      </c>
      <c r="G2096" s="6">
        <v>33</v>
      </c>
      <c r="H2096" s="6">
        <v>0</v>
      </c>
      <c r="I2096" s="7" t="s">
        <v>4420</v>
      </c>
      <c r="J2096" s="3" t="s">
        <v>4422</v>
      </c>
      <c r="K2096" s="8" t="s">
        <v>4453</v>
      </c>
      <c r="L2096" s="9" t="s">
        <v>3390</v>
      </c>
      <c r="M2096" s="1" t="s">
        <v>3391</v>
      </c>
    </row>
    <row r="2097" spans="1:13" x14ac:dyDescent="0.3">
      <c r="A2097" s="3">
        <v>6220032</v>
      </c>
      <c r="B2097" s="4" t="s">
        <v>4791</v>
      </c>
      <c r="C2097" s="5" t="s">
        <v>3392</v>
      </c>
      <c r="D2097" s="5" t="s">
        <v>264</v>
      </c>
      <c r="E2097" s="3" t="s">
        <v>14</v>
      </c>
      <c r="F2097" s="6">
        <v>33.4</v>
      </c>
      <c r="G2097" s="6">
        <v>7</v>
      </c>
      <c r="H2097" s="6">
        <v>0</v>
      </c>
      <c r="I2097" s="7" t="s">
        <v>4315</v>
      </c>
      <c r="J2097" s="3" t="s">
        <v>4317</v>
      </c>
      <c r="K2097" s="8" t="s">
        <v>4433</v>
      </c>
      <c r="L2097" s="9" t="s">
        <v>3393</v>
      </c>
      <c r="M2097" s="1" t="s">
        <v>3394</v>
      </c>
    </row>
    <row r="2098" spans="1:13" x14ac:dyDescent="0.3">
      <c r="A2098" s="3">
        <v>6221033</v>
      </c>
      <c r="B2098" s="4" t="s">
        <v>4791</v>
      </c>
      <c r="C2098" s="5" t="s">
        <v>3392</v>
      </c>
      <c r="D2098" s="5" t="s">
        <v>267</v>
      </c>
      <c r="E2098" s="3" t="s">
        <v>14</v>
      </c>
      <c r="F2098" s="6">
        <v>54.3</v>
      </c>
      <c r="G2098" s="6">
        <v>7</v>
      </c>
      <c r="H2098" s="6">
        <v>0</v>
      </c>
      <c r="I2098" s="7" t="s">
        <v>4315</v>
      </c>
      <c r="J2098" s="3" t="s">
        <v>4317</v>
      </c>
      <c r="K2098" s="8" t="s">
        <v>4405</v>
      </c>
      <c r="L2098" s="9" t="s">
        <v>3395</v>
      </c>
      <c r="M2098" s="1" t="s">
        <v>4745</v>
      </c>
    </row>
    <row r="2099" spans="1:13" x14ac:dyDescent="0.3">
      <c r="A2099" s="3">
        <v>6220034</v>
      </c>
      <c r="B2099" s="4" t="s">
        <v>4791</v>
      </c>
      <c r="C2099" s="5" t="s">
        <v>3396</v>
      </c>
      <c r="D2099" s="5" t="s">
        <v>264</v>
      </c>
      <c r="E2099" s="3" t="s">
        <v>14</v>
      </c>
      <c r="F2099" s="6">
        <v>33</v>
      </c>
      <c r="G2099" s="6">
        <v>8</v>
      </c>
      <c r="H2099" s="6">
        <v>0</v>
      </c>
      <c r="I2099" s="7" t="s">
        <v>4315</v>
      </c>
      <c r="J2099" s="3" t="s">
        <v>4317</v>
      </c>
      <c r="K2099" s="8" t="s">
        <v>4578</v>
      </c>
      <c r="L2099" s="9" t="s">
        <v>3397</v>
      </c>
      <c r="M2099" s="1" t="s">
        <v>3398</v>
      </c>
    </row>
    <row r="2100" spans="1:13" x14ac:dyDescent="0.3">
      <c r="A2100" s="3">
        <v>6221035</v>
      </c>
      <c r="B2100" s="4" t="s">
        <v>4791</v>
      </c>
      <c r="C2100" s="5" t="s">
        <v>3396</v>
      </c>
      <c r="D2100" s="5" t="s">
        <v>267</v>
      </c>
      <c r="E2100" s="3" t="s">
        <v>14</v>
      </c>
      <c r="F2100" s="6">
        <v>61</v>
      </c>
      <c r="G2100" s="6">
        <v>8</v>
      </c>
      <c r="H2100" s="6">
        <v>0</v>
      </c>
      <c r="I2100" s="7" t="s">
        <v>4315</v>
      </c>
      <c r="J2100" s="3" t="s">
        <v>4317</v>
      </c>
      <c r="K2100" s="8" t="s">
        <v>4452</v>
      </c>
      <c r="L2100" s="9" t="s">
        <v>3399</v>
      </c>
      <c r="M2100" s="1" t="s">
        <v>3400</v>
      </c>
    </row>
    <row r="2101" spans="1:13" x14ac:dyDescent="0.3">
      <c r="A2101" s="3">
        <v>6220036</v>
      </c>
      <c r="B2101" s="4" t="s">
        <v>4791</v>
      </c>
      <c r="C2101" s="5" t="s">
        <v>3401</v>
      </c>
      <c r="D2101" s="5" t="s">
        <v>264</v>
      </c>
      <c r="E2101" s="3" t="s">
        <v>3402</v>
      </c>
      <c r="F2101" s="6">
        <v>34</v>
      </c>
      <c r="G2101" s="6">
        <v>4.5</v>
      </c>
      <c r="H2101" s="6">
        <v>0</v>
      </c>
      <c r="I2101" s="7" t="s">
        <v>4420</v>
      </c>
      <c r="J2101" s="3" t="s">
        <v>4422</v>
      </c>
      <c r="K2101" s="8" t="s">
        <v>4425</v>
      </c>
      <c r="L2101" s="9" t="s">
        <v>3403</v>
      </c>
      <c r="M2101" s="1" t="s">
        <v>3404</v>
      </c>
    </row>
    <row r="2102" spans="1:13" x14ac:dyDescent="0.3">
      <c r="A2102" s="3">
        <v>6221037</v>
      </c>
      <c r="B2102" s="4" t="s">
        <v>4791</v>
      </c>
      <c r="C2102" s="5" t="s">
        <v>3401</v>
      </c>
      <c r="D2102" s="5" t="s">
        <v>267</v>
      </c>
      <c r="E2102" s="3" t="s">
        <v>3402</v>
      </c>
      <c r="F2102" s="6">
        <v>51.8</v>
      </c>
      <c r="G2102" s="6">
        <v>4.5</v>
      </c>
      <c r="H2102" s="6">
        <v>0</v>
      </c>
      <c r="I2102" s="7" t="s">
        <v>4420</v>
      </c>
      <c r="J2102" s="3" t="s">
        <v>4422</v>
      </c>
      <c r="K2102" s="8" t="s">
        <v>4426</v>
      </c>
      <c r="L2102" s="9" t="s">
        <v>3405</v>
      </c>
      <c r="M2102" s="1" t="s">
        <v>3406</v>
      </c>
    </row>
    <row r="2103" spans="1:13" x14ac:dyDescent="0.3">
      <c r="A2103" s="3">
        <v>9313001</v>
      </c>
      <c r="B2103" s="4" t="s">
        <v>3407</v>
      </c>
      <c r="C2103" s="5" t="s">
        <v>502</v>
      </c>
      <c r="D2103" s="5" t="s">
        <v>491</v>
      </c>
      <c r="E2103" s="3" t="s">
        <v>14</v>
      </c>
      <c r="F2103" s="6">
        <v>8</v>
      </c>
      <c r="G2103" s="6">
        <v>8</v>
      </c>
      <c r="H2103" s="6">
        <v>8</v>
      </c>
      <c r="I2103" s="7" t="s">
        <v>4420</v>
      </c>
      <c r="J2103" s="3" t="s">
        <v>4422</v>
      </c>
      <c r="K2103" s="8" t="s">
        <v>4452</v>
      </c>
      <c r="L2103" s="9" t="s">
        <v>3408</v>
      </c>
      <c r="M2103" s="1" t="s">
        <v>3409</v>
      </c>
    </row>
    <row r="2104" spans="1:13" x14ac:dyDescent="0.3">
      <c r="A2104" s="3">
        <v>9310002</v>
      </c>
      <c r="B2104" s="4" t="s">
        <v>3407</v>
      </c>
      <c r="C2104" s="5" t="s">
        <v>502</v>
      </c>
      <c r="D2104" s="5" t="s">
        <v>96</v>
      </c>
      <c r="E2104" s="3" t="s">
        <v>14</v>
      </c>
      <c r="F2104" s="6">
        <v>81.2</v>
      </c>
      <c r="G2104" s="6">
        <v>81.2</v>
      </c>
      <c r="H2104" s="6">
        <v>43.7</v>
      </c>
      <c r="I2104" s="7" t="s">
        <v>4316</v>
      </c>
      <c r="J2104" s="3" t="s">
        <v>4318</v>
      </c>
      <c r="K2104" s="8" t="s">
        <v>4746</v>
      </c>
      <c r="L2104" s="9" t="s">
        <v>3410</v>
      </c>
      <c r="M2104" s="1" t="s">
        <v>3411</v>
      </c>
    </row>
    <row r="2105" spans="1:13" x14ac:dyDescent="0.3">
      <c r="A2105" s="3">
        <v>11510001</v>
      </c>
      <c r="B2105" s="4" t="s">
        <v>8023</v>
      </c>
      <c r="C2105" s="5" t="s">
        <v>3412</v>
      </c>
      <c r="D2105" s="5" t="s">
        <v>96</v>
      </c>
      <c r="E2105" s="3" t="s">
        <v>6618</v>
      </c>
      <c r="F2105" s="6">
        <v>46.5</v>
      </c>
      <c r="G2105" s="6">
        <v>36.5</v>
      </c>
      <c r="H2105" s="6">
        <v>24</v>
      </c>
      <c r="I2105" s="7">
        <v>48</v>
      </c>
      <c r="J2105" s="3" t="s">
        <v>4318</v>
      </c>
      <c r="K2105" s="8">
        <v>1.04</v>
      </c>
      <c r="L2105" s="9" t="s">
        <v>5112</v>
      </c>
      <c r="M2105" s="1" t="s">
        <v>5002</v>
      </c>
    </row>
    <row r="2106" spans="1:13" x14ac:dyDescent="0.3">
      <c r="A2106" s="3">
        <v>11510002</v>
      </c>
      <c r="B2106" s="4" t="s">
        <v>8023</v>
      </c>
      <c r="C2106" s="5" t="s">
        <v>3413</v>
      </c>
      <c r="D2106" s="5" t="s">
        <v>96</v>
      </c>
      <c r="E2106" s="3" t="s">
        <v>5000</v>
      </c>
      <c r="F2106" s="6">
        <v>59</v>
      </c>
      <c r="G2106" s="6">
        <v>59</v>
      </c>
      <c r="H2106" s="6">
        <v>19.3</v>
      </c>
      <c r="I2106" s="7" t="s">
        <v>4510</v>
      </c>
      <c r="J2106" s="3" t="s">
        <v>4318</v>
      </c>
      <c r="K2106" s="8">
        <v>1.89</v>
      </c>
      <c r="L2106" s="9" t="s">
        <v>5113</v>
      </c>
      <c r="M2106" s="1" t="s">
        <v>5001</v>
      </c>
    </row>
    <row r="2107" spans="1:13" x14ac:dyDescent="0.3">
      <c r="A2107" s="3">
        <v>11510003</v>
      </c>
      <c r="B2107" s="4" t="s">
        <v>8023</v>
      </c>
      <c r="C2107" s="5" t="s">
        <v>3414</v>
      </c>
      <c r="D2107" s="5" t="s">
        <v>96</v>
      </c>
      <c r="E2107" s="3" t="s">
        <v>3415</v>
      </c>
      <c r="F2107" s="6">
        <v>23.5</v>
      </c>
      <c r="G2107" s="6">
        <v>23.5</v>
      </c>
      <c r="H2107" s="6">
        <v>18.2</v>
      </c>
      <c r="I2107" s="7" t="s">
        <v>4316</v>
      </c>
      <c r="J2107" s="3" t="s">
        <v>4318</v>
      </c>
      <c r="K2107" s="8" t="s">
        <v>4617</v>
      </c>
      <c r="L2107" s="9" t="s">
        <v>5114</v>
      </c>
      <c r="M2107" s="1" t="s">
        <v>3416</v>
      </c>
    </row>
    <row r="2108" spans="1:13" x14ac:dyDescent="0.3">
      <c r="A2108" s="3">
        <v>11510004</v>
      </c>
      <c r="B2108" s="4" t="s">
        <v>8023</v>
      </c>
      <c r="C2108" s="5" t="s">
        <v>3417</v>
      </c>
      <c r="D2108" s="5" t="s">
        <v>96</v>
      </c>
      <c r="E2108" s="3" t="s">
        <v>3418</v>
      </c>
      <c r="F2108" s="6">
        <v>62</v>
      </c>
      <c r="G2108" s="6">
        <v>31</v>
      </c>
      <c r="H2108" s="6">
        <v>47.3</v>
      </c>
      <c r="I2108" s="7" t="s">
        <v>4510</v>
      </c>
      <c r="J2108" s="3" t="s">
        <v>4318</v>
      </c>
      <c r="K2108" s="8" t="s">
        <v>4348</v>
      </c>
      <c r="L2108" s="9" t="s">
        <v>5115</v>
      </c>
      <c r="M2108" s="1" t="s">
        <v>3419</v>
      </c>
    </row>
    <row r="2109" spans="1:13" x14ac:dyDescent="0.3">
      <c r="A2109" s="3">
        <v>11510005</v>
      </c>
      <c r="B2109" s="4" t="s">
        <v>8023</v>
      </c>
      <c r="C2109" s="5" t="s">
        <v>3420</v>
      </c>
      <c r="D2109" s="5" t="s">
        <v>96</v>
      </c>
      <c r="E2109" s="3" t="s">
        <v>3421</v>
      </c>
      <c r="F2109" s="6">
        <v>41.5</v>
      </c>
      <c r="G2109" s="6">
        <v>31</v>
      </c>
      <c r="H2109" s="6">
        <v>14</v>
      </c>
      <c r="I2109" s="7" t="s">
        <v>4316</v>
      </c>
      <c r="J2109" s="3" t="s">
        <v>4318</v>
      </c>
      <c r="K2109" s="8" t="s">
        <v>4590</v>
      </c>
      <c r="L2109" s="9" t="s">
        <v>5116</v>
      </c>
      <c r="M2109" s="24" t="s">
        <v>3422</v>
      </c>
    </row>
    <row r="2110" spans="1:13" x14ac:dyDescent="0.3">
      <c r="A2110" s="3">
        <v>11516006</v>
      </c>
      <c r="B2110" s="4" t="s">
        <v>8023</v>
      </c>
      <c r="C2110" s="5" t="s">
        <v>3423</v>
      </c>
      <c r="D2110" s="5" t="s">
        <v>86</v>
      </c>
      <c r="E2110" s="3" t="s">
        <v>3424</v>
      </c>
      <c r="F2110" s="6">
        <v>121</v>
      </c>
      <c r="G2110" s="6">
        <v>100.5</v>
      </c>
      <c r="H2110" s="6">
        <v>93</v>
      </c>
      <c r="I2110" s="7" t="s">
        <v>4343</v>
      </c>
      <c r="J2110" s="3" t="s">
        <v>4346</v>
      </c>
      <c r="K2110" s="8" t="s">
        <v>4747</v>
      </c>
      <c r="L2110" s="9" t="s">
        <v>5117</v>
      </c>
      <c r="M2110" s="1" t="s">
        <v>3425</v>
      </c>
    </row>
    <row r="2111" spans="1:13" x14ac:dyDescent="0.3">
      <c r="A2111" s="3">
        <v>11519007</v>
      </c>
      <c r="B2111" s="4" t="s">
        <v>8023</v>
      </c>
      <c r="C2111" s="5" t="s">
        <v>3423</v>
      </c>
      <c r="D2111" s="5" t="s">
        <v>74</v>
      </c>
      <c r="E2111" s="3" t="s">
        <v>3424</v>
      </c>
      <c r="F2111" s="6">
        <v>119</v>
      </c>
      <c r="G2111" s="6">
        <v>98.5</v>
      </c>
      <c r="H2111" s="6">
        <v>0</v>
      </c>
      <c r="I2111" s="7" t="s">
        <v>4316</v>
      </c>
      <c r="J2111" s="3" t="s">
        <v>4318</v>
      </c>
      <c r="K2111" s="8" t="s">
        <v>4593</v>
      </c>
      <c r="L2111" s="9" t="s">
        <v>5118</v>
      </c>
      <c r="M2111" s="1" t="s">
        <v>3426</v>
      </c>
    </row>
    <row r="2112" spans="1:13" x14ac:dyDescent="0.3">
      <c r="A2112" s="3">
        <v>11514008</v>
      </c>
      <c r="B2112" s="4" t="s">
        <v>8023</v>
      </c>
      <c r="C2112" s="5" t="s">
        <v>3423</v>
      </c>
      <c r="D2112" s="5" t="s">
        <v>392</v>
      </c>
      <c r="E2112" s="3" t="s">
        <v>3424</v>
      </c>
      <c r="F2112" s="6">
        <v>123</v>
      </c>
      <c r="G2112" s="6">
        <v>102.5</v>
      </c>
      <c r="H2112" s="6">
        <v>10</v>
      </c>
      <c r="I2112" s="7" t="s">
        <v>4316</v>
      </c>
      <c r="J2112" s="3" t="s">
        <v>4318</v>
      </c>
      <c r="K2112" s="8" t="s">
        <v>4683</v>
      </c>
      <c r="L2112" s="9" t="s">
        <v>5119</v>
      </c>
      <c r="M2112" s="1" t="s">
        <v>3427</v>
      </c>
    </row>
    <row r="2113" spans="1:13" x14ac:dyDescent="0.3">
      <c r="A2113" s="3">
        <v>11511009</v>
      </c>
      <c r="B2113" s="4" t="s">
        <v>8023</v>
      </c>
      <c r="C2113" s="5" t="s">
        <v>3428</v>
      </c>
      <c r="D2113" s="5" t="s">
        <v>3429</v>
      </c>
      <c r="E2113" s="3" t="s">
        <v>3430</v>
      </c>
      <c r="F2113" s="6">
        <v>107</v>
      </c>
      <c r="G2113" s="6">
        <v>38</v>
      </c>
      <c r="H2113" s="6">
        <v>51</v>
      </c>
      <c r="I2113" s="7" t="s">
        <v>4315</v>
      </c>
      <c r="J2113" s="3" t="s">
        <v>4317</v>
      </c>
      <c r="K2113" s="8" t="s">
        <v>4723</v>
      </c>
      <c r="L2113" s="9" t="s">
        <v>5120</v>
      </c>
      <c r="M2113" s="1" t="s">
        <v>3431</v>
      </c>
    </row>
    <row r="2114" spans="1:13" x14ac:dyDescent="0.3">
      <c r="A2114" s="3">
        <v>11528010</v>
      </c>
      <c r="B2114" s="4" t="s">
        <v>8023</v>
      </c>
      <c r="C2114" s="5" t="s">
        <v>5108</v>
      </c>
      <c r="D2114" s="5" t="s">
        <v>552</v>
      </c>
      <c r="E2114" s="3" t="s">
        <v>3432</v>
      </c>
      <c r="F2114" s="6">
        <v>5.0999999999999996</v>
      </c>
      <c r="G2114" s="6">
        <v>5.0999999999999996</v>
      </c>
      <c r="H2114" s="6">
        <v>100</v>
      </c>
      <c r="I2114" s="7" t="s">
        <v>14</v>
      </c>
      <c r="J2114" s="3" t="s">
        <v>14</v>
      </c>
      <c r="K2114" s="8" t="s">
        <v>14</v>
      </c>
      <c r="L2114" s="9" t="s">
        <v>5121</v>
      </c>
      <c r="M2114" s="1" t="s">
        <v>3433</v>
      </c>
    </row>
    <row r="2115" spans="1:13" x14ac:dyDescent="0.3">
      <c r="A2115" s="3">
        <v>11528011</v>
      </c>
      <c r="B2115" s="4" t="s">
        <v>8023</v>
      </c>
      <c r="C2115" s="5" t="s">
        <v>5107</v>
      </c>
      <c r="D2115" s="5" t="s">
        <v>552</v>
      </c>
      <c r="E2115" s="3" t="s">
        <v>3434</v>
      </c>
      <c r="F2115" s="6">
        <v>5.0999999999999996</v>
      </c>
      <c r="G2115" s="6">
        <v>5.0999999999999996</v>
      </c>
      <c r="H2115" s="6">
        <v>20</v>
      </c>
      <c r="I2115" s="7" t="s">
        <v>14</v>
      </c>
      <c r="J2115" s="3" t="s">
        <v>14</v>
      </c>
      <c r="K2115" s="8" t="s">
        <v>14</v>
      </c>
      <c r="L2115" s="9" t="s">
        <v>5122</v>
      </c>
      <c r="M2115" s="1" t="s">
        <v>3435</v>
      </c>
    </row>
    <row r="2116" spans="1:13" x14ac:dyDescent="0.3">
      <c r="A2116" s="3">
        <v>11510012</v>
      </c>
      <c r="B2116" s="4" t="s">
        <v>8023</v>
      </c>
      <c r="C2116" s="5" t="s">
        <v>3436</v>
      </c>
      <c r="D2116" s="5" t="s">
        <v>96</v>
      </c>
      <c r="E2116" s="3">
        <v>12188</v>
      </c>
      <c r="F2116" s="6">
        <v>48</v>
      </c>
      <c r="G2116" s="6">
        <v>32.5</v>
      </c>
      <c r="H2116" s="6">
        <v>23</v>
      </c>
      <c r="I2116" s="7" t="s">
        <v>4316</v>
      </c>
      <c r="J2116" s="3" t="s">
        <v>4318</v>
      </c>
      <c r="K2116" s="8" t="s">
        <v>4496</v>
      </c>
      <c r="L2116" s="9" t="s">
        <v>5123</v>
      </c>
      <c r="M2116" s="1" t="s">
        <v>3437</v>
      </c>
    </row>
    <row r="2117" spans="1:13" x14ac:dyDescent="0.3">
      <c r="A2117" s="3">
        <v>11510013</v>
      </c>
      <c r="B2117" s="4" t="s">
        <v>8023</v>
      </c>
      <c r="C2117" s="5" t="s">
        <v>3438</v>
      </c>
      <c r="D2117" s="5" t="s">
        <v>96</v>
      </c>
      <c r="E2117" s="3" t="s">
        <v>3438</v>
      </c>
      <c r="F2117" s="6">
        <v>46.5</v>
      </c>
      <c r="G2117" s="6">
        <v>46.5</v>
      </c>
      <c r="H2117" s="6">
        <v>14</v>
      </c>
      <c r="I2117" s="7" t="s">
        <v>4316</v>
      </c>
      <c r="J2117" s="3" t="s">
        <v>4318</v>
      </c>
      <c r="K2117" s="8" t="s">
        <v>4435</v>
      </c>
      <c r="L2117" s="9" t="s">
        <v>5124</v>
      </c>
      <c r="M2117" s="1" t="s">
        <v>3439</v>
      </c>
    </row>
    <row r="2118" spans="1:13" x14ac:dyDescent="0.3">
      <c r="A2118" s="3">
        <v>11510014</v>
      </c>
      <c r="B2118" s="4" t="s">
        <v>8023</v>
      </c>
      <c r="C2118" s="5" t="s">
        <v>3440</v>
      </c>
      <c r="D2118" s="5" t="s">
        <v>96</v>
      </c>
      <c r="E2118" s="3">
        <v>15138</v>
      </c>
      <c r="F2118" s="6">
        <v>40.5</v>
      </c>
      <c r="G2118" s="6">
        <v>35.5</v>
      </c>
      <c r="H2118" s="6">
        <v>23</v>
      </c>
      <c r="I2118" s="7" t="s">
        <v>4316</v>
      </c>
      <c r="J2118" s="3" t="s">
        <v>4318</v>
      </c>
      <c r="K2118" s="8" t="s">
        <v>4496</v>
      </c>
      <c r="L2118" s="9" t="s">
        <v>5125</v>
      </c>
      <c r="M2118" s="1" t="s">
        <v>3441</v>
      </c>
    </row>
    <row r="2119" spans="1:13" x14ac:dyDescent="0.3">
      <c r="A2119" s="3">
        <v>11531015</v>
      </c>
      <c r="B2119" s="4" t="s">
        <v>8023</v>
      </c>
      <c r="C2119" s="5" t="s">
        <v>3440</v>
      </c>
      <c r="D2119" s="5" t="s">
        <v>261</v>
      </c>
      <c r="E2119" s="3">
        <v>15138</v>
      </c>
      <c r="F2119" s="6" t="s">
        <v>14</v>
      </c>
      <c r="G2119" s="6" t="s">
        <v>14</v>
      </c>
      <c r="H2119" s="6" t="s">
        <v>14</v>
      </c>
      <c r="I2119" s="7" t="s">
        <v>14</v>
      </c>
      <c r="J2119" s="3" t="s">
        <v>14</v>
      </c>
      <c r="K2119" s="8" t="s">
        <v>14</v>
      </c>
      <c r="L2119" s="9" t="s">
        <v>5126</v>
      </c>
      <c r="M2119" s="1" t="s">
        <v>3442</v>
      </c>
    </row>
    <row r="2120" spans="1:13" x14ac:dyDescent="0.3">
      <c r="A2120" s="3">
        <v>11510016</v>
      </c>
      <c r="B2120" s="4" t="s">
        <v>8023</v>
      </c>
      <c r="C2120" s="5" t="s">
        <v>3443</v>
      </c>
      <c r="D2120" s="5" t="s">
        <v>96</v>
      </c>
      <c r="E2120" s="3">
        <v>14128</v>
      </c>
      <c r="F2120" s="6">
        <v>38</v>
      </c>
      <c r="G2120" s="6">
        <v>32.5</v>
      </c>
      <c r="H2120" s="6">
        <v>23</v>
      </c>
      <c r="I2120" s="7" t="s">
        <v>4316</v>
      </c>
      <c r="J2120" s="3" t="s">
        <v>4318</v>
      </c>
      <c r="K2120" s="8" t="s">
        <v>4356</v>
      </c>
      <c r="L2120" s="9" t="s">
        <v>5127</v>
      </c>
      <c r="M2120" s="1" t="s">
        <v>3444</v>
      </c>
    </row>
    <row r="2121" spans="1:13" x14ac:dyDescent="0.3">
      <c r="A2121" s="3">
        <v>11520017</v>
      </c>
      <c r="B2121" s="4" t="s">
        <v>8023</v>
      </c>
      <c r="C2121" s="5" t="s">
        <v>3445</v>
      </c>
      <c r="D2121" s="5" t="s">
        <v>264</v>
      </c>
      <c r="E2121" s="3" t="s">
        <v>3446</v>
      </c>
      <c r="F2121" s="6">
        <v>36</v>
      </c>
      <c r="G2121" s="6">
        <v>20</v>
      </c>
      <c r="H2121" s="6">
        <v>0</v>
      </c>
      <c r="I2121" s="7" t="s">
        <v>4447</v>
      </c>
      <c r="J2121" s="3" t="s">
        <v>4317</v>
      </c>
      <c r="K2121" s="8" t="s">
        <v>4465</v>
      </c>
      <c r="L2121" s="9" t="s">
        <v>5128</v>
      </c>
      <c r="M2121" s="1" t="s">
        <v>3447</v>
      </c>
    </row>
    <row r="2122" spans="1:13" x14ac:dyDescent="0.3">
      <c r="A2122" s="3">
        <v>11521018</v>
      </c>
      <c r="B2122" s="4" t="s">
        <v>8023</v>
      </c>
      <c r="C2122" s="5" t="s">
        <v>3445</v>
      </c>
      <c r="D2122" s="5" t="s">
        <v>267</v>
      </c>
      <c r="E2122" s="3" t="s">
        <v>3446</v>
      </c>
      <c r="F2122" s="6">
        <v>30</v>
      </c>
      <c r="G2122" s="6">
        <v>20</v>
      </c>
      <c r="H2122" s="6">
        <v>0</v>
      </c>
      <c r="I2122" s="7" t="s">
        <v>4447</v>
      </c>
      <c r="J2122" s="3" t="s">
        <v>4317</v>
      </c>
      <c r="K2122" s="8" t="s">
        <v>4526</v>
      </c>
      <c r="L2122" s="9" t="s">
        <v>5129</v>
      </c>
      <c r="M2122" s="1" t="s">
        <v>3448</v>
      </c>
    </row>
    <row r="2123" spans="1:13" x14ac:dyDescent="0.3">
      <c r="A2123" s="3">
        <v>11510019</v>
      </c>
      <c r="B2123" s="4" t="s">
        <v>8023</v>
      </c>
      <c r="C2123" s="5" t="s">
        <v>3449</v>
      </c>
      <c r="D2123" s="5" t="s">
        <v>96</v>
      </c>
      <c r="E2123" s="3">
        <v>301412</v>
      </c>
      <c r="F2123" s="6">
        <v>77</v>
      </c>
      <c r="G2123" s="6">
        <v>36.5</v>
      </c>
      <c r="H2123" s="6">
        <v>23</v>
      </c>
      <c r="I2123" s="7" t="s">
        <v>4316</v>
      </c>
      <c r="J2123" s="3" t="s">
        <v>4318</v>
      </c>
      <c r="K2123" s="8" t="s">
        <v>4589</v>
      </c>
      <c r="L2123" s="9" t="s">
        <v>5130</v>
      </c>
      <c r="M2123" s="1" t="s">
        <v>3450</v>
      </c>
    </row>
    <row r="2124" spans="1:13" x14ac:dyDescent="0.3">
      <c r="A2124" s="3">
        <v>11520020</v>
      </c>
      <c r="B2124" s="4" t="s">
        <v>8023</v>
      </c>
      <c r="C2124" s="5" t="s">
        <v>3451</v>
      </c>
      <c r="D2124" s="5" t="s">
        <v>264</v>
      </c>
      <c r="E2124" s="3" t="s">
        <v>3452</v>
      </c>
      <c r="F2124" s="6">
        <v>74.400000000000006</v>
      </c>
      <c r="G2124" s="6">
        <v>29.5</v>
      </c>
      <c r="H2124" s="6">
        <v>0</v>
      </c>
      <c r="I2124" s="7" t="s">
        <v>4447</v>
      </c>
      <c r="J2124" s="3" t="s">
        <v>4317</v>
      </c>
      <c r="K2124" s="8" t="s">
        <v>4500</v>
      </c>
      <c r="L2124" s="9" t="s">
        <v>5131</v>
      </c>
      <c r="M2124" s="1" t="s">
        <v>3453</v>
      </c>
    </row>
    <row r="2125" spans="1:13" x14ac:dyDescent="0.3">
      <c r="A2125" s="3">
        <v>11521021</v>
      </c>
      <c r="B2125" s="4" t="s">
        <v>8023</v>
      </c>
      <c r="C2125" s="5" t="s">
        <v>3451</v>
      </c>
      <c r="D2125" s="5" t="s">
        <v>267</v>
      </c>
      <c r="E2125" s="3" t="s">
        <v>3452</v>
      </c>
      <c r="F2125" s="6">
        <v>35</v>
      </c>
      <c r="G2125" s="6">
        <v>29.5</v>
      </c>
      <c r="H2125" s="6">
        <v>0</v>
      </c>
      <c r="I2125" s="7" t="s">
        <v>4447</v>
      </c>
      <c r="J2125" s="3" t="s">
        <v>4317</v>
      </c>
      <c r="K2125" s="8" t="s">
        <v>4320</v>
      </c>
      <c r="L2125" s="9" t="s">
        <v>5132</v>
      </c>
      <c r="M2125" s="1" t="s">
        <v>3454</v>
      </c>
    </row>
    <row r="2126" spans="1:13" x14ac:dyDescent="0.3">
      <c r="A2126" s="3">
        <v>11519022</v>
      </c>
      <c r="B2126" s="4" t="s">
        <v>8023</v>
      </c>
      <c r="C2126" s="5" t="s">
        <v>3455</v>
      </c>
      <c r="D2126" s="5" t="s">
        <v>74</v>
      </c>
      <c r="E2126" s="3" t="s">
        <v>3456</v>
      </c>
      <c r="F2126" s="6">
        <v>45</v>
      </c>
      <c r="G2126" s="6">
        <v>35</v>
      </c>
      <c r="H2126" s="6">
        <v>0</v>
      </c>
      <c r="I2126" s="7" t="s">
        <v>4447</v>
      </c>
      <c r="J2126" s="3" t="s">
        <v>4317</v>
      </c>
      <c r="K2126" s="8" t="s">
        <v>4433</v>
      </c>
      <c r="L2126" s="9" t="s">
        <v>5133</v>
      </c>
      <c r="M2126" s="1" t="s">
        <v>3457</v>
      </c>
    </row>
    <row r="2127" spans="1:13" x14ac:dyDescent="0.3">
      <c r="A2127" s="3">
        <v>11519023</v>
      </c>
      <c r="B2127" s="4" t="s">
        <v>8023</v>
      </c>
      <c r="C2127" s="5" t="s">
        <v>3458</v>
      </c>
      <c r="D2127" s="5" t="s">
        <v>74</v>
      </c>
      <c r="E2127" s="3" t="s">
        <v>3459</v>
      </c>
      <c r="F2127" s="6">
        <v>60</v>
      </c>
      <c r="G2127" s="6">
        <v>29</v>
      </c>
      <c r="H2127" s="6">
        <v>0</v>
      </c>
      <c r="I2127" s="7" t="s">
        <v>4447</v>
      </c>
      <c r="J2127" s="3" t="s">
        <v>4317</v>
      </c>
      <c r="K2127" s="8" t="s">
        <v>4501</v>
      </c>
      <c r="L2127" s="9" t="s">
        <v>5134</v>
      </c>
      <c r="M2127" s="1" t="s">
        <v>3460</v>
      </c>
    </row>
    <row r="2128" spans="1:13" x14ac:dyDescent="0.3">
      <c r="A2128" s="3">
        <v>11510024</v>
      </c>
      <c r="B2128" s="4" t="s">
        <v>8023</v>
      </c>
      <c r="C2128" s="5" t="s">
        <v>3461</v>
      </c>
      <c r="D2128" s="5" t="s">
        <v>96</v>
      </c>
      <c r="E2128" s="3">
        <v>12124</v>
      </c>
      <c r="F2128" s="6">
        <v>31.5</v>
      </c>
      <c r="G2128" s="6">
        <v>31.5</v>
      </c>
      <c r="H2128" s="6">
        <v>12</v>
      </c>
      <c r="I2128" s="7" t="s">
        <v>4316</v>
      </c>
      <c r="J2128" s="3" t="s">
        <v>4318</v>
      </c>
      <c r="K2128" s="8" t="s">
        <v>4479</v>
      </c>
      <c r="L2128" s="9" t="s">
        <v>5135</v>
      </c>
      <c r="M2128" s="1" t="s">
        <v>3462</v>
      </c>
    </row>
    <row r="2129" spans="1:13" x14ac:dyDescent="0.3">
      <c r="A2129" s="3">
        <v>11501025</v>
      </c>
      <c r="B2129" s="4" t="s">
        <v>8023</v>
      </c>
      <c r="C2129" s="5" t="s">
        <v>3463</v>
      </c>
      <c r="D2129" s="5" t="s">
        <v>2654</v>
      </c>
      <c r="E2129" s="3" t="s">
        <v>4946</v>
      </c>
      <c r="F2129" s="6">
        <v>119.5</v>
      </c>
      <c r="G2129" s="6">
        <v>129.5</v>
      </c>
      <c r="H2129" s="6">
        <v>27</v>
      </c>
      <c r="I2129" s="7" t="s">
        <v>4316</v>
      </c>
      <c r="J2129" s="3" t="s">
        <v>4318</v>
      </c>
      <c r="K2129" s="8">
        <v>3.18</v>
      </c>
      <c r="L2129" s="9" t="s">
        <v>5136</v>
      </c>
      <c r="M2129" s="1" t="s">
        <v>4947</v>
      </c>
    </row>
    <row r="2130" spans="1:13" x14ac:dyDescent="0.3">
      <c r="A2130" s="3">
        <v>11492026</v>
      </c>
      <c r="B2130" s="4" t="s">
        <v>8023</v>
      </c>
      <c r="C2130" s="5" t="s">
        <v>3464</v>
      </c>
      <c r="D2130" s="5" t="s">
        <v>392</v>
      </c>
      <c r="E2130" s="3" t="s">
        <v>4946</v>
      </c>
      <c r="F2130" s="6">
        <v>122.5</v>
      </c>
      <c r="G2130" s="6">
        <v>132.5</v>
      </c>
      <c r="H2130" s="6">
        <v>27</v>
      </c>
      <c r="I2130" s="7">
        <v>42</v>
      </c>
      <c r="J2130" s="3" t="s">
        <v>4318</v>
      </c>
      <c r="K2130" s="8">
        <v>3.29</v>
      </c>
      <c r="L2130" s="9" t="s">
        <v>5137</v>
      </c>
      <c r="M2130" s="1" t="s">
        <v>4948</v>
      </c>
    </row>
    <row r="2131" spans="1:13" x14ac:dyDescent="0.3">
      <c r="A2131" s="3">
        <v>11483027</v>
      </c>
      <c r="B2131" s="4" t="s">
        <v>8023</v>
      </c>
      <c r="C2131" s="5" t="s">
        <v>4923</v>
      </c>
      <c r="D2131" s="5" t="s">
        <v>682</v>
      </c>
      <c r="E2131" s="3" t="s">
        <v>14</v>
      </c>
      <c r="F2131" s="6">
        <v>106</v>
      </c>
      <c r="G2131" s="6">
        <v>106</v>
      </c>
      <c r="H2131" s="6">
        <v>92</v>
      </c>
      <c r="I2131" s="7">
        <v>84</v>
      </c>
      <c r="J2131" s="3" t="s">
        <v>4346</v>
      </c>
      <c r="K2131" s="8">
        <v>2.29</v>
      </c>
      <c r="L2131" s="9" t="s">
        <v>5138</v>
      </c>
      <c r="M2131" s="1" t="s">
        <v>4920</v>
      </c>
    </row>
    <row r="2132" spans="1:13" x14ac:dyDescent="0.3">
      <c r="A2132" s="3">
        <v>11474028</v>
      </c>
      <c r="B2132" s="4" t="s">
        <v>8023</v>
      </c>
      <c r="C2132" s="5" t="s">
        <v>4924</v>
      </c>
      <c r="D2132" s="5" t="s">
        <v>392</v>
      </c>
      <c r="E2132" s="3" t="s">
        <v>14</v>
      </c>
      <c r="F2132" s="6">
        <v>112</v>
      </c>
      <c r="G2132" s="6">
        <v>112</v>
      </c>
      <c r="H2132" s="6">
        <v>10</v>
      </c>
      <c r="I2132" s="7">
        <v>42</v>
      </c>
      <c r="J2132" s="3" t="s">
        <v>4318</v>
      </c>
      <c r="K2132" s="8">
        <v>1.74</v>
      </c>
      <c r="L2132" s="9" t="s">
        <v>5139</v>
      </c>
      <c r="M2132" s="1" t="s">
        <v>4921</v>
      </c>
    </row>
    <row r="2133" spans="1:13" x14ac:dyDescent="0.3">
      <c r="A2133" s="3">
        <v>11465029</v>
      </c>
      <c r="B2133" s="4" t="s">
        <v>8023</v>
      </c>
      <c r="C2133" s="5" t="s">
        <v>4925</v>
      </c>
      <c r="D2133" s="5" t="s">
        <v>74</v>
      </c>
      <c r="E2133" s="3" t="s">
        <v>14</v>
      </c>
      <c r="F2133" s="6">
        <v>104</v>
      </c>
      <c r="G2133" s="6">
        <v>104</v>
      </c>
      <c r="H2133" s="6"/>
      <c r="I2133" s="7">
        <v>42</v>
      </c>
      <c r="J2133" s="3" t="s">
        <v>4318</v>
      </c>
      <c r="K2133" s="8">
        <v>1.08</v>
      </c>
      <c r="L2133" s="9" t="s">
        <v>5140</v>
      </c>
      <c r="M2133" s="1" t="s">
        <v>4922</v>
      </c>
    </row>
    <row r="2134" spans="1:13" x14ac:dyDescent="0.3">
      <c r="A2134" s="3">
        <v>11456030</v>
      </c>
      <c r="B2134" s="4" t="s">
        <v>8023</v>
      </c>
      <c r="C2134" s="5" t="s">
        <v>6625</v>
      </c>
      <c r="D2134" s="5" t="s">
        <v>96</v>
      </c>
      <c r="E2134" s="3" t="s">
        <v>6638</v>
      </c>
      <c r="F2134" s="6">
        <v>59.3</v>
      </c>
      <c r="G2134" s="6">
        <v>59.3</v>
      </c>
      <c r="H2134" s="6">
        <v>19.3</v>
      </c>
      <c r="I2134" s="7">
        <v>51</v>
      </c>
      <c r="J2134" s="3" t="s">
        <v>4318</v>
      </c>
      <c r="K2134" s="8">
        <v>1.93</v>
      </c>
      <c r="L2134" s="9" t="s">
        <v>5141</v>
      </c>
      <c r="M2134" s="1" t="s">
        <v>6624</v>
      </c>
    </row>
    <row r="2135" spans="1:13" x14ac:dyDescent="0.3">
      <c r="A2135" s="3">
        <v>11447031</v>
      </c>
      <c r="B2135" s="4" t="s">
        <v>8023</v>
      </c>
      <c r="C2135" s="5" t="s">
        <v>3420</v>
      </c>
      <c r="D2135" s="5" t="s">
        <v>96</v>
      </c>
      <c r="E2135" s="3" t="s">
        <v>14</v>
      </c>
      <c r="F2135" s="6">
        <v>41.7</v>
      </c>
      <c r="G2135" s="6">
        <v>31.5</v>
      </c>
      <c r="H2135" s="6">
        <v>15</v>
      </c>
      <c r="I2135" s="7">
        <v>42</v>
      </c>
      <c r="J2135" s="3" t="s">
        <v>4318</v>
      </c>
      <c r="K2135" s="8">
        <v>0.72</v>
      </c>
      <c r="L2135" s="9" t="s">
        <v>5142</v>
      </c>
      <c r="M2135" s="1"/>
    </row>
    <row r="2136" spans="1:13" x14ac:dyDescent="0.3">
      <c r="A2136" s="3">
        <v>11438032</v>
      </c>
      <c r="B2136" s="4" t="s">
        <v>8023</v>
      </c>
      <c r="C2136" s="5" t="s">
        <v>5161</v>
      </c>
      <c r="D2136" s="5" t="s">
        <v>96</v>
      </c>
      <c r="E2136" s="3" t="s">
        <v>6639</v>
      </c>
      <c r="F2136" s="6">
        <v>71</v>
      </c>
      <c r="G2136" s="6">
        <v>71</v>
      </c>
      <c r="H2136" s="6">
        <v>28</v>
      </c>
      <c r="I2136" s="7">
        <v>42</v>
      </c>
      <c r="J2136" s="3" t="s">
        <v>4318</v>
      </c>
      <c r="K2136" s="8">
        <v>1.49</v>
      </c>
      <c r="L2136" s="9" t="s">
        <v>5163</v>
      </c>
      <c r="M2136" s="1" t="s">
        <v>5174</v>
      </c>
    </row>
    <row r="2137" spans="1:13" x14ac:dyDescent="0.3">
      <c r="A2137" s="3">
        <v>11429033</v>
      </c>
      <c r="B2137" s="4" t="s">
        <v>8023</v>
      </c>
      <c r="C2137" s="5" t="s">
        <v>5167</v>
      </c>
      <c r="D2137" s="5" t="s">
        <v>682</v>
      </c>
      <c r="E2137" s="3" t="s">
        <v>5162</v>
      </c>
      <c r="F2137" s="6">
        <v>64</v>
      </c>
      <c r="G2137" s="6">
        <v>64</v>
      </c>
      <c r="H2137" s="6">
        <v>26</v>
      </c>
      <c r="I2137" s="7">
        <v>42</v>
      </c>
      <c r="J2137" s="3" t="s">
        <v>4318</v>
      </c>
      <c r="K2137" s="8">
        <v>0.33</v>
      </c>
      <c r="L2137" s="9" t="s">
        <v>5164</v>
      </c>
      <c r="M2137" s="1" t="s">
        <v>5173</v>
      </c>
    </row>
    <row r="2138" spans="1:13" x14ac:dyDescent="0.3">
      <c r="A2138" s="3">
        <v>11420034</v>
      </c>
      <c r="B2138" s="4" t="s">
        <v>8023</v>
      </c>
      <c r="C2138" s="5" t="s">
        <v>5168</v>
      </c>
      <c r="D2138" s="5" t="s">
        <v>5169</v>
      </c>
      <c r="E2138" s="3" t="s">
        <v>5162</v>
      </c>
      <c r="F2138" s="6" t="s">
        <v>4783</v>
      </c>
      <c r="G2138" s="6" t="s">
        <v>4783</v>
      </c>
      <c r="H2138" s="6">
        <v>26</v>
      </c>
      <c r="I2138" s="7" t="s">
        <v>14</v>
      </c>
      <c r="J2138" s="3" t="s">
        <v>14</v>
      </c>
      <c r="K2138" s="8" t="s">
        <v>14</v>
      </c>
      <c r="L2138" s="9" t="s">
        <v>5165</v>
      </c>
      <c r="M2138" s="1" t="s">
        <v>5172</v>
      </c>
    </row>
    <row r="2139" spans="1:13" x14ac:dyDescent="0.3">
      <c r="A2139" s="3">
        <v>11411035</v>
      </c>
      <c r="B2139" s="4" t="s">
        <v>8023</v>
      </c>
      <c r="C2139" s="5" t="s">
        <v>5175</v>
      </c>
      <c r="D2139" s="5" t="s">
        <v>5170</v>
      </c>
      <c r="E2139" s="3" t="s">
        <v>5162</v>
      </c>
      <c r="F2139" s="6" t="s">
        <v>4783</v>
      </c>
      <c r="G2139" s="6" t="s">
        <v>4783</v>
      </c>
      <c r="H2139" s="6">
        <v>28</v>
      </c>
      <c r="I2139" s="7" t="s">
        <v>14</v>
      </c>
      <c r="J2139" s="3" t="s">
        <v>14</v>
      </c>
      <c r="K2139" s="8" t="s">
        <v>14</v>
      </c>
      <c r="L2139" s="9" t="s">
        <v>5166</v>
      </c>
      <c r="M2139" s="1" t="s">
        <v>5171</v>
      </c>
    </row>
    <row r="2140" spans="1:13" x14ac:dyDescent="0.3">
      <c r="A2140" s="3">
        <v>11402036</v>
      </c>
      <c r="B2140" s="4" t="s">
        <v>8023</v>
      </c>
      <c r="C2140" s="5" t="s">
        <v>6636</v>
      </c>
      <c r="D2140" s="5" t="s">
        <v>23</v>
      </c>
      <c r="E2140" s="3" t="s">
        <v>6627</v>
      </c>
      <c r="F2140" s="6">
        <v>59.3</v>
      </c>
      <c r="G2140" s="6">
        <v>59.3</v>
      </c>
      <c r="H2140" s="6">
        <v>19.3</v>
      </c>
      <c r="I2140" s="7">
        <v>51</v>
      </c>
      <c r="J2140" s="3" t="s">
        <v>4318</v>
      </c>
      <c r="K2140" s="8">
        <v>1.2</v>
      </c>
      <c r="L2140" s="9" t="s">
        <v>6628</v>
      </c>
      <c r="M2140" s="1" t="s">
        <v>6722</v>
      </c>
    </row>
    <row r="2141" spans="1:13" x14ac:dyDescent="0.3">
      <c r="A2141" s="3">
        <v>11393037</v>
      </c>
      <c r="B2141" s="4" t="s">
        <v>8023</v>
      </c>
      <c r="C2141" s="5" t="s">
        <v>6626</v>
      </c>
      <c r="D2141" s="5" t="s">
        <v>13</v>
      </c>
      <c r="E2141" s="3" t="s">
        <v>6627</v>
      </c>
      <c r="F2141" s="6">
        <v>60.5</v>
      </c>
      <c r="G2141" s="6">
        <v>60.5</v>
      </c>
      <c r="H2141" s="6">
        <v>9.5</v>
      </c>
      <c r="I2141" s="7">
        <v>32</v>
      </c>
      <c r="J2141" s="3" t="s">
        <v>4317</v>
      </c>
      <c r="K2141" s="8">
        <v>0.63</v>
      </c>
      <c r="L2141" s="9" t="s">
        <v>6629</v>
      </c>
      <c r="M2141" s="1" t="s">
        <v>6723</v>
      </c>
    </row>
    <row r="2142" spans="1:13" x14ac:dyDescent="0.3">
      <c r="A2142" s="3">
        <v>11384038</v>
      </c>
      <c r="B2142" s="4" t="s">
        <v>8023</v>
      </c>
      <c r="C2142" s="5" t="s">
        <v>6633</v>
      </c>
      <c r="D2142" s="5" t="s">
        <v>96</v>
      </c>
      <c r="E2142" s="3" t="s">
        <v>5162</v>
      </c>
      <c r="F2142" s="6">
        <v>71</v>
      </c>
      <c r="G2142" s="6">
        <v>71</v>
      </c>
      <c r="H2142" s="6">
        <v>28.3</v>
      </c>
      <c r="I2142" s="7">
        <v>51</v>
      </c>
      <c r="J2142" s="3" t="s">
        <v>4318</v>
      </c>
      <c r="K2142" s="8">
        <v>2.89</v>
      </c>
      <c r="L2142" s="9" t="s">
        <v>6630</v>
      </c>
      <c r="M2142" s="1" t="s">
        <v>6634</v>
      </c>
    </row>
    <row r="2143" spans="1:13" x14ac:dyDescent="0.3">
      <c r="A2143" s="3">
        <v>11375039</v>
      </c>
      <c r="B2143" s="4" t="s">
        <v>8023</v>
      </c>
      <c r="C2143" s="5" t="s">
        <v>6637</v>
      </c>
      <c r="D2143" s="5" t="s">
        <v>23</v>
      </c>
      <c r="E2143" s="3" t="s">
        <v>5162</v>
      </c>
      <c r="F2143" s="6">
        <v>71</v>
      </c>
      <c r="G2143" s="6">
        <v>71</v>
      </c>
      <c r="H2143" s="6">
        <v>28.3</v>
      </c>
      <c r="I2143" s="7">
        <v>51</v>
      </c>
      <c r="J2143" s="3" t="s">
        <v>4318</v>
      </c>
      <c r="K2143" s="8">
        <v>1.86</v>
      </c>
      <c r="L2143" s="9" t="s">
        <v>6631</v>
      </c>
      <c r="M2143" s="1" t="s">
        <v>6724</v>
      </c>
    </row>
    <row r="2144" spans="1:13" x14ac:dyDescent="0.3">
      <c r="A2144" s="3">
        <v>11366040</v>
      </c>
      <c r="B2144" s="4" t="s">
        <v>8023</v>
      </c>
      <c r="C2144" s="5" t="s">
        <v>6632</v>
      </c>
      <c r="D2144" s="5" t="s">
        <v>13</v>
      </c>
      <c r="E2144" s="3" t="s">
        <v>5162</v>
      </c>
      <c r="F2144" s="6">
        <v>72.5</v>
      </c>
      <c r="G2144" s="6">
        <v>72.5</v>
      </c>
      <c r="H2144" s="6">
        <v>10</v>
      </c>
      <c r="I2144" s="7">
        <v>32</v>
      </c>
      <c r="J2144" s="3" t="s">
        <v>4317</v>
      </c>
      <c r="K2144" s="8">
        <v>0.86</v>
      </c>
      <c r="L2144" s="9" t="s">
        <v>6635</v>
      </c>
      <c r="M2144" s="1" t="s">
        <v>6725</v>
      </c>
    </row>
    <row r="2145" spans="1:14" x14ac:dyDescent="0.3">
      <c r="A2145" s="3">
        <v>11357041</v>
      </c>
      <c r="B2145" s="4" t="s">
        <v>8023</v>
      </c>
      <c r="C2145" s="5" t="s">
        <v>6795</v>
      </c>
      <c r="D2145" s="5" t="s">
        <v>96</v>
      </c>
      <c r="E2145" s="3" t="s">
        <v>14</v>
      </c>
      <c r="F2145" s="6">
        <v>19.5</v>
      </c>
      <c r="G2145" s="6">
        <v>9.5</v>
      </c>
      <c r="H2145" s="6">
        <v>6.6</v>
      </c>
      <c r="I2145" s="7">
        <v>32</v>
      </c>
      <c r="J2145" s="3" t="s">
        <v>4318</v>
      </c>
      <c r="K2145" s="8">
        <v>0.1</v>
      </c>
      <c r="L2145" s="9" t="s">
        <v>6796</v>
      </c>
      <c r="M2145" s="1"/>
    </row>
    <row r="2146" spans="1:14" x14ac:dyDescent="0.3">
      <c r="A2146" s="3">
        <v>11348042</v>
      </c>
      <c r="B2146" s="4" t="s">
        <v>8023</v>
      </c>
      <c r="C2146" s="5" t="s">
        <v>7196</v>
      </c>
      <c r="D2146" s="5" t="s">
        <v>682</v>
      </c>
      <c r="E2146" s="3" t="s">
        <v>14</v>
      </c>
      <c r="F2146" s="6">
        <v>112.5</v>
      </c>
      <c r="G2146" s="6">
        <v>105</v>
      </c>
      <c r="H2146" s="6">
        <v>97</v>
      </c>
      <c r="I2146" s="7">
        <v>51</v>
      </c>
      <c r="J2146" s="3" t="s">
        <v>4318</v>
      </c>
      <c r="K2146" s="8">
        <v>2.7</v>
      </c>
      <c r="L2146" s="9" t="s">
        <v>7197</v>
      </c>
      <c r="M2146" s="1"/>
    </row>
    <row r="2147" spans="1:14" x14ac:dyDescent="0.3">
      <c r="A2147" s="3">
        <v>11339043</v>
      </c>
      <c r="B2147" s="4" t="s">
        <v>8023</v>
      </c>
      <c r="C2147" s="5" t="s">
        <v>7196</v>
      </c>
      <c r="D2147" s="5" t="s">
        <v>5069</v>
      </c>
      <c r="E2147" s="3"/>
      <c r="F2147" s="6"/>
      <c r="G2147" s="6"/>
      <c r="H2147" s="6"/>
      <c r="I2147" s="7"/>
      <c r="J2147" s="3"/>
      <c r="K2147" s="8"/>
      <c r="L2147" s="9" t="s">
        <v>7315</v>
      </c>
      <c r="M2147" s="1"/>
    </row>
    <row r="2148" spans="1:14" x14ac:dyDescent="0.3">
      <c r="A2148" s="3">
        <v>11330044</v>
      </c>
      <c r="B2148" s="4" t="s">
        <v>8023</v>
      </c>
      <c r="C2148" s="5" t="s">
        <v>7196</v>
      </c>
      <c r="D2148" s="5" t="s">
        <v>7199</v>
      </c>
      <c r="E2148" s="3"/>
      <c r="F2148" s="6"/>
      <c r="G2148" s="6"/>
      <c r="H2148" s="6"/>
      <c r="I2148" s="7"/>
      <c r="J2148" s="3"/>
      <c r="K2148" s="8"/>
      <c r="L2148" s="9" t="s">
        <v>7316</v>
      </c>
      <c r="M2148" s="1"/>
    </row>
    <row r="2149" spans="1:14" x14ac:dyDescent="0.3">
      <c r="A2149" s="3">
        <v>11321045</v>
      </c>
      <c r="B2149" s="4" t="s">
        <v>8023</v>
      </c>
      <c r="C2149" s="5" t="s">
        <v>7310</v>
      </c>
      <c r="D2149" s="5" t="s">
        <v>5321</v>
      </c>
      <c r="E2149" s="3" t="s">
        <v>14</v>
      </c>
      <c r="F2149" s="6">
        <v>195</v>
      </c>
      <c r="G2149" s="6">
        <v>60</v>
      </c>
      <c r="H2149" s="6" t="s">
        <v>14</v>
      </c>
      <c r="I2149" s="7">
        <v>42</v>
      </c>
      <c r="J2149" s="3" t="s">
        <v>4318</v>
      </c>
      <c r="K2149" s="8"/>
      <c r="L2149" s="9" t="s">
        <v>7317</v>
      </c>
      <c r="M2149" s="1" t="s">
        <v>7437</v>
      </c>
    </row>
    <row r="2150" spans="1:14" x14ac:dyDescent="0.3">
      <c r="A2150" s="3">
        <v>11312046</v>
      </c>
      <c r="B2150" s="4" t="s">
        <v>8023</v>
      </c>
      <c r="C2150" s="5" t="s">
        <v>7311</v>
      </c>
      <c r="D2150" s="5" t="s">
        <v>13</v>
      </c>
      <c r="E2150" s="3" t="s">
        <v>14</v>
      </c>
      <c r="F2150" s="6">
        <v>122.5</v>
      </c>
      <c r="G2150" s="6">
        <v>122.5</v>
      </c>
      <c r="H2150" s="6">
        <v>15.5</v>
      </c>
      <c r="I2150" s="7">
        <v>42</v>
      </c>
      <c r="J2150" s="3" t="s">
        <v>4318</v>
      </c>
      <c r="K2150" s="8"/>
      <c r="L2150" s="9" t="s">
        <v>7318</v>
      </c>
      <c r="M2150" s="1"/>
    </row>
    <row r="2151" spans="1:14" x14ac:dyDescent="0.3">
      <c r="A2151" s="3">
        <v>11321046</v>
      </c>
      <c r="B2151" s="4" t="s">
        <v>8023</v>
      </c>
      <c r="C2151" s="5" t="s">
        <v>8018</v>
      </c>
      <c r="D2151" s="5" t="s">
        <v>74</v>
      </c>
      <c r="E2151" s="3" t="s">
        <v>14</v>
      </c>
      <c r="F2151" s="6">
        <v>76.2</v>
      </c>
      <c r="G2151" s="6">
        <v>15.5</v>
      </c>
      <c r="H2151" s="6" t="s">
        <v>14</v>
      </c>
      <c r="I2151" s="7">
        <v>42</v>
      </c>
      <c r="J2151" s="3" t="s">
        <v>4318</v>
      </c>
      <c r="K2151" s="8">
        <v>0.12</v>
      </c>
      <c r="L2151" s="9" t="s">
        <v>7318</v>
      </c>
      <c r="M2151" s="1" t="s">
        <v>8019</v>
      </c>
    </row>
    <row r="2152" spans="1:14" x14ac:dyDescent="0.3">
      <c r="A2152" s="3">
        <v>11303047</v>
      </c>
      <c r="B2152" s="4" t="s">
        <v>8023</v>
      </c>
      <c r="C2152" s="5" t="s">
        <v>7312</v>
      </c>
      <c r="D2152" s="5" t="s">
        <v>74</v>
      </c>
      <c r="E2152" s="3" t="s">
        <v>14</v>
      </c>
      <c r="F2152" s="6">
        <v>195</v>
      </c>
      <c r="G2152" s="6">
        <v>122</v>
      </c>
      <c r="H2152" s="6" t="s">
        <v>14</v>
      </c>
      <c r="I2152" s="7">
        <v>42</v>
      </c>
      <c r="J2152" s="3" t="s">
        <v>4318</v>
      </c>
      <c r="K2152" s="8"/>
      <c r="L2152" s="9" t="s">
        <v>7319</v>
      </c>
      <c r="M2152" s="1" t="s">
        <v>7691</v>
      </c>
      <c r="N2152" s="1" t="s">
        <v>7691</v>
      </c>
    </row>
    <row r="2153" spans="1:14" x14ac:dyDescent="0.3">
      <c r="A2153" s="3">
        <v>11321047</v>
      </c>
      <c r="B2153" s="4" t="s">
        <v>8023</v>
      </c>
      <c r="C2153" s="5" t="s">
        <v>8020</v>
      </c>
      <c r="D2153" s="5" t="s">
        <v>74</v>
      </c>
      <c r="E2153" s="3" t="s">
        <v>14</v>
      </c>
      <c r="F2153" s="6">
        <v>85</v>
      </c>
      <c r="G2153" s="6">
        <v>24.1</v>
      </c>
      <c r="H2153" s="6" t="s">
        <v>14</v>
      </c>
      <c r="I2153" s="7">
        <v>42</v>
      </c>
      <c r="J2153" s="3" t="s">
        <v>4318</v>
      </c>
      <c r="K2153" s="8">
        <v>0.2</v>
      </c>
      <c r="L2153" s="9" t="s">
        <v>7319</v>
      </c>
      <c r="M2153" s="1" t="s">
        <v>8021</v>
      </c>
      <c r="N2153" s="70"/>
    </row>
    <row r="2154" spans="1:14" x14ac:dyDescent="0.3">
      <c r="A2154" s="3">
        <v>11294048</v>
      </c>
      <c r="B2154" s="4" t="s">
        <v>8023</v>
      </c>
      <c r="C2154" s="5" t="s">
        <v>7313</v>
      </c>
      <c r="D2154" s="5" t="s">
        <v>74</v>
      </c>
      <c r="E2154" s="3" t="s">
        <v>14</v>
      </c>
      <c r="F2154" s="6">
        <v>119.5</v>
      </c>
      <c r="G2154" s="6">
        <v>130</v>
      </c>
      <c r="H2154" s="6" t="s">
        <v>14</v>
      </c>
      <c r="I2154" s="7">
        <v>32</v>
      </c>
      <c r="J2154" s="3" t="s">
        <v>4317</v>
      </c>
      <c r="K2154" s="8"/>
      <c r="L2154" s="9" t="s">
        <v>7320</v>
      </c>
      <c r="M2154" s="1"/>
    </row>
    <row r="2155" spans="1:14" x14ac:dyDescent="0.3">
      <c r="A2155" s="3">
        <v>11285049</v>
      </c>
      <c r="B2155" s="4" t="s">
        <v>8023</v>
      </c>
      <c r="C2155" s="5" t="s">
        <v>7314</v>
      </c>
      <c r="D2155" s="5" t="s">
        <v>74</v>
      </c>
      <c r="E2155" s="3" t="s">
        <v>14</v>
      </c>
      <c r="F2155" s="6">
        <v>125</v>
      </c>
      <c r="G2155" s="6">
        <v>125</v>
      </c>
      <c r="H2155" s="6" t="s">
        <v>14</v>
      </c>
      <c r="I2155" s="7">
        <v>32</v>
      </c>
      <c r="J2155" s="3" t="s">
        <v>4318</v>
      </c>
      <c r="K2155" s="8"/>
      <c r="L2155" s="9" t="s">
        <v>7321</v>
      </c>
      <c r="M2155" s="1"/>
    </row>
    <row r="2156" spans="1:14" x14ac:dyDescent="0.3">
      <c r="A2156" s="3">
        <v>11276050</v>
      </c>
      <c r="B2156" s="4" t="s">
        <v>8023</v>
      </c>
      <c r="C2156" s="5" t="s">
        <v>7323</v>
      </c>
      <c r="D2156" s="5" t="s">
        <v>5321</v>
      </c>
      <c r="E2156" s="3" t="s">
        <v>14</v>
      </c>
      <c r="F2156" s="6">
        <v>60</v>
      </c>
      <c r="G2156" s="6">
        <v>52</v>
      </c>
      <c r="H2156" s="6" t="s">
        <v>14</v>
      </c>
      <c r="I2156" s="7">
        <v>42</v>
      </c>
      <c r="J2156" s="3" t="s">
        <v>4318</v>
      </c>
      <c r="K2156" s="8"/>
      <c r="L2156" s="9" t="s">
        <v>7322</v>
      </c>
      <c r="M2156" s="1" t="s">
        <v>7438</v>
      </c>
    </row>
    <row r="2157" spans="1:14" x14ac:dyDescent="0.3">
      <c r="A2157" s="3">
        <v>11267051</v>
      </c>
      <c r="B2157" s="4" t="s">
        <v>8023</v>
      </c>
      <c r="C2157" s="5" t="s">
        <v>7641</v>
      </c>
      <c r="D2157" s="5" t="s">
        <v>96</v>
      </c>
      <c r="E2157" s="3" t="s">
        <v>7643</v>
      </c>
      <c r="F2157" s="6">
        <v>58</v>
      </c>
      <c r="G2157" s="6">
        <v>35.5</v>
      </c>
      <c r="H2157" s="6">
        <v>35.6</v>
      </c>
      <c r="I2157" s="7">
        <v>36</v>
      </c>
      <c r="J2157" s="3" t="s">
        <v>4318</v>
      </c>
      <c r="K2157" s="8">
        <v>1.38</v>
      </c>
      <c r="L2157" s="9" t="s">
        <v>7644</v>
      </c>
      <c r="M2157" s="1" t="s">
        <v>7648</v>
      </c>
    </row>
    <row r="2158" spans="1:14" x14ac:dyDescent="0.3">
      <c r="A2158" s="3">
        <v>11258052</v>
      </c>
      <c r="B2158" s="4" t="s">
        <v>8023</v>
      </c>
      <c r="C2158" s="5" t="s">
        <v>7642</v>
      </c>
      <c r="D2158" s="5" t="s">
        <v>96</v>
      </c>
      <c r="E2158" s="3" t="s">
        <v>7643</v>
      </c>
      <c r="F2158" s="6">
        <v>28</v>
      </c>
      <c r="G2158" s="6">
        <v>20.3</v>
      </c>
      <c r="H2158" s="6">
        <v>31.1</v>
      </c>
      <c r="I2158" s="7">
        <v>36</v>
      </c>
      <c r="J2158" s="3" t="s">
        <v>4318</v>
      </c>
      <c r="K2158" s="8">
        <v>0.53</v>
      </c>
      <c r="L2158" s="9" t="s">
        <v>7645</v>
      </c>
      <c r="M2158" s="1" t="s">
        <v>7649</v>
      </c>
    </row>
    <row r="2159" spans="1:14" x14ac:dyDescent="0.3">
      <c r="A2159" s="3">
        <v>11249053</v>
      </c>
      <c r="B2159" s="4" t="s">
        <v>8023</v>
      </c>
      <c r="C2159" s="5" t="s">
        <v>7647</v>
      </c>
      <c r="D2159" s="5" t="s">
        <v>74</v>
      </c>
      <c r="E2159" s="3" t="s">
        <v>14</v>
      </c>
      <c r="F2159" s="6">
        <v>123</v>
      </c>
      <c r="G2159" s="6">
        <v>60</v>
      </c>
      <c r="H2159" s="6" t="s">
        <v>14</v>
      </c>
      <c r="I2159" s="7">
        <v>36</v>
      </c>
      <c r="J2159" s="3" t="s">
        <v>4318</v>
      </c>
      <c r="K2159" s="8">
        <v>0.74</v>
      </c>
      <c r="L2159" s="9" t="s">
        <v>7646</v>
      </c>
      <c r="M2159" s="1" t="s">
        <v>7650</v>
      </c>
    </row>
    <row r="2160" spans="1:14" x14ac:dyDescent="0.3">
      <c r="A2160" s="3">
        <v>11240054</v>
      </c>
      <c r="B2160" s="4" t="s">
        <v>8023</v>
      </c>
      <c r="C2160" s="5" t="s">
        <v>8005</v>
      </c>
      <c r="D2160" s="5" t="s">
        <v>74</v>
      </c>
      <c r="E2160" s="3" t="s">
        <v>14</v>
      </c>
      <c r="F2160" s="6">
        <v>115.5</v>
      </c>
      <c r="G2160" s="6">
        <v>85</v>
      </c>
      <c r="H2160" s="6" t="s">
        <v>14</v>
      </c>
      <c r="I2160" s="7">
        <v>42</v>
      </c>
      <c r="J2160" s="3" t="s">
        <v>4318</v>
      </c>
      <c r="K2160" s="8">
        <v>0.98</v>
      </c>
      <c r="L2160" s="9" t="s">
        <v>8006</v>
      </c>
      <c r="M2160" s="1" t="s">
        <v>8007</v>
      </c>
    </row>
    <row r="2161" spans="1:13" x14ac:dyDescent="0.3">
      <c r="A2161" s="3">
        <v>40440001</v>
      </c>
      <c r="B2161" s="4" t="s">
        <v>6267</v>
      </c>
      <c r="C2161" s="5" t="s">
        <v>6274</v>
      </c>
      <c r="D2161" s="5" t="s">
        <v>682</v>
      </c>
      <c r="E2161" s="3" t="s">
        <v>6273</v>
      </c>
      <c r="F2161" s="6">
        <v>112.5</v>
      </c>
      <c r="G2161" s="6">
        <v>105</v>
      </c>
      <c r="H2161" s="6">
        <v>45</v>
      </c>
      <c r="I2161" s="7">
        <v>51</v>
      </c>
      <c r="J2161" s="3" t="s">
        <v>4318</v>
      </c>
      <c r="K2161" s="8">
        <v>3.04</v>
      </c>
      <c r="L2161" s="9" t="s">
        <v>6279</v>
      </c>
      <c r="M2161" s="1" t="s">
        <v>6289</v>
      </c>
    </row>
    <row r="2162" spans="1:13" x14ac:dyDescent="0.3">
      <c r="A2162" s="3">
        <v>40440002</v>
      </c>
      <c r="B2162" s="4" t="s">
        <v>6267</v>
      </c>
      <c r="C2162" s="5" t="s">
        <v>6275</v>
      </c>
      <c r="D2162" s="5" t="s">
        <v>74</v>
      </c>
      <c r="E2162" s="3" t="s">
        <v>6273</v>
      </c>
      <c r="F2162" s="6">
        <v>111</v>
      </c>
      <c r="G2162" s="6">
        <v>104</v>
      </c>
      <c r="H2162" s="6" t="s">
        <v>14</v>
      </c>
      <c r="I2162" s="7">
        <v>32</v>
      </c>
      <c r="J2162" s="3" t="s">
        <v>4317</v>
      </c>
      <c r="K2162" s="8">
        <v>1.1499999999999999</v>
      </c>
      <c r="L2162" s="9" t="s">
        <v>6280</v>
      </c>
      <c r="M2162" s="1" t="s">
        <v>6290</v>
      </c>
    </row>
    <row r="2163" spans="1:13" x14ac:dyDescent="0.3">
      <c r="A2163" s="3">
        <v>40440003</v>
      </c>
      <c r="B2163" s="4" t="s">
        <v>6267</v>
      </c>
      <c r="C2163" s="5" t="s">
        <v>6276</v>
      </c>
      <c r="D2163" s="5" t="s">
        <v>13</v>
      </c>
      <c r="E2163" s="3" t="s">
        <v>6273</v>
      </c>
      <c r="F2163" s="6">
        <v>115</v>
      </c>
      <c r="G2163" s="6">
        <v>108</v>
      </c>
      <c r="H2163" s="6">
        <v>10</v>
      </c>
      <c r="I2163" s="7">
        <v>42</v>
      </c>
      <c r="J2163" s="3" t="s">
        <v>4318</v>
      </c>
      <c r="K2163" s="8">
        <v>1.73</v>
      </c>
      <c r="L2163" s="9" t="s">
        <v>6281</v>
      </c>
      <c r="M2163" s="1" t="s">
        <v>6291</v>
      </c>
    </row>
    <row r="2164" spans="1:13" x14ac:dyDescent="0.3">
      <c r="A2164" s="3">
        <v>40440004</v>
      </c>
      <c r="B2164" s="4" t="s">
        <v>6267</v>
      </c>
      <c r="C2164" s="5" t="s">
        <v>6277</v>
      </c>
      <c r="D2164" s="5" t="s">
        <v>5145</v>
      </c>
      <c r="E2164" s="3" t="s">
        <v>6273</v>
      </c>
      <c r="F2164" s="6">
        <v>3</v>
      </c>
      <c r="G2164" s="6">
        <v>3</v>
      </c>
      <c r="H2164" s="6">
        <v>45</v>
      </c>
      <c r="I2164" s="7" t="s">
        <v>14</v>
      </c>
      <c r="J2164" s="3" t="s">
        <v>14</v>
      </c>
      <c r="K2164" s="8" t="s">
        <v>14</v>
      </c>
      <c r="L2164" s="9" t="s">
        <v>6282</v>
      </c>
      <c r="M2164" s="1" t="s">
        <v>6292</v>
      </c>
    </row>
    <row r="2165" spans="1:13" x14ac:dyDescent="0.3">
      <c r="A2165" s="3">
        <v>40440005</v>
      </c>
      <c r="B2165" s="4" t="s">
        <v>6267</v>
      </c>
      <c r="C2165" s="5" t="s">
        <v>6278</v>
      </c>
      <c r="D2165" s="5" t="s">
        <v>613</v>
      </c>
      <c r="E2165" s="3" t="s">
        <v>6273</v>
      </c>
      <c r="F2165" s="6" t="s">
        <v>6299</v>
      </c>
      <c r="G2165" s="6" t="s">
        <v>6300</v>
      </c>
      <c r="H2165" s="6" t="s">
        <v>14</v>
      </c>
      <c r="I2165" s="7" t="s">
        <v>14</v>
      </c>
      <c r="J2165" s="3" t="s">
        <v>14</v>
      </c>
      <c r="K2165" s="8" t="s">
        <v>14</v>
      </c>
      <c r="L2165" s="9" t="s">
        <v>6283</v>
      </c>
      <c r="M2165" s="1" t="s">
        <v>6293</v>
      </c>
    </row>
    <row r="2166" spans="1:13" x14ac:dyDescent="0.3">
      <c r="A2166" s="3">
        <v>40440006</v>
      </c>
      <c r="B2166" s="4" t="s">
        <v>6267</v>
      </c>
      <c r="C2166" s="5" t="s">
        <v>6266</v>
      </c>
      <c r="D2166" s="5" t="s">
        <v>682</v>
      </c>
      <c r="E2166" s="3" t="s">
        <v>6272</v>
      </c>
      <c r="F2166" s="6">
        <v>73</v>
      </c>
      <c r="G2166" s="6">
        <v>73</v>
      </c>
      <c r="H2166" s="6">
        <v>81.5</v>
      </c>
      <c r="I2166" s="7">
        <v>51</v>
      </c>
      <c r="J2166" s="3" t="s">
        <v>4318</v>
      </c>
      <c r="K2166" s="8">
        <v>3.01</v>
      </c>
      <c r="L2166" s="9" t="s">
        <v>6284</v>
      </c>
      <c r="M2166" s="1" t="s">
        <v>6294</v>
      </c>
    </row>
    <row r="2167" spans="1:13" x14ac:dyDescent="0.3">
      <c r="A2167" s="3">
        <v>40440007</v>
      </c>
      <c r="B2167" s="4" t="s">
        <v>6267</v>
      </c>
      <c r="C2167" s="5" t="s">
        <v>6268</v>
      </c>
      <c r="D2167" s="5" t="s">
        <v>13</v>
      </c>
      <c r="E2167" s="3" t="s">
        <v>6272</v>
      </c>
      <c r="F2167" s="6">
        <v>74.5</v>
      </c>
      <c r="G2167" s="6">
        <v>74.5</v>
      </c>
      <c r="H2167" s="6">
        <v>10</v>
      </c>
      <c r="I2167" s="7">
        <v>42</v>
      </c>
      <c r="J2167" s="3" t="s">
        <v>4318</v>
      </c>
      <c r="K2167" s="8">
        <v>0.89</v>
      </c>
      <c r="L2167" s="9" t="s">
        <v>6285</v>
      </c>
      <c r="M2167" s="1" t="s">
        <v>6295</v>
      </c>
    </row>
    <row r="2168" spans="1:13" x14ac:dyDescent="0.3">
      <c r="A2168" s="3">
        <v>40440008</v>
      </c>
      <c r="B2168" s="4" t="s">
        <v>6267</v>
      </c>
      <c r="C2168" s="5" t="s">
        <v>6269</v>
      </c>
      <c r="D2168" s="5" t="s">
        <v>74</v>
      </c>
      <c r="E2168" s="3" t="s">
        <v>6272</v>
      </c>
      <c r="F2168" s="6">
        <v>71.5</v>
      </c>
      <c r="G2168" s="6">
        <v>71.5</v>
      </c>
      <c r="H2168" s="6" t="s">
        <v>14</v>
      </c>
      <c r="I2168" s="7">
        <v>32</v>
      </c>
      <c r="J2168" s="3" t="s">
        <v>4317</v>
      </c>
      <c r="K2168" s="8">
        <v>0.51</v>
      </c>
      <c r="L2168" s="9" t="s">
        <v>6286</v>
      </c>
      <c r="M2168" s="1" t="s">
        <v>6296</v>
      </c>
    </row>
    <row r="2169" spans="1:13" x14ac:dyDescent="0.3">
      <c r="A2169" s="3">
        <v>40440009</v>
      </c>
      <c r="B2169" s="4" t="s">
        <v>6267</v>
      </c>
      <c r="C2169" s="5" t="s">
        <v>6270</v>
      </c>
      <c r="D2169" s="5" t="s">
        <v>5145</v>
      </c>
      <c r="E2169" s="3" t="s">
        <v>6272</v>
      </c>
      <c r="F2169" s="6">
        <v>3</v>
      </c>
      <c r="G2169" s="6">
        <v>3</v>
      </c>
      <c r="H2169" s="6">
        <v>45</v>
      </c>
      <c r="I2169" s="7" t="s">
        <v>14</v>
      </c>
      <c r="J2169" s="3" t="s">
        <v>14</v>
      </c>
      <c r="K2169" s="8" t="s">
        <v>14</v>
      </c>
      <c r="L2169" s="9" t="s">
        <v>6287</v>
      </c>
      <c r="M2169" s="1" t="s">
        <v>6297</v>
      </c>
    </row>
    <row r="2170" spans="1:13" x14ac:dyDescent="0.3">
      <c r="A2170" s="3">
        <v>40440010</v>
      </c>
      <c r="B2170" s="4" t="s">
        <v>6267</v>
      </c>
      <c r="C2170" s="5" t="s">
        <v>6271</v>
      </c>
      <c r="D2170" s="5" t="s">
        <v>613</v>
      </c>
      <c r="E2170" s="3" t="s">
        <v>6272</v>
      </c>
      <c r="F2170" s="6" t="s">
        <v>6301</v>
      </c>
      <c r="G2170" s="6" t="s">
        <v>6301</v>
      </c>
      <c r="H2170" s="6" t="s">
        <v>14</v>
      </c>
      <c r="I2170" s="7" t="s">
        <v>14</v>
      </c>
      <c r="J2170" s="3" t="s">
        <v>14</v>
      </c>
      <c r="K2170" s="8" t="s">
        <v>14</v>
      </c>
      <c r="L2170" s="9" t="s">
        <v>6288</v>
      </c>
      <c r="M2170" s="1" t="s">
        <v>6298</v>
      </c>
    </row>
    <row r="2171" spans="1:13" x14ac:dyDescent="0.3">
      <c r="A2171" s="3">
        <v>9214001</v>
      </c>
      <c r="B2171" s="4" t="s">
        <v>3465</v>
      </c>
      <c r="C2171" s="5" t="s">
        <v>3466</v>
      </c>
      <c r="D2171" s="5" t="s">
        <v>392</v>
      </c>
      <c r="E2171" s="3" t="s">
        <v>3467</v>
      </c>
      <c r="F2171" s="6">
        <v>145.9</v>
      </c>
      <c r="G2171" s="6">
        <v>95</v>
      </c>
      <c r="H2171" s="6">
        <v>15.7</v>
      </c>
      <c r="I2171" s="7" t="s">
        <v>4316</v>
      </c>
      <c r="J2171" s="3" t="s">
        <v>4318</v>
      </c>
      <c r="K2171" s="8" t="s">
        <v>4697</v>
      </c>
      <c r="L2171" s="9" t="s">
        <v>3468</v>
      </c>
      <c r="M2171" s="24" t="s">
        <v>3469</v>
      </c>
    </row>
    <row r="2172" spans="1:13" x14ac:dyDescent="0.3">
      <c r="A2172" s="3">
        <v>9228002</v>
      </c>
      <c r="B2172" s="4" t="s">
        <v>3465</v>
      </c>
      <c r="C2172" s="5" t="s">
        <v>3470</v>
      </c>
      <c r="D2172" s="5" t="s">
        <v>552</v>
      </c>
      <c r="E2172" s="3" t="s">
        <v>3471</v>
      </c>
      <c r="F2172" s="6">
        <v>59.6</v>
      </c>
      <c r="G2172" s="6">
        <v>129.5</v>
      </c>
      <c r="H2172" s="6">
        <v>0</v>
      </c>
      <c r="I2172" s="7" t="s">
        <v>4316</v>
      </c>
      <c r="J2172" s="3" t="s">
        <v>4318</v>
      </c>
      <c r="K2172" s="8" t="s">
        <v>4623</v>
      </c>
      <c r="L2172" s="9" t="s">
        <v>3472</v>
      </c>
      <c r="M2172" s="1" t="s">
        <v>3473</v>
      </c>
    </row>
    <row r="2173" spans="1:13" x14ac:dyDescent="0.3">
      <c r="A2173" s="3">
        <v>9210003</v>
      </c>
      <c r="B2173" s="4" t="s">
        <v>3465</v>
      </c>
      <c r="C2173" s="5" t="s">
        <v>3474</v>
      </c>
      <c r="D2173" s="5" t="s">
        <v>96</v>
      </c>
      <c r="E2173" s="3" t="s">
        <v>3474</v>
      </c>
      <c r="F2173" s="6">
        <v>43.5</v>
      </c>
      <c r="G2173" s="6">
        <v>41.8</v>
      </c>
      <c r="H2173" s="6">
        <v>36.200000000000003</v>
      </c>
      <c r="I2173" s="7" t="s">
        <v>4446</v>
      </c>
      <c r="J2173" s="3" t="s">
        <v>4318</v>
      </c>
      <c r="K2173" s="8" t="s">
        <v>4364</v>
      </c>
      <c r="L2173" s="9" t="s">
        <v>3475</v>
      </c>
      <c r="M2173" s="1" t="s">
        <v>3477</v>
      </c>
    </row>
    <row r="2174" spans="1:13" x14ac:dyDescent="0.3">
      <c r="A2174" s="3">
        <v>9192004</v>
      </c>
      <c r="B2174" s="4" t="s">
        <v>3465</v>
      </c>
      <c r="C2174" s="5" t="s">
        <v>14</v>
      </c>
      <c r="D2174" s="5" t="s">
        <v>14</v>
      </c>
      <c r="E2174" s="3" t="s">
        <v>14</v>
      </c>
      <c r="F2174" s="6" t="s">
        <v>14</v>
      </c>
      <c r="G2174" s="6" t="s">
        <v>14</v>
      </c>
      <c r="H2174" s="6" t="s">
        <v>14</v>
      </c>
      <c r="I2174" s="7" t="s">
        <v>14</v>
      </c>
      <c r="J2174" s="3" t="s">
        <v>14</v>
      </c>
      <c r="K2174" s="8" t="s">
        <v>14</v>
      </c>
      <c r="L2174" s="9" t="s">
        <v>3476</v>
      </c>
      <c r="M2174" s="1"/>
    </row>
    <row r="2175" spans="1:13" x14ac:dyDescent="0.3">
      <c r="A2175" s="3">
        <v>9210005</v>
      </c>
      <c r="B2175" s="4" t="s">
        <v>3465</v>
      </c>
      <c r="C2175" s="5" t="s">
        <v>3478</v>
      </c>
      <c r="D2175" s="5" t="s">
        <v>96</v>
      </c>
      <c r="E2175" s="3" t="s">
        <v>3478</v>
      </c>
      <c r="F2175" s="6">
        <v>91.9</v>
      </c>
      <c r="G2175" s="6">
        <v>76.7</v>
      </c>
      <c r="H2175" s="6">
        <v>52.2</v>
      </c>
      <c r="I2175" s="7" t="s">
        <v>4473</v>
      </c>
      <c r="J2175" s="3" t="s">
        <v>4317</v>
      </c>
      <c r="K2175" s="8" t="s">
        <v>4749</v>
      </c>
      <c r="L2175" s="9" t="s">
        <v>3479</v>
      </c>
      <c r="M2175" s="1" t="s">
        <v>3480</v>
      </c>
    </row>
    <row r="2176" spans="1:13" x14ac:dyDescent="0.3">
      <c r="A2176" s="3">
        <v>9210006</v>
      </c>
      <c r="B2176" s="4" t="s">
        <v>3465</v>
      </c>
      <c r="C2176" s="5" t="s">
        <v>3481</v>
      </c>
      <c r="D2176" s="5" t="s">
        <v>96</v>
      </c>
      <c r="E2176" s="3" t="s">
        <v>3481</v>
      </c>
      <c r="F2176" s="6">
        <v>81.8</v>
      </c>
      <c r="G2176" s="6">
        <v>71.599999999999994</v>
      </c>
      <c r="H2176" s="6">
        <v>52.2</v>
      </c>
      <c r="I2176" s="7" t="s">
        <v>4473</v>
      </c>
      <c r="J2176" s="3" t="s">
        <v>4317</v>
      </c>
      <c r="K2176" s="8" t="s">
        <v>4633</v>
      </c>
      <c r="L2176" s="9" t="s">
        <v>3482</v>
      </c>
      <c r="M2176" s="1" t="s">
        <v>3483</v>
      </c>
    </row>
    <row r="2177" spans="1:13" x14ac:dyDescent="0.3">
      <c r="A2177" s="3">
        <v>9210007</v>
      </c>
      <c r="B2177" s="4" t="s">
        <v>3465</v>
      </c>
      <c r="C2177" s="5" t="s">
        <v>3484</v>
      </c>
      <c r="D2177" s="5" t="s">
        <v>96</v>
      </c>
      <c r="E2177" s="3" t="s">
        <v>3484</v>
      </c>
      <c r="F2177" s="6">
        <v>64</v>
      </c>
      <c r="G2177" s="6">
        <v>43.7</v>
      </c>
      <c r="H2177" s="6">
        <v>54.1</v>
      </c>
      <c r="I2177" s="7" t="s">
        <v>4748</v>
      </c>
      <c r="J2177" s="3" t="s">
        <v>4317</v>
      </c>
      <c r="K2177" s="8" t="s">
        <v>4728</v>
      </c>
      <c r="L2177" s="9" t="s">
        <v>3485</v>
      </c>
      <c r="M2177" s="1" t="s">
        <v>3486</v>
      </c>
    </row>
    <row r="2178" spans="1:13" x14ac:dyDescent="0.3">
      <c r="A2178" s="3">
        <v>9210008</v>
      </c>
      <c r="B2178" s="4" t="s">
        <v>3465</v>
      </c>
      <c r="C2178" s="5" t="s">
        <v>7570</v>
      </c>
      <c r="D2178" s="5" t="s">
        <v>7571</v>
      </c>
      <c r="E2178" s="3" t="s">
        <v>14</v>
      </c>
      <c r="F2178" s="6">
        <v>122</v>
      </c>
      <c r="G2178" s="6">
        <v>122</v>
      </c>
      <c r="H2178" s="6" t="s">
        <v>14</v>
      </c>
      <c r="I2178" s="7">
        <v>42</v>
      </c>
      <c r="J2178" s="3" t="s">
        <v>4318</v>
      </c>
      <c r="K2178" s="8" t="s">
        <v>14</v>
      </c>
      <c r="L2178" s="9" t="s">
        <v>7575</v>
      </c>
      <c r="M2178" s="1" t="s">
        <v>7579</v>
      </c>
    </row>
    <row r="2179" spans="1:13" x14ac:dyDescent="0.3">
      <c r="A2179" s="3">
        <v>9210009</v>
      </c>
      <c r="B2179" s="4" t="s">
        <v>3465</v>
      </c>
      <c r="C2179" s="5" t="s">
        <v>7572</v>
      </c>
      <c r="D2179" s="5" t="s">
        <v>7571</v>
      </c>
      <c r="E2179" s="3" t="s">
        <v>14</v>
      </c>
      <c r="F2179" s="6">
        <v>124.5</v>
      </c>
      <c r="G2179" s="6">
        <v>124.5</v>
      </c>
      <c r="H2179" s="6" t="s">
        <v>14</v>
      </c>
      <c r="I2179" s="7">
        <v>42</v>
      </c>
      <c r="J2179" s="3" t="s">
        <v>4318</v>
      </c>
      <c r="K2179" s="8" t="s">
        <v>14</v>
      </c>
      <c r="L2179" s="9" t="s">
        <v>7576</v>
      </c>
      <c r="M2179" s="1" t="s">
        <v>7580</v>
      </c>
    </row>
    <row r="2180" spans="1:13" x14ac:dyDescent="0.3">
      <c r="A2180" s="3">
        <v>9210010</v>
      </c>
      <c r="B2180" s="4" t="s">
        <v>3465</v>
      </c>
      <c r="C2180" s="5" t="s">
        <v>7573</v>
      </c>
      <c r="D2180" s="5" t="s">
        <v>7571</v>
      </c>
      <c r="E2180" s="3" t="s">
        <v>14</v>
      </c>
      <c r="F2180" s="6">
        <v>106.7</v>
      </c>
      <c r="G2180" s="6">
        <v>106.7</v>
      </c>
      <c r="H2180" s="6" t="s">
        <v>14</v>
      </c>
      <c r="I2180" s="7">
        <v>42</v>
      </c>
      <c r="J2180" s="3" t="s">
        <v>4318</v>
      </c>
      <c r="K2180" s="8" t="s">
        <v>14</v>
      </c>
      <c r="L2180" s="9" t="s">
        <v>7577</v>
      </c>
      <c r="M2180" s="1" t="s">
        <v>7581</v>
      </c>
    </row>
    <row r="2181" spans="1:13" x14ac:dyDescent="0.3">
      <c r="A2181" s="3">
        <v>9210011</v>
      </c>
      <c r="B2181" s="4" t="s">
        <v>3465</v>
      </c>
      <c r="C2181" s="5" t="s">
        <v>7574</v>
      </c>
      <c r="D2181" s="5" t="s">
        <v>7571</v>
      </c>
      <c r="E2181" s="3" t="s">
        <v>14</v>
      </c>
      <c r="F2181" s="6">
        <v>94</v>
      </c>
      <c r="G2181" s="6">
        <v>144.80000000000001</v>
      </c>
      <c r="H2181" s="6" t="s">
        <v>14</v>
      </c>
      <c r="I2181" s="7">
        <v>42</v>
      </c>
      <c r="J2181" s="3" t="s">
        <v>4318</v>
      </c>
      <c r="K2181" s="8" t="s">
        <v>14</v>
      </c>
      <c r="L2181" s="9" t="s">
        <v>7578</v>
      </c>
      <c r="M2181" s="1" t="s">
        <v>7582</v>
      </c>
    </row>
    <row r="2182" spans="1:13" x14ac:dyDescent="0.3">
      <c r="A2182" s="3">
        <v>3813001</v>
      </c>
      <c r="B2182" s="4" t="s">
        <v>3487</v>
      </c>
      <c r="C2182" s="5" t="s">
        <v>3488</v>
      </c>
      <c r="D2182" s="5" t="s">
        <v>2584</v>
      </c>
      <c r="E2182" s="3" t="s">
        <v>14</v>
      </c>
      <c r="F2182" s="6">
        <v>187.7</v>
      </c>
      <c r="G2182" s="6">
        <v>134</v>
      </c>
      <c r="H2182" s="6">
        <v>0</v>
      </c>
      <c r="I2182" s="7" t="s">
        <v>4315</v>
      </c>
      <c r="J2182" s="3" t="s">
        <v>4317</v>
      </c>
      <c r="K2182" s="8" t="s">
        <v>4750</v>
      </c>
      <c r="L2182" s="9" t="s">
        <v>3489</v>
      </c>
      <c r="M2182" s="1" t="s">
        <v>3490</v>
      </c>
    </row>
    <row r="2183" spans="1:13" x14ac:dyDescent="0.3">
      <c r="A2183" s="3">
        <v>3813002</v>
      </c>
      <c r="B2183" s="4" t="s">
        <v>3487</v>
      </c>
      <c r="C2183" s="5" t="s">
        <v>3491</v>
      </c>
      <c r="D2183" s="5" t="s">
        <v>2584</v>
      </c>
      <c r="E2183" s="3" t="s">
        <v>14</v>
      </c>
      <c r="F2183" s="6">
        <v>210.9</v>
      </c>
      <c r="G2183" s="6">
        <v>134</v>
      </c>
      <c r="H2183" s="6">
        <v>0</v>
      </c>
      <c r="I2183" s="7" t="s">
        <v>4315</v>
      </c>
      <c r="J2183" s="3" t="s">
        <v>4317</v>
      </c>
      <c r="K2183" s="8" t="s">
        <v>4668</v>
      </c>
      <c r="L2183" s="9" t="s">
        <v>3492</v>
      </c>
      <c r="M2183" s="1" t="s">
        <v>3493</v>
      </c>
    </row>
    <row r="2184" spans="1:13" x14ac:dyDescent="0.3">
      <c r="A2184" s="3">
        <v>990001</v>
      </c>
      <c r="B2184" s="4" t="s">
        <v>6318</v>
      </c>
      <c r="C2184" s="5" t="s">
        <v>6319</v>
      </c>
      <c r="D2184" s="5" t="s">
        <v>13</v>
      </c>
      <c r="E2184" s="3" t="s">
        <v>14</v>
      </c>
      <c r="F2184" s="6">
        <v>55</v>
      </c>
      <c r="G2184" s="6">
        <v>108.5</v>
      </c>
      <c r="H2184" s="6">
        <v>5</v>
      </c>
      <c r="I2184" s="7">
        <v>51</v>
      </c>
      <c r="J2184" s="3" t="s">
        <v>4318</v>
      </c>
      <c r="K2184" s="8">
        <v>0.77</v>
      </c>
      <c r="L2184" s="9" t="s">
        <v>6320</v>
      </c>
      <c r="M2184" s="1" t="s">
        <v>6321</v>
      </c>
    </row>
    <row r="2185" spans="1:13" x14ac:dyDescent="0.3">
      <c r="A2185" s="3">
        <v>990002</v>
      </c>
      <c r="B2185" s="4" t="s">
        <v>6318</v>
      </c>
      <c r="C2185" s="5" t="s">
        <v>6542</v>
      </c>
      <c r="D2185" s="5" t="s">
        <v>491</v>
      </c>
      <c r="E2185" s="3" t="s">
        <v>14</v>
      </c>
      <c r="F2185" s="6">
        <v>66.5</v>
      </c>
      <c r="G2185" s="6">
        <v>75.5</v>
      </c>
      <c r="H2185" s="6">
        <v>6.5</v>
      </c>
      <c r="I2185" s="7">
        <v>42</v>
      </c>
      <c r="J2185" s="3" t="s">
        <v>4318</v>
      </c>
      <c r="K2185" s="8"/>
      <c r="L2185" s="9" t="s">
        <v>6550</v>
      </c>
      <c r="M2185" s="1"/>
    </row>
    <row r="2186" spans="1:13" x14ac:dyDescent="0.3">
      <c r="A2186" s="3">
        <v>990003</v>
      </c>
      <c r="B2186" s="4" t="s">
        <v>6318</v>
      </c>
      <c r="C2186" s="5" t="s">
        <v>6543</v>
      </c>
      <c r="D2186" s="5" t="s">
        <v>491</v>
      </c>
      <c r="E2186" s="3" t="s">
        <v>14</v>
      </c>
      <c r="F2186" s="6">
        <v>67</v>
      </c>
      <c r="G2186" s="6">
        <v>75.5</v>
      </c>
      <c r="H2186" s="6">
        <v>7.8</v>
      </c>
      <c r="I2186" s="7">
        <v>42</v>
      </c>
      <c r="J2186" s="3" t="s">
        <v>4318</v>
      </c>
      <c r="K2186" s="8"/>
      <c r="L2186" s="9" t="s">
        <v>6551</v>
      </c>
      <c r="M2186" s="1"/>
    </row>
    <row r="2187" spans="1:13" x14ac:dyDescent="0.3">
      <c r="A2187" s="3">
        <v>990004</v>
      </c>
      <c r="B2187" s="4" t="s">
        <v>6318</v>
      </c>
      <c r="C2187" s="5" t="s">
        <v>6545</v>
      </c>
      <c r="D2187" s="5" t="s">
        <v>2654</v>
      </c>
      <c r="E2187" s="3" t="s">
        <v>14</v>
      </c>
      <c r="F2187" s="6">
        <v>64.599999999999994</v>
      </c>
      <c r="G2187" s="6">
        <v>76.7</v>
      </c>
      <c r="H2187" s="6">
        <v>28.4</v>
      </c>
      <c r="I2187" s="7">
        <v>32</v>
      </c>
      <c r="J2187" s="3" t="s">
        <v>4317</v>
      </c>
      <c r="K2187" s="8">
        <v>1.62</v>
      </c>
      <c r="L2187" s="9" t="s">
        <v>6552</v>
      </c>
      <c r="M2187" s="1"/>
    </row>
    <row r="2188" spans="1:13" x14ac:dyDescent="0.3">
      <c r="A2188" s="3">
        <v>990005</v>
      </c>
      <c r="B2188" s="4" t="s">
        <v>6318</v>
      </c>
      <c r="C2188" s="5" t="s">
        <v>6545</v>
      </c>
      <c r="D2188" s="5" t="s">
        <v>392</v>
      </c>
      <c r="E2188" s="3" t="s">
        <v>14</v>
      </c>
      <c r="F2188" s="6">
        <v>66.599999999999994</v>
      </c>
      <c r="G2188" s="6">
        <v>78.2</v>
      </c>
      <c r="H2188" s="6">
        <v>28.4</v>
      </c>
      <c r="I2188" s="7">
        <v>32</v>
      </c>
      <c r="J2188" s="3" t="s">
        <v>4317</v>
      </c>
      <c r="K2188" s="8">
        <v>1.67</v>
      </c>
      <c r="L2188" s="9" t="s">
        <v>6553</v>
      </c>
      <c r="M2188" s="1"/>
    </row>
    <row r="2189" spans="1:13" x14ac:dyDescent="0.3">
      <c r="A2189" s="3">
        <v>990006</v>
      </c>
      <c r="B2189" s="4" t="s">
        <v>6318</v>
      </c>
      <c r="C2189" s="5" t="s">
        <v>6544</v>
      </c>
      <c r="D2189" s="5" t="s">
        <v>2654</v>
      </c>
      <c r="E2189" s="3" t="s">
        <v>14</v>
      </c>
      <c r="F2189" s="6">
        <v>64</v>
      </c>
      <c r="G2189" s="6">
        <v>76.599999999999994</v>
      </c>
      <c r="H2189" s="6">
        <v>36.5</v>
      </c>
      <c r="I2189" s="7">
        <v>32</v>
      </c>
      <c r="J2189" s="3" t="s">
        <v>4317</v>
      </c>
      <c r="K2189" s="8">
        <v>2.08</v>
      </c>
      <c r="L2189" s="9" t="s">
        <v>6554</v>
      </c>
      <c r="M2189" s="1"/>
    </row>
    <row r="2190" spans="1:13" x14ac:dyDescent="0.3">
      <c r="A2190" s="3">
        <v>990007</v>
      </c>
      <c r="B2190" s="4" t="s">
        <v>6318</v>
      </c>
      <c r="C2190" s="5" t="s">
        <v>6544</v>
      </c>
      <c r="D2190" s="5" t="s">
        <v>392</v>
      </c>
      <c r="E2190" s="3" t="s">
        <v>14</v>
      </c>
      <c r="F2190" s="6">
        <v>64</v>
      </c>
      <c r="G2190" s="6">
        <v>76.599999999999994</v>
      </c>
      <c r="H2190" s="6"/>
      <c r="I2190" s="7"/>
      <c r="J2190" s="3"/>
      <c r="K2190" s="8"/>
      <c r="L2190" s="9" t="s">
        <v>6555</v>
      </c>
      <c r="M2190" s="1"/>
    </row>
    <row r="2191" spans="1:13" x14ac:dyDescent="0.3">
      <c r="A2191" s="3">
        <v>990008</v>
      </c>
      <c r="B2191" s="4" t="s">
        <v>6318</v>
      </c>
      <c r="C2191" s="5" t="s">
        <v>6547</v>
      </c>
      <c r="D2191" s="5" t="s">
        <v>2654</v>
      </c>
      <c r="E2191" s="3" t="s">
        <v>14</v>
      </c>
      <c r="F2191" s="6"/>
      <c r="G2191" s="6"/>
      <c r="H2191" s="6"/>
      <c r="I2191" s="7"/>
      <c r="J2191" s="3"/>
      <c r="K2191" s="8"/>
      <c r="L2191" s="9" t="s">
        <v>6556</v>
      </c>
      <c r="M2191" s="1"/>
    </row>
    <row r="2192" spans="1:13" x14ac:dyDescent="0.3">
      <c r="A2192" s="3">
        <v>990009</v>
      </c>
      <c r="B2192" s="4" t="s">
        <v>6318</v>
      </c>
      <c r="C2192" s="5" t="s">
        <v>6547</v>
      </c>
      <c r="D2192" s="5" t="s">
        <v>392</v>
      </c>
      <c r="E2192" s="3" t="s">
        <v>14</v>
      </c>
      <c r="F2192" s="6"/>
      <c r="G2192" s="6"/>
      <c r="H2192" s="6"/>
      <c r="I2192" s="7"/>
      <c r="J2192" s="3"/>
      <c r="K2192" s="8"/>
      <c r="L2192" s="9" t="s">
        <v>6557</v>
      </c>
      <c r="M2192" s="1"/>
    </row>
    <row r="2193" spans="1:13" x14ac:dyDescent="0.3">
      <c r="A2193" s="3">
        <v>990010</v>
      </c>
      <c r="B2193" s="4" t="s">
        <v>6318</v>
      </c>
      <c r="C2193" s="5" t="s">
        <v>6548</v>
      </c>
      <c r="D2193" s="5" t="s">
        <v>491</v>
      </c>
      <c r="E2193" s="3" t="s">
        <v>14</v>
      </c>
      <c r="F2193" s="6"/>
      <c r="G2193" s="6"/>
      <c r="H2193" s="6"/>
      <c r="I2193" s="7"/>
      <c r="J2193" s="3"/>
      <c r="K2193" s="8"/>
      <c r="L2193" s="9" t="s">
        <v>6558</v>
      </c>
      <c r="M2193" s="1"/>
    </row>
    <row r="2194" spans="1:13" x14ac:dyDescent="0.3">
      <c r="A2194" s="3">
        <v>990011</v>
      </c>
      <c r="B2194" s="4" t="s">
        <v>6318</v>
      </c>
      <c r="C2194" s="5" t="s">
        <v>6549</v>
      </c>
      <c r="D2194" s="5" t="s">
        <v>491</v>
      </c>
      <c r="E2194" s="3" t="s">
        <v>14</v>
      </c>
      <c r="F2194" s="6"/>
      <c r="G2194" s="6"/>
      <c r="H2194" s="6"/>
      <c r="I2194" s="7"/>
      <c r="J2194" s="3"/>
      <c r="K2194" s="8"/>
      <c r="L2194" s="9" t="s">
        <v>6559</v>
      </c>
      <c r="M2194" s="1"/>
    </row>
    <row r="2195" spans="1:13" x14ac:dyDescent="0.3">
      <c r="A2195" s="3">
        <v>990012</v>
      </c>
      <c r="B2195" s="4" t="s">
        <v>6318</v>
      </c>
      <c r="C2195" s="5" t="s">
        <v>6567</v>
      </c>
      <c r="D2195" s="5" t="s">
        <v>491</v>
      </c>
      <c r="E2195" s="3" t="s">
        <v>14</v>
      </c>
      <c r="F2195" s="6">
        <v>109</v>
      </c>
      <c r="G2195" s="6">
        <v>91.7</v>
      </c>
      <c r="H2195" s="6">
        <v>6.6</v>
      </c>
      <c r="I2195" s="7">
        <v>32</v>
      </c>
      <c r="J2195" s="3" t="s">
        <v>4317</v>
      </c>
      <c r="K2195" s="8">
        <v>2.4</v>
      </c>
      <c r="L2195" s="9" t="s">
        <v>6560</v>
      </c>
      <c r="M2195" s="1"/>
    </row>
    <row r="2196" spans="1:13" x14ac:dyDescent="0.3">
      <c r="A2196" s="3">
        <v>990013</v>
      </c>
      <c r="B2196" s="4" t="s">
        <v>6318</v>
      </c>
      <c r="C2196" s="5" t="s">
        <v>6568</v>
      </c>
      <c r="D2196" s="5" t="s">
        <v>491</v>
      </c>
      <c r="E2196" s="3" t="s">
        <v>14</v>
      </c>
      <c r="F2196" s="6">
        <v>73</v>
      </c>
      <c r="G2196" s="6">
        <v>45.5</v>
      </c>
      <c r="H2196" s="6">
        <v>5.6</v>
      </c>
      <c r="I2196" s="7">
        <v>32</v>
      </c>
      <c r="J2196" s="3" t="s">
        <v>4317</v>
      </c>
      <c r="K2196" s="8">
        <v>0.93</v>
      </c>
      <c r="L2196" s="9" t="s">
        <v>6569</v>
      </c>
      <c r="M2196" s="1"/>
    </row>
    <row r="2197" spans="1:13" x14ac:dyDescent="0.3">
      <c r="A2197" s="3">
        <v>990014</v>
      </c>
      <c r="B2197" s="4" t="s">
        <v>6318</v>
      </c>
      <c r="C2197" s="5" t="s">
        <v>6571</v>
      </c>
      <c r="D2197" s="5" t="s">
        <v>491</v>
      </c>
      <c r="E2197" s="3" t="s">
        <v>14</v>
      </c>
      <c r="F2197" s="6">
        <v>38.5</v>
      </c>
      <c r="G2197" s="6">
        <v>25.1</v>
      </c>
      <c r="H2197" s="6">
        <v>5.3</v>
      </c>
      <c r="I2197" s="7">
        <v>32</v>
      </c>
      <c r="J2197" s="3" t="s">
        <v>4317</v>
      </c>
      <c r="K2197" s="8">
        <v>0.5</v>
      </c>
      <c r="L2197" s="9" t="s">
        <v>6570</v>
      </c>
      <c r="M2197" s="1"/>
    </row>
    <row r="2198" spans="1:13" x14ac:dyDescent="0.3">
      <c r="A2198" s="3">
        <v>990015</v>
      </c>
      <c r="B2198" s="4" t="s">
        <v>6318</v>
      </c>
      <c r="C2198" s="5" t="s">
        <v>6572</v>
      </c>
      <c r="D2198" s="5" t="s">
        <v>491</v>
      </c>
      <c r="E2198" s="3" t="s">
        <v>14</v>
      </c>
      <c r="F2198" s="6"/>
      <c r="G2198" s="6"/>
      <c r="H2198" s="6"/>
      <c r="I2198" s="7"/>
      <c r="J2198" s="3"/>
      <c r="K2198" s="8"/>
      <c r="L2198" s="9" t="s">
        <v>7349</v>
      </c>
      <c r="M2198" s="1"/>
    </row>
    <row r="2199" spans="1:13" x14ac:dyDescent="0.3">
      <c r="A2199" s="3">
        <v>990016</v>
      </c>
      <c r="B2199" s="4" t="s">
        <v>6318</v>
      </c>
      <c r="C2199" s="5" t="s">
        <v>7347</v>
      </c>
      <c r="D2199" s="5" t="s">
        <v>491</v>
      </c>
      <c r="E2199" s="3" t="s">
        <v>14</v>
      </c>
      <c r="F2199" s="6">
        <v>77</v>
      </c>
      <c r="G2199" s="6">
        <v>25</v>
      </c>
      <c r="H2199" s="6">
        <v>64.5</v>
      </c>
      <c r="I2199" s="7">
        <v>32</v>
      </c>
      <c r="J2199" s="3" t="s">
        <v>4317</v>
      </c>
      <c r="K2199" s="8"/>
      <c r="L2199" s="9" t="s">
        <v>7350</v>
      </c>
      <c r="M2199" s="1"/>
    </row>
    <row r="2200" spans="1:13" x14ac:dyDescent="0.3">
      <c r="A2200" s="3">
        <v>990017</v>
      </c>
      <c r="B2200" s="4" t="s">
        <v>6318</v>
      </c>
      <c r="C2200" s="5" t="s">
        <v>7348</v>
      </c>
      <c r="D2200" s="5" t="s">
        <v>491</v>
      </c>
      <c r="E2200" s="3" t="s">
        <v>14</v>
      </c>
      <c r="F2200" s="6">
        <v>77</v>
      </c>
      <c r="G2200" s="6">
        <v>18</v>
      </c>
      <c r="H2200" s="6">
        <v>64.5</v>
      </c>
      <c r="I2200" s="7">
        <v>32</v>
      </c>
      <c r="J2200" s="3" t="s">
        <v>4317</v>
      </c>
      <c r="K2200" s="8"/>
      <c r="L2200" s="9" t="s">
        <v>7351</v>
      </c>
      <c r="M2200" s="1"/>
    </row>
    <row r="2201" spans="1:13" x14ac:dyDescent="0.3">
      <c r="A2201" s="3">
        <v>11110001</v>
      </c>
      <c r="B2201" s="4" t="s">
        <v>3494</v>
      </c>
      <c r="C2201" s="5" t="s">
        <v>3495</v>
      </c>
      <c r="D2201" s="5" t="s">
        <v>96</v>
      </c>
      <c r="E2201" s="3" t="s">
        <v>3495</v>
      </c>
      <c r="F2201" s="6">
        <v>40.9</v>
      </c>
      <c r="G2201" s="6">
        <v>40.9</v>
      </c>
      <c r="H2201" s="6">
        <v>21.3</v>
      </c>
      <c r="I2201" s="7" t="s">
        <v>4315</v>
      </c>
      <c r="J2201" s="3" t="s">
        <v>4317</v>
      </c>
      <c r="K2201" s="8" t="s">
        <v>4542</v>
      </c>
      <c r="L2201" s="9" t="s">
        <v>3496</v>
      </c>
      <c r="M2201" s="1" t="s">
        <v>3497</v>
      </c>
    </row>
    <row r="2202" spans="1:13" x14ac:dyDescent="0.3">
      <c r="A2202" s="3">
        <v>3910002</v>
      </c>
      <c r="B2202" s="4" t="s">
        <v>7715</v>
      </c>
      <c r="C2202" s="5" t="s">
        <v>7997</v>
      </c>
      <c r="D2202" s="5" t="s">
        <v>4792</v>
      </c>
      <c r="E2202" s="3" t="s">
        <v>7997</v>
      </c>
      <c r="F2202" s="6">
        <v>38.5</v>
      </c>
      <c r="G2202" s="6">
        <v>23.5</v>
      </c>
      <c r="H2202" s="6" t="s">
        <v>14</v>
      </c>
      <c r="I2202" s="7" t="s">
        <v>7998</v>
      </c>
      <c r="J2202" s="3" t="s">
        <v>4870</v>
      </c>
      <c r="K2202" s="8">
        <v>0.08</v>
      </c>
      <c r="L2202" s="9" t="s">
        <v>7999</v>
      </c>
      <c r="M2202" s="1" t="s">
        <v>8001</v>
      </c>
    </row>
    <row r="2203" spans="1:13" x14ac:dyDescent="0.3">
      <c r="A2203" s="3">
        <v>3910003</v>
      </c>
      <c r="B2203" s="4" t="s">
        <v>7715</v>
      </c>
      <c r="C2203" s="5" t="s">
        <v>7997</v>
      </c>
      <c r="D2203" s="5" t="s">
        <v>4792</v>
      </c>
      <c r="E2203" s="3" t="s">
        <v>7997</v>
      </c>
      <c r="F2203" s="6">
        <v>35</v>
      </c>
      <c r="G2203" s="6">
        <v>23.5</v>
      </c>
      <c r="H2203" s="6" t="s">
        <v>14</v>
      </c>
      <c r="I2203" s="7" t="s">
        <v>7998</v>
      </c>
      <c r="J2203" s="3" t="s">
        <v>4870</v>
      </c>
      <c r="K2203" s="8">
        <v>0.08</v>
      </c>
      <c r="L2203" s="9" t="s">
        <v>8000</v>
      </c>
      <c r="M2203" s="1" t="s">
        <v>8002</v>
      </c>
    </row>
    <row r="2204" spans="1:13" x14ac:dyDescent="0.3">
      <c r="A2204" s="3">
        <v>3910004</v>
      </c>
      <c r="B2204" s="4" t="s">
        <v>7715</v>
      </c>
      <c r="C2204" s="5" t="s">
        <v>3498</v>
      </c>
      <c r="D2204" s="5" t="s">
        <v>96</v>
      </c>
      <c r="E2204" s="3" t="s">
        <v>14</v>
      </c>
      <c r="F2204" s="6">
        <v>52</v>
      </c>
      <c r="G2204" s="6">
        <v>42.5</v>
      </c>
      <c r="H2204" s="6">
        <v>27</v>
      </c>
      <c r="I2204" s="7" t="s">
        <v>4316</v>
      </c>
      <c r="J2204" s="3" t="s">
        <v>4318</v>
      </c>
      <c r="K2204" s="8" t="s">
        <v>4328</v>
      </c>
      <c r="L2204" s="9" t="s">
        <v>3499</v>
      </c>
      <c r="M2204" s="1" t="s">
        <v>3500</v>
      </c>
    </row>
    <row r="2205" spans="1:13" x14ac:dyDescent="0.3">
      <c r="A2205" s="3">
        <v>3910005</v>
      </c>
      <c r="B2205" s="4" t="s">
        <v>7715</v>
      </c>
      <c r="C2205" s="5" t="s">
        <v>7991</v>
      </c>
      <c r="D2205" s="5" t="s">
        <v>96</v>
      </c>
      <c r="E2205" s="3" t="s">
        <v>7988</v>
      </c>
      <c r="F2205" s="6">
        <v>38.5</v>
      </c>
      <c r="G2205" s="6">
        <v>26</v>
      </c>
      <c r="H2205" s="6">
        <v>26</v>
      </c>
      <c r="I2205" s="7">
        <v>32</v>
      </c>
      <c r="J2205" s="3" t="s">
        <v>4317</v>
      </c>
      <c r="K2205" s="8">
        <v>0.7</v>
      </c>
      <c r="L2205" s="9" t="s">
        <v>7989</v>
      </c>
      <c r="M2205" s="1" t="s">
        <v>7990</v>
      </c>
    </row>
    <row r="2206" spans="1:13" x14ac:dyDescent="0.3">
      <c r="A2206" s="3">
        <v>3910007</v>
      </c>
      <c r="B2206" s="4" t="s">
        <v>7715</v>
      </c>
      <c r="C2206" s="5" t="s">
        <v>3501</v>
      </c>
      <c r="D2206" s="5" t="s">
        <v>96</v>
      </c>
      <c r="E2206" s="3" t="s">
        <v>14</v>
      </c>
      <c r="F2206" s="6">
        <v>45.5</v>
      </c>
      <c r="G2206" s="6">
        <v>33.5</v>
      </c>
      <c r="H2206" s="6">
        <v>24</v>
      </c>
      <c r="I2206" s="7" t="s">
        <v>4316</v>
      </c>
      <c r="J2206" s="3" t="s">
        <v>4318</v>
      </c>
      <c r="K2206" s="8" t="s">
        <v>4351</v>
      </c>
      <c r="L2206" s="9" t="s">
        <v>3502</v>
      </c>
      <c r="M2206" s="1" t="s">
        <v>3503</v>
      </c>
    </row>
    <row r="2207" spans="1:13" x14ac:dyDescent="0.3">
      <c r="A2207" s="3">
        <v>3910008</v>
      </c>
      <c r="B2207" s="4" t="s">
        <v>7715</v>
      </c>
      <c r="C2207" s="5" t="s">
        <v>3504</v>
      </c>
      <c r="D2207" s="5" t="s">
        <v>96</v>
      </c>
      <c r="E2207" s="3" t="s">
        <v>14</v>
      </c>
      <c r="F2207" s="6">
        <v>21</v>
      </c>
      <c r="G2207" s="6">
        <v>21</v>
      </c>
      <c r="H2207" s="6">
        <v>13</v>
      </c>
      <c r="I2207" s="7" t="s">
        <v>4315</v>
      </c>
      <c r="J2207" s="3" t="s">
        <v>4317</v>
      </c>
      <c r="K2207" s="8" t="s">
        <v>4438</v>
      </c>
      <c r="L2207" s="9" t="s">
        <v>3505</v>
      </c>
      <c r="M2207" s="1" t="s">
        <v>3506</v>
      </c>
    </row>
    <row r="2208" spans="1:13" x14ac:dyDescent="0.3">
      <c r="A2208" s="3">
        <v>3910009</v>
      </c>
      <c r="B2208" s="4" t="s">
        <v>7715</v>
      </c>
      <c r="C2208" s="5" t="s">
        <v>3507</v>
      </c>
      <c r="D2208" s="5" t="s">
        <v>96</v>
      </c>
      <c r="E2208" s="3" t="s">
        <v>14</v>
      </c>
      <c r="F2208" s="6">
        <v>62</v>
      </c>
      <c r="G2208" s="6">
        <v>31.5</v>
      </c>
      <c r="H2208" s="6">
        <v>20</v>
      </c>
      <c r="I2208" s="7" t="s">
        <v>4316</v>
      </c>
      <c r="J2208" s="3" t="s">
        <v>4318</v>
      </c>
      <c r="K2208" s="8" t="s">
        <v>4436</v>
      </c>
      <c r="L2208" s="9" t="s">
        <v>3508</v>
      </c>
      <c r="M2208" s="1" t="s">
        <v>3509</v>
      </c>
    </row>
    <row r="2209" spans="1:13" x14ac:dyDescent="0.3">
      <c r="A2209" s="3">
        <v>3910010</v>
      </c>
      <c r="B2209" s="4" t="s">
        <v>7715</v>
      </c>
      <c r="C2209" s="5" t="s">
        <v>8041</v>
      </c>
      <c r="D2209" s="5" t="s">
        <v>4792</v>
      </c>
      <c r="E2209" s="3" t="s">
        <v>8041</v>
      </c>
      <c r="F2209" s="6">
        <v>60</v>
      </c>
      <c r="G2209" s="6">
        <v>30</v>
      </c>
      <c r="H2209" s="6">
        <v>9.5</v>
      </c>
      <c r="I2209" s="7">
        <v>32</v>
      </c>
      <c r="J2209" s="3" t="s">
        <v>4317</v>
      </c>
      <c r="K2209" s="8">
        <f>0.24+0.21</f>
        <v>0.44999999999999996</v>
      </c>
      <c r="L2209" s="9" t="s">
        <v>8042</v>
      </c>
      <c r="M2209" s="1" t="s">
        <v>8046</v>
      </c>
    </row>
    <row r="2210" spans="1:13" x14ac:dyDescent="0.3">
      <c r="A2210" s="3">
        <v>3910011</v>
      </c>
      <c r="B2210" s="4" t="s">
        <v>7715</v>
      </c>
      <c r="C2210" s="5" t="s">
        <v>3510</v>
      </c>
      <c r="D2210" s="5" t="s">
        <v>96</v>
      </c>
      <c r="E2210" s="3" t="s">
        <v>14</v>
      </c>
      <c r="F2210" s="6">
        <v>47</v>
      </c>
      <c r="G2210" s="6">
        <v>47</v>
      </c>
      <c r="H2210" s="6">
        <v>47</v>
      </c>
      <c r="I2210" s="7" t="s">
        <v>4316</v>
      </c>
      <c r="J2210" s="3" t="s">
        <v>4318</v>
      </c>
      <c r="K2210" s="8" t="s">
        <v>4642</v>
      </c>
      <c r="L2210" s="9" t="s">
        <v>3511</v>
      </c>
      <c r="M2210" s="1" t="s">
        <v>3512</v>
      </c>
    </row>
    <row r="2211" spans="1:13" x14ac:dyDescent="0.3">
      <c r="A2211" s="3">
        <v>3910012</v>
      </c>
      <c r="B2211" s="4" t="s">
        <v>7715</v>
      </c>
      <c r="C2211" s="5" t="s">
        <v>8043</v>
      </c>
      <c r="D2211" s="5" t="s">
        <v>4792</v>
      </c>
      <c r="E2211" s="3" t="s">
        <v>8044</v>
      </c>
      <c r="F2211" s="6">
        <v>37.6</v>
      </c>
      <c r="G2211" s="6">
        <v>25</v>
      </c>
      <c r="H2211" s="6">
        <v>5</v>
      </c>
      <c r="I2211" s="7">
        <v>32</v>
      </c>
      <c r="J2211" s="3" t="s">
        <v>4317</v>
      </c>
      <c r="K2211" s="8">
        <f>0.2+0.01</f>
        <v>0.21000000000000002</v>
      </c>
      <c r="L2211" s="9" t="s">
        <v>8045</v>
      </c>
      <c r="M2211" s="1" t="s">
        <v>8047</v>
      </c>
    </row>
    <row r="2212" spans="1:13" x14ac:dyDescent="0.3">
      <c r="A2212" s="3">
        <v>3910014</v>
      </c>
      <c r="B2212" s="4" t="s">
        <v>7715</v>
      </c>
      <c r="C2212" s="5" t="s">
        <v>3513</v>
      </c>
      <c r="D2212" s="5" t="s">
        <v>96</v>
      </c>
      <c r="E2212" s="3" t="s">
        <v>14</v>
      </c>
      <c r="F2212" s="6">
        <v>48.5</v>
      </c>
      <c r="G2212" s="6">
        <v>41.8</v>
      </c>
      <c r="H2212" s="6">
        <v>20.5</v>
      </c>
      <c r="I2212" s="7" t="s">
        <v>4315</v>
      </c>
      <c r="J2212" s="3" t="s">
        <v>4317</v>
      </c>
      <c r="K2212" s="8" t="s">
        <v>4593</v>
      </c>
      <c r="L2212" s="9" t="s">
        <v>3514</v>
      </c>
      <c r="M2212" s="1" t="s">
        <v>3515</v>
      </c>
    </row>
    <row r="2213" spans="1:13" x14ac:dyDescent="0.3">
      <c r="A2213" s="3">
        <v>3910016</v>
      </c>
      <c r="B2213" s="4" t="s">
        <v>7715</v>
      </c>
      <c r="C2213" s="5" t="s">
        <v>3516</v>
      </c>
      <c r="D2213" s="5" t="s">
        <v>96</v>
      </c>
      <c r="E2213" s="3" t="s">
        <v>14</v>
      </c>
      <c r="F2213" s="6">
        <v>39.5</v>
      </c>
      <c r="G2213" s="6">
        <v>36</v>
      </c>
      <c r="H2213" s="6">
        <v>24</v>
      </c>
      <c r="I2213" s="7" t="s">
        <v>4315</v>
      </c>
      <c r="J2213" s="3" t="s">
        <v>4317</v>
      </c>
      <c r="K2213" s="8" t="s">
        <v>4444</v>
      </c>
      <c r="L2213" s="9" t="s">
        <v>3517</v>
      </c>
      <c r="M2213" s="1" t="s">
        <v>3518</v>
      </c>
    </row>
    <row r="2214" spans="1:13" x14ac:dyDescent="0.3">
      <c r="A2214" s="3">
        <v>3910017</v>
      </c>
      <c r="B2214" s="4" t="s">
        <v>7715</v>
      </c>
      <c r="C2214" s="5" t="s">
        <v>3519</v>
      </c>
      <c r="D2214" s="5" t="s">
        <v>96</v>
      </c>
      <c r="E2214" s="3" t="s">
        <v>14</v>
      </c>
      <c r="F2214" s="6">
        <v>61.5</v>
      </c>
      <c r="G2214" s="6">
        <v>30.5</v>
      </c>
      <c r="H2214" s="6">
        <v>31.5</v>
      </c>
      <c r="I2214" s="7" t="s">
        <v>4315</v>
      </c>
      <c r="J2214" s="3" t="s">
        <v>4317</v>
      </c>
      <c r="K2214" s="8" t="s">
        <v>4579</v>
      </c>
      <c r="L2214" s="9" t="s">
        <v>3520</v>
      </c>
      <c r="M2214" s="1" t="s">
        <v>3521</v>
      </c>
    </row>
    <row r="2215" spans="1:13" x14ac:dyDescent="0.3">
      <c r="A2215" s="3">
        <v>3920018</v>
      </c>
      <c r="B2215" s="4" t="s">
        <v>7715</v>
      </c>
      <c r="C2215" s="5" t="s">
        <v>3522</v>
      </c>
      <c r="D2215" s="5" t="s">
        <v>264</v>
      </c>
      <c r="E2215" s="3" t="s">
        <v>3523</v>
      </c>
      <c r="F2215" s="6">
        <v>56</v>
      </c>
      <c r="G2215" s="6">
        <v>11</v>
      </c>
      <c r="H2215" s="6">
        <v>0</v>
      </c>
      <c r="I2215" s="7" t="s">
        <v>4315</v>
      </c>
      <c r="J2215" s="3" t="s">
        <v>4317</v>
      </c>
      <c r="K2215" s="8" t="s">
        <v>4563</v>
      </c>
      <c r="L2215" s="9" t="s">
        <v>3524</v>
      </c>
      <c r="M2215" s="1" t="s">
        <v>3525</v>
      </c>
    </row>
    <row r="2216" spans="1:13" x14ac:dyDescent="0.3">
      <c r="A2216" s="3">
        <v>3921019</v>
      </c>
      <c r="B2216" s="4" t="s">
        <v>7715</v>
      </c>
      <c r="C2216" s="5" t="s">
        <v>3522</v>
      </c>
      <c r="D2216" s="5" t="s">
        <v>267</v>
      </c>
      <c r="E2216" s="3" t="s">
        <v>3523</v>
      </c>
      <c r="F2216" s="6">
        <v>39</v>
      </c>
      <c r="G2216" s="6">
        <v>11</v>
      </c>
      <c r="H2216" s="6">
        <v>0</v>
      </c>
      <c r="I2216" s="7" t="s">
        <v>4315</v>
      </c>
      <c r="J2216" s="3" t="s">
        <v>4317</v>
      </c>
      <c r="K2216" s="8" t="s">
        <v>4391</v>
      </c>
      <c r="L2216" s="9" t="s">
        <v>3526</v>
      </c>
      <c r="M2216" s="1" t="s">
        <v>3527</v>
      </c>
    </row>
    <row r="2217" spans="1:13" x14ac:dyDescent="0.3">
      <c r="A2217" s="3">
        <v>3919020</v>
      </c>
      <c r="B2217" s="4" t="s">
        <v>7715</v>
      </c>
      <c r="C2217" s="5" t="s">
        <v>3522</v>
      </c>
      <c r="D2217" s="5" t="s">
        <v>74</v>
      </c>
      <c r="E2217" s="3" t="s">
        <v>3523</v>
      </c>
      <c r="F2217" s="6">
        <v>55.5</v>
      </c>
      <c r="G2217" s="6">
        <v>38.5</v>
      </c>
      <c r="H2217" s="6">
        <v>0</v>
      </c>
      <c r="I2217" s="7" t="s">
        <v>4315</v>
      </c>
      <c r="J2217" s="3" t="s">
        <v>4317</v>
      </c>
      <c r="K2217" s="8" t="s">
        <v>4578</v>
      </c>
      <c r="L2217" s="9" t="s">
        <v>3528</v>
      </c>
      <c r="M2217" s="1" t="s">
        <v>3529</v>
      </c>
    </row>
    <row r="2218" spans="1:13" x14ac:dyDescent="0.3">
      <c r="A2218" s="3">
        <v>3910021</v>
      </c>
      <c r="B2218" s="4" t="s">
        <v>7715</v>
      </c>
      <c r="C2218" s="5" t="s">
        <v>3530</v>
      </c>
      <c r="D2218" s="5" t="s">
        <v>96</v>
      </c>
      <c r="E2218" s="3" t="s">
        <v>14</v>
      </c>
      <c r="F2218" s="6">
        <v>46</v>
      </c>
      <c r="G2218" s="6">
        <v>25.7</v>
      </c>
      <c r="H2218" s="6">
        <v>19</v>
      </c>
      <c r="I2218" s="7" t="s">
        <v>4316</v>
      </c>
      <c r="J2218" s="3" t="s">
        <v>4318</v>
      </c>
      <c r="K2218" s="8" t="s">
        <v>4524</v>
      </c>
      <c r="L2218" s="9" t="s">
        <v>3531</v>
      </c>
      <c r="M2218" s="1" t="s">
        <v>3532</v>
      </c>
    </row>
    <row r="2219" spans="1:13" x14ac:dyDescent="0.3">
      <c r="A2219" s="3">
        <v>3910022</v>
      </c>
      <c r="B2219" s="4" t="s">
        <v>7715</v>
      </c>
      <c r="C2219" s="5" t="s">
        <v>3533</v>
      </c>
      <c r="D2219" s="5" t="s">
        <v>74</v>
      </c>
      <c r="E2219" s="3" t="s">
        <v>14</v>
      </c>
      <c r="F2219" s="6">
        <v>23</v>
      </c>
      <c r="G2219" s="6">
        <v>17</v>
      </c>
      <c r="H2219" s="6"/>
      <c r="I2219" s="7">
        <v>32</v>
      </c>
      <c r="J2219" s="3" t="s">
        <v>4317</v>
      </c>
      <c r="K2219" s="8">
        <v>0.04</v>
      </c>
      <c r="L2219" s="9" t="s">
        <v>3534</v>
      </c>
      <c r="M2219" s="1" t="s">
        <v>3535</v>
      </c>
    </row>
    <row r="2220" spans="1:13" x14ac:dyDescent="0.3">
      <c r="A2220" s="3">
        <v>3910023</v>
      </c>
      <c r="B2220" s="4" t="s">
        <v>7715</v>
      </c>
      <c r="C2220" s="5" t="s">
        <v>6025</v>
      </c>
      <c r="D2220" s="5" t="s">
        <v>96</v>
      </c>
      <c r="E2220" s="3" t="s">
        <v>6027</v>
      </c>
      <c r="F2220" s="6">
        <v>33</v>
      </c>
      <c r="G2220" s="6">
        <v>27</v>
      </c>
      <c r="H2220" s="6">
        <v>40</v>
      </c>
      <c r="I2220" s="7">
        <v>42</v>
      </c>
      <c r="J2220" s="3" t="s">
        <v>4318</v>
      </c>
      <c r="K2220" s="8">
        <v>0.85</v>
      </c>
      <c r="L2220" s="9" t="s">
        <v>6028</v>
      </c>
      <c r="M2220" s="1" t="s">
        <v>6035</v>
      </c>
    </row>
    <row r="2221" spans="1:13" x14ac:dyDescent="0.3">
      <c r="A2221" s="3">
        <v>3910024</v>
      </c>
      <c r="B2221" s="4" t="s">
        <v>7715</v>
      </c>
      <c r="C2221" s="5" t="s">
        <v>6026</v>
      </c>
      <c r="D2221" s="5" t="s">
        <v>96</v>
      </c>
      <c r="E2221" s="3" t="s">
        <v>6032</v>
      </c>
      <c r="F2221" s="6">
        <v>38.700000000000003</v>
      </c>
      <c r="G2221" s="6">
        <v>36</v>
      </c>
      <c r="H2221" s="6">
        <v>25</v>
      </c>
      <c r="I2221" s="7">
        <v>42</v>
      </c>
      <c r="J2221" s="3" t="s">
        <v>4318</v>
      </c>
      <c r="K2221" s="8">
        <v>0.95</v>
      </c>
      <c r="L2221" s="9" t="s">
        <v>6029</v>
      </c>
      <c r="M2221" s="1" t="s">
        <v>6036</v>
      </c>
    </row>
    <row r="2222" spans="1:13" x14ac:dyDescent="0.3">
      <c r="A2222" s="3">
        <v>3910025</v>
      </c>
      <c r="B2222" s="4" t="s">
        <v>7715</v>
      </c>
      <c r="C2222" s="5" t="s">
        <v>8040</v>
      </c>
      <c r="D2222" s="5" t="s">
        <v>96</v>
      </c>
      <c r="E2222" s="3" t="s">
        <v>6033</v>
      </c>
      <c r="F2222" s="6">
        <v>24</v>
      </c>
      <c r="G2222" s="6">
        <v>18</v>
      </c>
      <c r="H2222" s="6">
        <v>9</v>
      </c>
      <c r="I2222" s="7">
        <v>32</v>
      </c>
      <c r="J2222" s="3" t="s">
        <v>4317</v>
      </c>
      <c r="K2222" s="8">
        <v>0.24</v>
      </c>
      <c r="L2222" s="9" t="s">
        <v>6030</v>
      </c>
      <c r="M2222" s="1" t="s">
        <v>6037</v>
      </c>
    </row>
    <row r="2223" spans="1:13" x14ac:dyDescent="0.3">
      <c r="A2223" s="3">
        <v>3910026</v>
      </c>
      <c r="B2223" s="4" t="s">
        <v>7715</v>
      </c>
      <c r="C2223" s="5" t="s">
        <v>6039</v>
      </c>
      <c r="D2223" s="5" t="s">
        <v>96</v>
      </c>
      <c r="E2223" s="3" t="s">
        <v>6034</v>
      </c>
      <c r="F2223" s="6">
        <v>56</v>
      </c>
      <c r="G2223" s="6">
        <v>39</v>
      </c>
      <c r="H2223" s="6">
        <v>26.5</v>
      </c>
      <c r="I2223" s="7">
        <v>32</v>
      </c>
      <c r="J2223" s="3" t="s">
        <v>4317</v>
      </c>
      <c r="K2223" s="8">
        <v>1.29</v>
      </c>
      <c r="L2223" s="9" t="s">
        <v>6031</v>
      </c>
      <c r="M2223" s="1" t="s">
        <v>6038</v>
      </c>
    </row>
    <row r="2224" spans="1:13" x14ac:dyDescent="0.3">
      <c r="A2224" s="3">
        <v>3910027</v>
      </c>
      <c r="B2224" s="4" t="s">
        <v>7715</v>
      </c>
      <c r="C2224" s="5" t="s">
        <v>6040</v>
      </c>
      <c r="D2224" s="5" t="s">
        <v>96</v>
      </c>
      <c r="E2224" s="3" t="s">
        <v>6041</v>
      </c>
      <c r="F2224" s="6">
        <v>26.4</v>
      </c>
      <c r="G2224" s="6">
        <v>26.4</v>
      </c>
      <c r="H2224" s="6">
        <v>13.7</v>
      </c>
      <c r="I2224" s="7">
        <v>42</v>
      </c>
      <c r="J2224" s="3" t="s">
        <v>4318</v>
      </c>
      <c r="K2224" s="8">
        <v>0.45</v>
      </c>
      <c r="L2224" s="9" t="s">
        <v>6042</v>
      </c>
      <c r="M2224" s="1" t="s">
        <v>6043</v>
      </c>
    </row>
    <row r="2225" spans="1:13" x14ac:dyDescent="0.3">
      <c r="A2225" s="3">
        <v>3910028</v>
      </c>
      <c r="B2225" s="4" t="s">
        <v>7715</v>
      </c>
      <c r="C2225" s="5" t="s">
        <v>7276</v>
      </c>
      <c r="D2225" s="5" t="s">
        <v>74</v>
      </c>
      <c r="E2225" s="3" t="s">
        <v>14</v>
      </c>
      <c r="F2225" s="6">
        <v>60</v>
      </c>
      <c r="G2225" s="6">
        <v>30</v>
      </c>
      <c r="H2225" s="6" t="s">
        <v>14</v>
      </c>
      <c r="I2225" s="7">
        <v>26</v>
      </c>
      <c r="J2225" s="3" t="s">
        <v>4317</v>
      </c>
      <c r="K2225" s="8">
        <v>0.18</v>
      </c>
      <c r="L2225" s="9" t="s">
        <v>7275</v>
      </c>
      <c r="M2225" s="1" t="s">
        <v>7277</v>
      </c>
    </row>
    <row r="2226" spans="1:13" x14ac:dyDescent="0.3">
      <c r="A2226" s="3">
        <v>3910029</v>
      </c>
      <c r="B2226" s="4" t="s">
        <v>7715</v>
      </c>
      <c r="C2226" s="5" t="s">
        <v>7353</v>
      </c>
      <c r="D2226" s="5"/>
      <c r="E2226" s="3" t="s">
        <v>7353</v>
      </c>
      <c r="F2226" s="6">
        <v>25</v>
      </c>
      <c r="G2226" s="6">
        <v>31.5</v>
      </c>
      <c r="H2226" s="6">
        <v>37.5</v>
      </c>
      <c r="I2226" s="7">
        <v>32</v>
      </c>
      <c r="J2226" s="3" t="s">
        <v>4317</v>
      </c>
      <c r="K2226" s="8">
        <v>0.21</v>
      </c>
      <c r="L2226" s="9" t="s">
        <v>7354</v>
      </c>
      <c r="M2226" s="1" t="s">
        <v>7355</v>
      </c>
    </row>
    <row r="2227" spans="1:13" x14ac:dyDescent="0.3">
      <c r="A2227" s="3">
        <v>3910030</v>
      </c>
      <c r="B2227" s="4" t="s">
        <v>7715</v>
      </c>
      <c r="C2227" s="5" t="s">
        <v>7716</v>
      </c>
      <c r="D2227" s="5" t="s">
        <v>74</v>
      </c>
      <c r="E2227" s="3" t="s">
        <v>14</v>
      </c>
      <c r="F2227" s="6">
        <v>120</v>
      </c>
      <c r="G2227" s="6">
        <v>100</v>
      </c>
      <c r="H2227" s="6" t="s">
        <v>14</v>
      </c>
      <c r="I2227" s="7">
        <v>42</v>
      </c>
      <c r="J2227" s="3" t="s">
        <v>4318</v>
      </c>
      <c r="K2227" s="8">
        <v>1.2</v>
      </c>
      <c r="L2227" s="9" t="s">
        <v>7717</v>
      </c>
      <c r="M2227" s="1" t="s">
        <v>7718</v>
      </c>
    </row>
    <row r="2228" spans="1:13" x14ac:dyDescent="0.3">
      <c r="A2228" s="3">
        <v>3910031</v>
      </c>
      <c r="B2228" s="4" t="s">
        <v>7715</v>
      </c>
      <c r="C2228" s="5" t="s">
        <v>7845</v>
      </c>
      <c r="D2228" s="5" t="s">
        <v>74</v>
      </c>
      <c r="E2228" s="3" t="s">
        <v>14</v>
      </c>
      <c r="F2228" s="6">
        <v>40</v>
      </c>
      <c r="G2228" s="6">
        <v>25.5</v>
      </c>
      <c r="H2228" s="6" t="s">
        <v>14</v>
      </c>
      <c r="I2228" s="7">
        <v>32</v>
      </c>
      <c r="J2228" s="3" t="s">
        <v>4317</v>
      </c>
      <c r="K2228" s="8">
        <v>0.1</v>
      </c>
      <c r="L2228" s="9" t="s">
        <v>7846</v>
      </c>
      <c r="M2228" s="1" t="s">
        <v>7847</v>
      </c>
    </row>
    <row r="2229" spans="1:13" x14ac:dyDescent="0.3">
      <c r="A2229" s="3">
        <v>9019001</v>
      </c>
      <c r="B2229" s="4" t="s">
        <v>3536</v>
      </c>
      <c r="C2229" s="5" t="s">
        <v>3537</v>
      </c>
      <c r="D2229" s="5" t="s">
        <v>74</v>
      </c>
      <c r="E2229" s="3" t="s">
        <v>14</v>
      </c>
      <c r="F2229" s="6">
        <v>42</v>
      </c>
      <c r="G2229" s="6">
        <v>35</v>
      </c>
      <c r="H2229" s="6">
        <v>0</v>
      </c>
      <c r="I2229" s="7" t="s">
        <v>4343</v>
      </c>
      <c r="J2229" s="3" t="s">
        <v>4346</v>
      </c>
      <c r="K2229" s="8" t="s">
        <v>4452</v>
      </c>
      <c r="L2229" s="9" t="s">
        <v>3538</v>
      </c>
      <c r="M2229" s="1" t="s">
        <v>3539</v>
      </c>
    </row>
    <row r="2230" spans="1:13" x14ac:dyDescent="0.3">
      <c r="A2230" s="3">
        <v>9019002</v>
      </c>
      <c r="B2230" s="4" t="s">
        <v>3536</v>
      </c>
      <c r="C2230" s="5" t="s">
        <v>3540</v>
      </c>
      <c r="D2230" s="5" t="s">
        <v>74</v>
      </c>
      <c r="E2230" s="3" t="s">
        <v>14</v>
      </c>
      <c r="F2230" s="6">
        <v>55</v>
      </c>
      <c r="G2230" s="6">
        <v>42</v>
      </c>
      <c r="H2230" s="6">
        <v>0</v>
      </c>
      <c r="I2230" s="7" t="s">
        <v>4343</v>
      </c>
      <c r="J2230" s="3" t="s">
        <v>4346</v>
      </c>
      <c r="K2230" s="8" t="s">
        <v>4427</v>
      </c>
      <c r="L2230" s="9" t="s">
        <v>3541</v>
      </c>
      <c r="M2230" s="1" t="s">
        <v>3542</v>
      </c>
    </row>
    <row r="2231" spans="1:13" x14ac:dyDescent="0.3">
      <c r="A2231" s="3">
        <v>9019003</v>
      </c>
      <c r="B2231" s="4" t="s">
        <v>3536</v>
      </c>
      <c r="C2231" s="5" t="s">
        <v>3543</v>
      </c>
      <c r="D2231" s="5" t="s">
        <v>74</v>
      </c>
      <c r="E2231" s="3" t="s">
        <v>14</v>
      </c>
      <c r="F2231" s="6">
        <v>75</v>
      </c>
      <c r="G2231" s="6">
        <v>55</v>
      </c>
      <c r="H2231" s="6">
        <v>0</v>
      </c>
      <c r="I2231" s="7" t="s">
        <v>4343</v>
      </c>
      <c r="J2231" s="3" t="s">
        <v>4346</v>
      </c>
      <c r="K2231" s="8" t="s">
        <v>4600</v>
      </c>
      <c r="L2231" s="9" t="s">
        <v>3544</v>
      </c>
      <c r="M2231" s="1" t="s">
        <v>3545</v>
      </c>
    </row>
    <row r="2232" spans="1:13" x14ac:dyDescent="0.3">
      <c r="A2232" s="3">
        <v>9012004</v>
      </c>
      <c r="B2232" s="4" t="s">
        <v>3536</v>
      </c>
      <c r="C2232" s="5" t="s">
        <v>3546</v>
      </c>
      <c r="D2232" s="5" t="s">
        <v>2654</v>
      </c>
      <c r="E2232" s="3" t="s">
        <v>14</v>
      </c>
      <c r="F2232" s="6">
        <v>66.5</v>
      </c>
      <c r="G2232" s="6">
        <v>50</v>
      </c>
      <c r="H2232" s="6">
        <v>10.3</v>
      </c>
      <c r="I2232" s="7" t="s">
        <v>4315</v>
      </c>
      <c r="J2232" s="3" t="s">
        <v>4317</v>
      </c>
      <c r="K2232" s="8" t="s">
        <v>4337</v>
      </c>
      <c r="L2232" s="9" t="s">
        <v>3547</v>
      </c>
      <c r="M2232" s="1" t="s">
        <v>3548</v>
      </c>
    </row>
    <row r="2233" spans="1:13" x14ac:dyDescent="0.3">
      <c r="A2233" s="3">
        <v>9037005</v>
      </c>
      <c r="B2233" s="4" t="s">
        <v>3536</v>
      </c>
      <c r="C2233" s="5" t="s">
        <v>3549</v>
      </c>
      <c r="D2233" s="5" t="s">
        <v>599</v>
      </c>
      <c r="E2233" s="3" t="s">
        <v>14</v>
      </c>
      <c r="F2233" s="6">
        <v>70</v>
      </c>
      <c r="G2233" s="6">
        <v>58</v>
      </c>
      <c r="H2233" s="6">
        <v>0</v>
      </c>
      <c r="I2233" s="7" t="s">
        <v>4315</v>
      </c>
      <c r="J2233" s="3" t="s">
        <v>4317</v>
      </c>
      <c r="K2233" s="8" t="s">
        <v>4600</v>
      </c>
      <c r="L2233" s="9" t="s">
        <v>3550</v>
      </c>
      <c r="M2233" s="1" t="s">
        <v>3551</v>
      </c>
    </row>
    <row r="2234" spans="1:13" x14ac:dyDescent="0.3">
      <c r="A2234" s="3">
        <v>9019006</v>
      </c>
      <c r="B2234" s="4" t="s">
        <v>3536</v>
      </c>
      <c r="C2234" s="5" t="s">
        <v>3552</v>
      </c>
      <c r="D2234" s="5" t="s">
        <v>74</v>
      </c>
      <c r="E2234" s="3" t="s">
        <v>14</v>
      </c>
      <c r="F2234" s="6">
        <v>47</v>
      </c>
      <c r="G2234" s="6">
        <v>1.5</v>
      </c>
      <c r="H2234" s="6">
        <v>0</v>
      </c>
      <c r="I2234" s="7" t="s">
        <v>4315</v>
      </c>
      <c r="J2234" s="3" t="s">
        <v>4317</v>
      </c>
      <c r="K2234" s="8" t="s">
        <v>4627</v>
      </c>
      <c r="L2234" s="9" t="s">
        <v>3553</v>
      </c>
      <c r="M2234" s="1" t="s">
        <v>3554</v>
      </c>
    </row>
    <row r="2235" spans="1:13" x14ac:dyDescent="0.3">
      <c r="A2235" s="3">
        <v>9014007</v>
      </c>
      <c r="B2235" s="4" t="s">
        <v>3536</v>
      </c>
      <c r="C2235" s="5" t="s">
        <v>3555</v>
      </c>
      <c r="D2235" s="5" t="s">
        <v>392</v>
      </c>
      <c r="E2235" s="3" t="s">
        <v>14</v>
      </c>
      <c r="F2235" s="6">
        <v>87</v>
      </c>
      <c r="G2235" s="6">
        <v>62.5</v>
      </c>
      <c r="H2235" s="6">
        <v>7</v>
      </c>
      <c r="I2235" s="7" t="s">
        <v>4315</v>
      </c>
      <c r="J2235" s="3" t="s">
        <v>4317</v>
      </c>
      <c r="K2235" s="8" t="s">
        <v>4623</v>
      </c>
      <c r="L2235" s="9" t="s">
        <v>3556</v>
      </c>
      <c r="M2235" s="1" t="s">
        <v>3557</v>
      </c>
    </row>
    <row r="2236" spans="1:13" x14ac:dyDescent="0.3">
      <c r="A2236" s="3">
        <v>9012008</v>
      </c>
      <c r="B2236" s="4" t="s">
        <v>3536</v>
      </c>
      <c r="C2236" s="5" t="s">
        <v>3558</v>
      </c>
      <c r="D2236" s="5" t="s">
        <v>2654</v>
      </c>
      <c r="E2236" s="3" t="s">
        <v>14</v>
      </c>
      <c r="F2236" s="6">
        <v>85</v>
      </c>
      <c r="G2236" s="6">
        <v>61</v>
      </c>
      <c r="H2236" s="6">
        <v>15.5</v>
      </c>
      <c r="I2236" s="7" t="s">
        <v>4315</v>
      </c>
      <c r="J2236" s="3" t="s">
        <v>4317</v>
      </c>
      <c r="K2236" s="8" t="s">
        <v>4417</v>
      </c>
      <c r="L2236" s="9" t="s">
        <v>3559</v>
      </c>
      <c r="M2236" s="1" t="s">
        <v>3560</v>
      </c>
    </row>
    <row r="2237" spans="1:13" x14ac:dyDescent="0.3">
      <c r="A2237" s="3">
        <v>9000000</v>
      </c>
      <c r="B2237" s="4" t="s">
        <v>3561</v>
      </c>
      <c r="C2237" s="5" t="s">
        <v>3562</v>
      </c>
      <c r="D2237" s="5" t="s">
        <v>74</v>
      </c>
      <c r="E2237" s="3" t="s">
        <v>14</v>
      </c>
      <c r="F2237" s="6">
        <v>52</v>
      </c>
      <c r="G2237" s="6">
        <v>52</v>
      </c>
      <c r="H2237" s="6"/>
      <c r="I2237" s="7">
        <v>32</v>
      </c>
      <c r="J2237" s="3" t="s">
        <v>4317</v>
      </c>
      <c r="K2237" s="8">
        <v>0.27</v>
      </c>
      <c r="L2237" s="9" t="s">
        <v>3563</v>
      </c>
      <c r="M2237" s="1" t="s">
        <v>3564</v>
      </c>
    </row>
    <row r="2238" spans="1:13" x14ac:dyDescent="0.3">
      <c r="A2238" s="3">
        <v>10210001</v>
      </c>
      <c r="B2238" s="4" t="s">
        <v>3565</v>
      </c>
      <c r="C2238" s="5">
        <v>930</v>
      </c>
      <c r="D2238" s="5" t="s">
        <v>96</v>
      </c>
      <c r="E2238" s="3" t="s">
        <v>14</v>
      </c>
      <c r="F2238" s="6">
        <v>176.7</v>
      </c>
      <c r="G2238" s="6">
        <v>53.7</v>
      </c>
      <c r="H2238" s="6">
        <v>39.4</v>
      </c>
      <c r="I2238" s="7" t="s">
        <v>4316</v>
      </c>
      <c r="J2238" s="3" t="s">
        <v>4318</v>
      </c>
      <c r="K2238" s="8" t="s">
        <v>4751</v>
      </c>
      <c r="L2238" s="9" t="s">
        <v>3566</v>
      </c>
      <c r="M2238" s="1" t="s">
        <v>3567</v>
      </c>
    </row>
    <row r="2239" spans="1:13" x14ac:dyDescent="0.3">
      <c r="A2239" s="3">
        <v>10210002</v>
      </c>
      <c r="B2239" s="4" t="s">
        <v>3565</v>
      </c>
      <c r="C2239" s="5" t="s">
        <v>3568</v>
      </c>
      <c r="D2239" s="5" t="s">
        <v>96</v>
      </c>
      <c r="E2239" s="3" t="s">
        <v>14</v>
      </c>
      <c r="F2239" s="6">
        <v>101.7</v>
      </c>
      <c r="G2239" s="6">
        <v>95.7</v>
      </c>
      <c r="H2239" s="6">
        <v>53.4</v>
      </c>
      <c r="I2239" s="7" t="s">
        <v>4618</v>
      </c>
      <c r="J2239" s="3" t="s">
        <v>4318</v>
      </c>
      <c r="K2239" s="8" t="s">
        <v>4752</v>
      </c>
      <c r="L2239" s="9" t="s">
        <v>3569</v>
      </c>
      <c r="M2239" s="1" t="s">
        <v>3570</v>
      </c>
    </row>
    <row r="2240" spans="1:13" x14ac:dyDescent="0.3">
      <c r="A2240" s="3">
        <v>10210003</v>
      </c>
      <c r="B2240" s="4" t="s">
        <v>3565</v>
      </c>
      <c r="C2240" s="5" t="s">
        <v>3571</v>
      </c>
      <c r="D2240" s="5" t="s">
        <v>96</v>
      </c>
      <c r="E2240" s="3" t="s">
        <v>14</v>
      </c>
      <c r="F2240" s="6">
        <v>103</v>
      </c>
      <c r="G2240" s="6">
        <v>28.5</v>
      </c>
      <c r="H2240" s="6">
        <v>40.5</v>
      </c>
      <c r="I2240" s="7" t="s">
        <v>4316</v>
      </c>
      <c r="J2240" s="3" t="s">
        <v>4318</v>
      </c>
      <c r="K2240" s="8" t="s">
        <v>4682</v>
      </c>
      <c r="L2240" s="9" t="s">
        <v>3572</v>
      </c>
      <c r="M2240" s="1" t="s">
        <v>3573</v>
      </c>
    </row>
    <row r="2241" spans="1:13" x14ac:dyDescent="0.3">
      <c r="A2241" s="3">
        <v>6810001</v>
      </c>
      <c r="B2241" s="4" t="s">
        <v>3574</v>
      </c>
      <c r="C2241" s="5" t="s">
        <v>3575</v>
      </c>
      <c r="D2241" s="5" t="s">
        <v>96</v>
      </c>
      <c r="E2241" s="3" t="s">
        <v>3576</v>
      </c>
      <c r="F2241" s="6">
        <v>26.5</v>
      </c>
      <c r="G2241" s="6">
        <v>26.5</v>
      </c>
      <c r="H2241" s="6">
        <v>23</v>
      </c>
      <c r="I2241" s="7">
        <v>32</v>
      </c>
      <c r="J2241" s="3" t="s">
        <v>4317</v>
      </c>
      <c r="K2241" s="8">
        <v>0.56000000000000005</v>
      </c>
      <c r="L2241" s="9" t="s">
        <v>3577</v>
      </c>
      <c r="M2241" s="1" t="s">
        <v>3578</v>
      </c>
    </row>
    <row r="2242" spans="1:13" x14ac:dyDescent="0.3">
      <c r="A2242" s="3">
        <v>11310001</v>
      </c>
      <c r="B2242" s="4" t="s">
        <v>3579</v>
      </c>
      <c r="C2242" s="5" t="s">
        <v>3580</v>
      </c>
      <c r="D2242" s="5" t="s">
        <v>96</v>
      </c>
      <c r="E2242" s="3" t="s">
        <v>3581</v>
      </c>
      <c r="F2242" s="6">
        <v>56.5</v>
      </c>
      <c r="G2242" s="6">
        <v>41</v>
      </c>
      <c r="H2242" s="6">
        <v>22.5</v>
      </c>
      <c r="I2242" s="7" t="s">
        <v>4315</v>
      </c>
      <c r="J2242" s="3" t="s">
        <v>4317</v>
      </c>
      <c r="K2242" s="8" t="s">
        <v>4576</v>
      </c>
      <c r="L2242" s="9" t="s">
        <v>3582</v>
      </c>
      <c r="M2242" s="1" t="s">
        <v>3583</v>
      </c>
    </row>
    <row r="2243" spans="1:13" x14ac:dyDescent="0.3">
      <c r="A2243" s="3">
        <v>11320002</v>
      </c>
      <c r="B2243" s="4" t="s">
        <v>3579</v>
      </c>
      <c r="C2243" s="5" t="s">
        <v>3580</v>
      </c>
      <c r="D2243" s="5" t="s">
        <v>264</v>
      </c>
      <c r="E2243" s="3" t="s">
        <v>3581</v>
      </c>
      <c r="F2243" s="6">
        <v>56</v>
      </c>
      <c r="G2243" s="6">
        <v>21.5</v>
      </c>
      <c r="H2243" s="6">
        <v>0</v>
      </c>
      <c r="I2243" s="7" t="s">
        <v>4315</v>
      </c>
      <c r="J2243" s="3" t="s">
        <v>4317</v>
      </c>
      <c r="K2243" s="8" t="s">
        <v>4425</v>
      </c>
      <c r="L2243" s="9" t="s">
        <v>3584</v>
      </c>
      <c r="M2243" s="1" t="s">
        <v>3585</v>
      </c>
    </row>
    <row r="2244" spans="1:13" x14ac:dyDescent="0.3">
      <c r="A2244" s="3">
        <v>11321003</v>
      </c>
      <c r="B2244" s="4" t="s">
        <v>3579</v>
      </c>
      <c r="C2244" s="5" t="s">
        <v>3580</v>
      </c>
      <c r="D2244" s="5" t="s">
        <v>267</v>
      </c>
      <c r="E2244" s="3" t="s">
        <v>3581</v>
      </c>
      <c r="F2244" s="6">
        <v>40.4</v>
      </c>
      <c r="G2244" s="6">
        <v>21.5</v>
      </c>
      <c r="H2244" s="6">
        <v>0</v>
      </c>
      <c r="I2244" s="7" t="s">
        <v>4315</v>
      </c>
      <c r="J2244" s="3" t="s">
        <v>4317</v>
      </c>
      <c r="K2244" s="8" t="s">
        <v>4337</v>
      </c>
      <c r="L2244" s="9" t="s">
        <v>3586</v>
      </c>
      <c r="M2244" s="1" t="s">
        <v>3587</v>
      </c>
    </row>
    <row r="2245" spans="1:13" x14ac:dyDescent="0.3">
      <c r="A2245" s="3">
        <v>11320004</v>
      </c>
      <c r="B2245" s="4" t="s">
        <v>3579</v>
      </c>
      <c r="C2245" s="5">
        <v>470815</v>
      </c>
      <c r="D2245" s="5" t="s">
        <v>682</v>
      </c>
      <c r="E2245" s="3" t="s">
        <v>6501</v>
      </c>
      <c r="F2245" s="6">
        <v>139</v>
      </c>
      <c r="G2245" s="6">
        <v>114</v>
      </c>
      <c r="H2245" s="6">
        <v>76.2</v>
      </c>
      <c r="I2245" s="7">
        <v>74</v>
      </c>
      <c r="J2245" s="3" t="s">
        <v>4347</v>
      </c>
      <c r="K2245" s="8">
        <v>5.12</v>
      </c>
      <c r="L2245" s="9" t="s">
        <v>6502</v>
      </c>
      <c r="M2245" s="1" t="s">
        <v>6504</v>
      </c>
    </row>
    <row r="2246" spans="1:13" x14ac:dyDescent="0.3">
      <c r="A2246" s="3">
        <v>11319005</v>
      </c>
      <c r="B2246" s="4" t="s">
        <v>3579</v>
      </c>
      <c r="C2246" s="5" t="s">
        <v>7430</v>
      </c>
      <c r="D2246" s="5" t="s">
        <v>96</v>
      </c>
      <c r="E2246" s="3" t="s">
        <v>7431</v>
      </c>
      <c r="F2246" s="6">
        <v>60.7</v>
      </c>
      <c r="G2246" s="6">
        <v>46.7</v>
      </c>
      <c r="H2246" s="6">
        <v>111.5</v>
      </c>
      <c r="I2246" s="7">
        <v>42</v>
      </c>
      <c r="J2246" s="3" t="s">
        <v>4318</v>
      </c>
      <c r="K2246" s="8">
        <v>3.49</v>
      </c>
      <c r="L2246" s="9" t="s">
        <v>7432</v>
      </c>
      <c r="M2246" s="1" t="s">
        <v>7433</v>
      </c>
    </row>
    <row r="2247" spans="1:13" x14ac:dyDescent="0.3">
      <c r="A2247" s="3">
        <v>11321051</v>
      </c>
      <c r="B2247" s="4" t="s">
        <v>3579</v>
      </c>
      <c r="C2247" s="5" t="s">
        <v>3588</v>
      </c>
      <c r="D2247" s="5" t="s">
        <v>3589</v>
      </c>
      <c r="E2247" s="3" t="s">
        <v>14</v>
      </c>
      <c r="F2247" s="6">
        <v>153</v>
      </c>
      <c r="G2247" s="6">
        <v>116</v>
      </c>
      <c r="H2247" s="6">
        <v>91.6</v>
      </c>
      <c r="I2247" s="7">
        <v>84</v>
      </c>
      <c r="J2247" s="3" t="s">
        <v>4346</v>
      </c>
      <c r="K2247" s="8">
        <v>2.5499999999999998</v>
      </c>
      <c r="L2247" s="9" t="s">
        <v>3590</v>
      </c>
      <c r="M2247" s="1" t="s">
        <v>3591</v>
      </c>
    </row>
    <row r="2248" spans="1:13" x14ac:dyDescent="0.3">
      <c r="A2248" s="3">
        <v>11321052</v>
      </c>
      <c r="B2248" s="4" t="s">
        <v>3579</v>
      </c>
      <c r="C2248" s="5" t="s">
        <v>5407</v>
      </c>
      <c r="D2248" s="5" t="s">
        <v>96</v>
      </c>
      <c r="E2248" s="4" t="s">
        <v>5406</v>
      </c>
      <c r="F2248" s="6">
        <v>73.5</v>
      </c>
      <c r="G2248" s="6">
        <v>47.3</v>
      </c>
      <c r="H2248" s="6">
        <v>17</v>
      </c>
      <c r="I2248" s="7">
        <v>42</v>
      </c>
      <c r="J2248" s="3" t="s">
        <v>4318</v>
      </c>
      <c r="K2248" s="8">
        <v>1.66</v>
      </c>
      <c r="L2248" s="9" t="s">
        <v>5408</v>
      </c>
      <c r="M2248" s="1" t="s">
        <v>5410</v>
      </c>
    </row>
    <row r="2249" spans="1:13" x14ac:dyDescent="0.3">
      <c r="A2249" s="3">
        <v>11321053</v>
      </c>
      <c r="B2249" s="4" t="s">
        <v>3579</v>
      </c>
      <c r="C2249" s="5" t="s">
        <v>5412</v>
      </c>
      <c r="D2249" s="5" t="s">
        <v>74</v>
      </c>
      <c r="E2249" s="4" t="s">
        <v>5406</v>
      </c>
      <c r="F2249" s="6">
        <v>73</v>
      </c>
      <c r="G2249" s="6">
        <v>46.5</v>
      </c>
      <c r="H2249" s="6"/>
      <c r="I2249" s="34">
        <v>0.125</v>
      </c>
      <c r="J2249" s="3" t="s">
        <v>4731</v>
      </c>
      <c r="K2249" s="8">
        <v>0.34</v>
      </c>
      <c r="L2249" s="9" t="s">
        <v>4975</v>
      </c>
      <c r="M2249" s="1" t="s">
        <v>5411</v>
      </c>
    </row>
    <row r="2250" spans="1:13" x14ac:dyDescent="0.3">
      <c r="A2250" s="3">
        <v>11321054</v>
      </c>
      <c r="B2250" s="4" t="s">
        <v>3579</v>
      </c>
      <c r="C2250" s="5" t="s">
        <v>7130</v>
      </c>
      <c r="D2250" s="5" t="s">
        <v>86</v>
      </c>
      <c r="E2250" s="3" t="s">
        <v>7008</v>
      </c>
      <c r="F2250" s="6">
        <v>120</v>
      </c>
      <c r="G2250" s="6">
        <v>112.5</v>
      </c>
      <c r="H2250" s="6">
        <v>72.5</v>
      </c>
      <c r="I2250" s="7">
        <v>51</v>
      </c>
      <c r="J2250" s="3" t="s">
        <v>4318</v>
      </c>
      <c r="K2250" s="8">
        <v>2.29</v>
      </c>
      <c r="L2250" s="9" t="s">
        <v>7009</v>
      </c>
      <c r="M2250" s="1" t="s">
        <v>7134</v>
      </c>
    </row>
    <row r="2251" spans="1:13" x14ac:dyDescent="0.3">
      <c r="A2251" s="3">
        <v>11321055</v>
      </c>
      <c r="B2251" s="4" t="s">
        <v>3579</v>
      </c>
      <c r="C2251" s="5" t="s">
        <v>7131</v>
      </c>
      <c r="D2251" s="5" t="s">
        <v>74</v>
      </c>
      <c r="E2251" s="3" t="s">
        <v>7008</v>
      </c>
      <c r="F2251" s="6">
        <v>119</v>
      </c>
      <c r="G2251" s="6">
        <v>111</v>
      </c>
      <c r="H2251" s="6" t="s">
        <v>14</v>
      </c>
      <c r="I2251" s="7">
        <v>42</v>
      </c>
      <c r="J2251" s="3" t="s">
        <v>4317</v>
      </c>
      <c r="K2251" s="8">
        <v>1.32</v>
      </c>
      <c r="L2251" s="9" t="s">
        <v>7010</v>
      </c>
      <c r="M2251" s="1" t="s">
        <v>7135</v>
      </c>
    </row>
    <row r="2252" spans="1:13" x14ac:dyDescent="0.3">
      <c r="A2252" s="3">
        <v>11321056</v>
      </c>
      <c r="B2252" s="4" t="s">
        <v>3579</v>
      </c>
      <c r="C2252" s="5" t="s">
        <v>7132</v>
      </c>
      <c r="D2252" s="5" t="s">
        <v>13</v>
      </c>
      <c r="E2252" s="3" t="s">
        <v>7008</v>
      </c>
      <c r="F2252" s="6">
        <v>122</v>
      </c>
      <c r="G2252" s="6">
        <v>114</v>
      </c>
      <c r="H2252" s="6">
        <v>10</v>
      </c>
      <c r="I2252" s="7">
        <v>42</v>
      </c>
      <c r="J2252" s="3" t="s">
        <v>4317</v>
      </c>
      <c r="K2252" s="8">
        <v>1.9</v>
      </c>
      <c r="L2252" s="9" t="s">
        <v>7011</v>
      </c>
      <c r="M2252" s="1" t="s">
        <v>7136</v>
      </c>
    </row>
    <row r="2253" spans="1:13" x14ac:dyDescent="0.3">
      <c r="A2253" s="3">
        <v>11321057</v>
      </c>
      <c r="B2253" s="4" t="s">
        <v>3579</v>
      </c>
      <c r="C2253" s="5" t="s">
        <v>7133</v>
      </c>
      <c r="D2253" s="5" t="s">
        <v>552</v>
      </c>
      <c r="E2253" s="3" t="s">
        <v>7008</v>
      </c>
      <c r="F2253" s="6">
        <v>7.5</v>
      </c>
      <c r="G2253" s="6">
        <v>7.5</v>
      </c>
      <c r="H2253" s="6">
        <v>71</v>
      </c>
      <c r="I2253" s="7" t="s">
        <v>4960</v>
      </c>
      <c r="J2253" s="3" t="s">
        <v>14</v>
      </c>
      <c r="K2253" s="8" t="s">
        <v>14</v>
      </c>
      <c r="L2253" s="9" t="s">
        <v>7012</v>
      </c>
      <c r="M2253" s="1" t="s">
        <v>7137</v>
      </c>
    </row>
    <row r="2254" spans="1:13" x14ac:dyDescent="0.3">
      <c r="A2254" s="3">
        <v>11321058</v>
      </c>
      <c r="B2254" s="4" t="s">
        <v>3579</v>
      </c>
      <c r="C2254" s="5" t="s">
        <v>7014</v>
      </c>
      <c r="D2254" s="5" t="s">
        <v>613</v>
      </c>
      <c r="E2254" s="3" t="s">
        <v>7008</v>
      </c>
      <c r="F2254" s="6" t="s">
        <v>6300</v>
      </c>
      <c r="G2254" s="6" t="s">
        <v>7015</v>
      </c>
      <c r="H2254" s="6" t="s">
        <v>14</v>
      </c>
      <c r="I2254" s="7" t="s">
        <v>14</v>
      </c>
      <c r="J2254" s="3" t="s">
        <v>14</v>
      </c>
      <c r="K2254" s="8" t="s">
        <v>14</v>
      </c>
      <c r="L2254" s="9" t="s">
        <v>7013</v>
      </c>
      <c r="M2254" s="1" t="s">
        <v>7138</v>
      </c>
    </row>
    <row r="2255" spans="1:13" x14ac:dyDescent="0.3">
      <c r="A2255" s="3">
        <v>11321059</v>
      </c>
      <c r="B2255" s="4" t="s">
        <v>3579</v>
      </c>
      <c r="C2255" s="5" t="s">
        <v>7281</v>
      </c>
      <c r="D2255" s="5" t="s">
        <v>86</v>
      </c>
      <c r="E2255" s="3" t="s">
        <v>7282</v>
      </c>
      <c r="F2255" s="6">
        <v>111</v>
      </c>
      <c r="G2255" s="6">
        <v>22</v>
      </c>
      <c r="H2255" s="6">
        <v>42</v>
      </c>
      <c r="I2255" s="7">
        <v>32</v>
      </c>
      <c r="J2255" s="3" t="s">
        <v>4317</v>
      </c>
      <c r="K2255" s="8">
        <v>0.88</v>
      </c>
      <c r="L2255" s="9" t="s">
        <v>7269</v>
      </c>
      <c r="M2255" s="1"/>
    </row>
    <row r="2256" spans="1:13" x14ac:dyDescent="0.3">
      <c r="A2256" s="3">
        <v>11321060</v>
      </c>
      <c r="B2256" s="4" t="s">
        <v>3579</v>
      </c>
      <c r="C2256" s="5" t="s">
        <v>7283</v>
      </c>
      <c r="D2256" s="5" t="s">
        <v>13</v>
      </c>
      <c r="E2256" s="3" t="s">
        <v>7282</v>
      </c>
      <c r="F2256" s="6">
        <v>112</v>
      </c>
      <c r="G2256" s="6">
        <v>23</v>
      </c>
      <c r="H2256" s="6">
        <v>8</v>
      </c>
      <c r="I2256" s="7">
        <v>32</v>
      </c>
      <c r="J2256" s="3" t="s">
        <v>4317</v>
      </c>
      <c r="K2256" s="8">
        <v>0.5</v>
      </c>
      <c r="L2256" s="9" t="s">
        <v>7270</v>
      </c>
      <c r="M2256" s="1"/>
    </row>
    <row r="2257" spans="1:13" x14ac:dyDescent="0.3">
      <c r="A2257" s="3">
        <v>11321061</v>
      </c>
      <c r="B2257" s="4" t="s">
        <v>3579</v>
      </c>
      <c r="C2257" s="5" t="s">
        <v>7284</v>
      </c>
      <c r="D2257" s="5" t="s">
        <v>5072</v>
      </c>
      <c r="E2257" s="3" t="s">
        <v>7282</v>
      </c>
      <c r="F2257" s="6">
        <v>118</v>
      </c>
      <c r="G2257" s="6">
        <v>113</v>
      </c>
      <c r="H2257" s="6">
        <v>86</v>
      </c>
      <c r="I2257" s="7">
        <v>51</v>
      </c>
      <c r="J2257" s="3" t="s">
        <v>4318</v>
      </c>
      <c r="K2257" s="8">
        <v>1.99</v>
      </c>
      <c r="L2257" s="9" t="s">
        <v>7271</v>
      </c>
      <c r="M2257" s="1"/>
    </row>
    <row r="2258" spans="1:13" x14ac:dyDescent="0.3">
      <c r="A2258" s="3">
        <v>11321062</v>
      </c>
      <c r="B2258" s="4" t="s">
        <v>3579</v>
      </c>
      <c r="C2258" s="5" t="s">
        <v>7285</v>
      </c>
      <c r="D2258" s="5" t="s">
        <v>13</v>
      </c>
      <c r="E2258" s="3" t="s">
        <v>7282</v>
      </c>
      <c r="F2258" s="6">
        <v>119</v>
      </c>
      <c r="G2258" s="6">
        <v>114</v>
      </c>
      <c r="H2258" s="6">
        <v>8</v>
      </c>
      <c r="I2258" s="7">
        <v>51</v>
      </c>
      <c r="J2258" s="3" t="s">
        <v>4318</v>
      </c>
      <c r="K2258" s="8">
        <v>1.77</v>
      </c>
      <c r="L2258" s="9" t="s">
        <v>7272</v>
      </c>
      <c r="M2258" s="1"/>
    </row>
    <row r="2259" spans="1:13" x14ac:dyDescent="0.3">
      <c r="A2259" s="3">
        <v>11321063</v>
      </c>
      <c r="B2259" s="4" t="s">
        <v>3579</v>
      </c>
      <c r="C2259" s="5" t="s">
        <v>7286</v>
      </c>
      <c r="D2259" s="5" t="s">
        <v>7299</v>
      </c>
      <c r="E2259" s="3" t="s">
        <v>7282</v>
      </c>
      <c r="F2259" s="6">
        <v>109</v>
      </c>
      <c r="G2259" s="6">
        <v>10.3</v>
      </c>
      <c r="H2259" s="6">
        <v>4</v>
      </c>
      <c r="I2259" s="7" t="s">
        <v>7287</v>
      </c>
      <c r="J2259" s="3" t="s">
        <v>7295</v>
      </c>
      <c r="K2259" s="8">
        <v>0.11</v>
      </c>
      <c r="L2259" s="9" t="s">
        <v>7273</v>
      </c>
      <c r="M2259" s="1"/>
    </row>
    <row r="2260" spans="1:13" x14ac:dyDescent="0.3">
      <c r="A2260" s="3">
        <v>11321064</v>
      </c>
      <c r="B2260" s="4" t="s">
        <v>3579</v>
      </c>
      <c r="C2260" s="5" t="s">
        <v>7288</v>
      </c>
      <c r="D2260" s="5" t="s">
        <v>86</v>
      </c>
      <c r="E2260" s="3" t="s">
        <v>7289</v>
      </c>
      <c r="F2260" s="6">
        <v>116</v>
      </c>
      <c r="G2260" s="6">
        <v>26</v>
      </c>
      <c r="H2260" s="6">
        <v>37</v>
      </c>
      <c r="I2260" s="7">
        <v>32</v>
      </c>
      <c r="J2260" s="3" t="s">
        <v>4317</v>
      </c>
      <c r="K2260" s="8">
        <v>0.92</v>
      </c>
      <c r="L2260" s="9" t="s">
        <v>7274</v>
      </c>
      <c r="M2260" s="1"/>
    </row>
    <row r="2261" spans="1:13" x14ac:dyDescent="0.3">
      <c r="A2261" s="3">
        <v>11321065</v>
      </c>
      <c r="B2261" s="4" t="s">
        <v>3579</v>
      </c>
      <c r="C2261" s="5" t="s">
        <v>7293</v>
      </c>
      <c r="D2261" s="5" t="s">
        <v>26</v>
      </c>
      <c r="E2261" s="3" t="s">
        <v>7289</v>
      </c>
      <c r="F2261" s="6">
        <v>117</v>
      </c>
      <c r="G2261" s="6">
        <v>27</v>
      </c>
      <c r="H2261" s="6">
        <v>8</v>
      </c>
      <c r="I2261" s="7">
        <v>32</v>
      </c>
      <c r="J2261" s="3" t="s">
        <v>4317</v>
      </c>
      <c r="K2261" s="8">
        <v>0.56999999999999995</v>
      </c>
      <c r="L2261" s="9" t="s">
        <v>7290</v>
      </c>
      <c r="M2261" s="1"/>
    </row>
    <row r="2262" spans="1:13" x14ac:dyDescent="0.3">
      <c r="A2262" s="3">
        <v>11321066</v>
      </c>
      <c r="B2262" s="4" t="s">
        <v>3579</v>
      </c>
      <c r="C2262" s="5" t="s">
        <v>7294</v>
      </c>
      <c r="D2262" s="5" t="s">
        <v>5072</v>
      </c>
      <c r="E2262" s="3" t="s">
        <v>7289</v>
      </c>
      <c r="F2262" s="6">
        <v>118</v>
      </c>
      <c r="G2262" s="6">
        <v>113</v>
      </c>
      <c r="H2262" s="6">
        <v>115</v>
      </c>
      <c r="I2262" s="7">
        <v>51</v>
      </c>
      <c r="J2262" s="3" t="s">
        <v>4318</v>
      </c>
      <c r="K2262" s="8">
        <v>2.66</v>
      </c>
      <c r="L2262" s="9" t="s">
        <v>7291</v>
      </c>
      <c r="M2262" s="1"/>
    </row>
    <row r="2263" spans="1:13" x14ac:dyDescent="0.3">
      <c r="A2263" s="3">
        <v>11321067</v>
      </c>
      <c r="B2263" s="4" t="s">
        <v>3579</v>
      </c>
      <c r="C2263" s="5" t="s">
        <v>7285</v>
      </c>
      <c r="D2263" s="5" t="s">
        <v>13</v>
      </c>
      <c r="E2263" s="3" t="s">
        <v>7289</v>
      </c>
      <c r="F2263" s="6">
        <v>119</v>
      </c>
      <c r="G2263" s="6">
        <v>114</v>
      </c>
      <c r="H2263" s="6">
        <v>8</v>
      </c>
      <c r="I2263" s="7">
        <v>51</v>
      </c>
      <c r="J2263" s="3" t="s">
        <v>4318</v>
      </c>
      <c r="K2263" s="8">
        <v>1.76</v>
      </c>
      <c r="L2263" s="9" t="s">
        <v>7292</v>
      </c>
      <c r="M2263" s="1"/>
    </row>
    <row r="2264" spans="1:13" x14ac:dyDescent="0.3">
      <c r="A2264" s="3">
        <v>11321068</v>
      </c>
      <c r="B2264" s="4" t="s">
        <v>3579</v>
      </c>
      <c r="C2264" s="5" t="s">
        <v>7296</v>
      </c>
      <c r="D2264" s="5" t="s">
        <v>7297</v>
      </c>
      <c r="E2264" s="3" t="s">
        <v>7289</v>
      </c>
      <c r="F2264" s="6">
        <v>114</v>
      </c>
      <c r="G2264" s="6">
        <v>22.5</v>
      </c>
      <c r="H2264" s="6">
        <v>10</v>
      </c>
      <c r="I2264" s="7" t="s">
        <v>7287</v>
      </c>
      <c r="J2264" s="3" t="s">
        <v>7295</v>
      </c>
      <c r="K2264" s="8" t="s">
        <v>14</v>
      </c>
      <c r="L2264" s="9" t="s">
        <v>7298</v>
      </c>
      <c r="M2264" s="1"/>
    </row>
    <row r="2265" spans="1:13" x14ac:dyDescent="0.3">
      <c r="A2265" s="3">
        <v>40240005</v>
      </c>
      <c r="B2265" s="4" t="s">
        <v>3579</v>
      </c>
      <c r="C2265" s="5" t="s">
        <v>5060</v>
      </c>
      <c r="D2265" s="5" t="s">
        <v>5052</v>
      </c>
      <c r="E2265" s="3" t="s">
        <v>5060</v>
      </c>
      <c r="F2265" s="6" t="s">
        <v>14</v>
      </c>
      <c r="G2265" s="6" t="s">
        <v>14</v>
      </c>
      <c r="H2265" s="6" t="s">
        <v>14</v>
      </c>
      <c r="I2265" s="26" t="s">
        <v>14</v>
      </c>
      <c r="J2265" s="3" t="s">
        <v>14</v>
      </c>
      <c r="K2265" s="8" t="s">
        <v>14</v>
      </c>
      <c r="L2265" s="9" t="s">
        <v>5057</v>
      </c>
      <c r="M2265" s="1" t="s">
        <v>5065</v>
      </c>
    </row>
    <row r="2266" spans="1:13" x14ac:dyDescent="0.3">
      <c r="A2266" s="3">
        <v>40240003</v>
      </c>
      <c r="B2266" s="4" t="s">
        <v>3579</v>
      </c>
      <c r="C2266" s="5" t="s">
        <v>5058</v>
      </c>
      <c r="D2266" s="5" t="s">
        <v>5052</v>
      </c>
      <c r="E2266" s="3" t="s">
        <v>5058</v>
      </c>
      <c r="F2266" s="6" t="s">
        <v>14</v>
      </c>
      <c r="G2266" s="6" t="s">
        <v>14</v>
      </c>
      <c r="H2266" s="6" t="s">
        <v>14</v>
      </c>
      <c r="I2266" s="26" t="s">
        <v>14</v>
      </c>
      <c r="J2266" s="3" t="s">
        <v>14</v>
      </c>
      <c r="K2266" s="8" t="s">
        <v>14</v>
      </c>
      <c r="L2266" s="9" t="s">
        <v>5055</v>
      </c>
      <c r="M2266" s="1" t="s">
        <v>5063</v>
      </c>
    </row>
    <row r="2267" spans="1:13" x14ac:dyDescent="0.3">
      <c r="A2267" s="3">
        <v>40240011</v>
      </c>
      <c r="B2267" s="4" t="s">
        <v>3579</v>
      </c>
      <c r="C2267" s="5">
        <v>470815</v>
      </c>
      <c r="D2267" s="5" t="s">
        <v>5052</v>
      </c>
      <c r="E2267" s="3" t="s">
        <v>6501</v>
      </c>
      <c r="F2267" s="6" t="s">
        <v>14</v>
      </c>
      <c r="G2267" s="6" t="s">
        <v>14</v>
      </c>
      <c r="H2267" s="6" t="s">
        <v>14</v>
      </c>
      <c r="I2267" s="26" t="s">
        <v>14</v>
      </c>
      <c r="J2267" s="3" t="s">
        <v>14</v>
      </c>
      <c r="K2267" s="8" t="s">
        <v>14</v>
      </c>
      <c r="L2267" s="9" t="s">
        <v>6503</v>
      </c>
      <c r="M2267" s="1" t="s">
        <v>6507</v>
      </c>
    </row>
    <row r="2268" spans="1:13" x14ac:dyDescent="0.3">
      <c r="A2268" s="3">
        <v>4019004</v>
      </c>
      <c r="B2268" s="4" t="s">
        <v>3592</v>
      </c>
      <c r="C2268" s="5" t="s">
        <v>7567</v>
      </c>
      <c r="D2268" s="5" t="s">
        <v>7568</v>
      </c>
      <c r="E2268" s="65" t="s">
        <v>14</v>
      </c>
      <c r="F2268" s="6">
        <v>5</v>
      </c>
      <c r="G2268" s="6">
        <v>84</v>
      </c>
      <c r="H2268" s="6" t="s">
        <v>14</v>
      </c>
      <c r="I2268" s="26" t="s">
        <v>14</v>
      </c>
      <c r="J2268" s="3" t="s">
        <v>14</v>
      </c>
      <c r="K2268" s="8" t="s">
        <v>14</v>
      </c>
      <c r="L2268" s="9" t="s">
        <v>830</v>
      </c>
      <c r="M2268" s="1" t="s">
        <v>7569</v>
      </c>
    </row>
    <row r="2269" spans="1:13" x14ac:dyDescent="0.3">
      <c r="A2269" s="3">
        <v>4019005</v>
      </c>
      <c r="B2269" s="4" t="s">
        <v>3592</v>
      </c>
      <c r="C2269" s="5" t="s">
        <v>7563</v>
      </c>
      <c r="D2269" s="5" t="s">
        <v>74</v>
      </c>
      <c r="E2269" s="3" t="s">
        <v>7564</v>
      </c>
      <c r="F2269" s="6">
        <v>103</v>
      </c>
      <c r="G2269" s="6">
        <v>109</v>
      </c>
      <c r="H2269" s="6" t="s">
        <v>14</v>
      </c>
      <c r="I2269" s="26">
        <v>32</v>
      </c>
      <c r="J2269" s="3" t="s">
        <v>4317</v>
      </c>
      <c r="K2269" s="8">
        <v>1.1200000000000001</v>
      </c>
      <c r="L2269" s="9" t="s">
        <v>7565</v>
      </c>
      <c r="M2269" s="1" t="s">
        <v>7566</v>
      </c>
    </row>
    <row r="2270" spans="1:13" x14ac:dyDescent="0.3">
      <c r="A2270" s="3">
        <v>4019006</v>
      </c>
      <c r="B2270" s="4" t="s">
        <v>3592</v>
      </c>
      <c r="C2270" s="5" t="s">
        <v>7559</v>
      </c>
      <c r="D2270" s="5" t="s">
        <v>96</v>
      </c>
      <c r="E2270" s="3" t="s">
        <v>7560</v>
      </c>
      <c r="F2270" s="6">
        <v>95</v>
      </c>
      <c r="G2270" s="6">
        <v>62</v>
      </c>
      <c r="H2270" s="6">
        <v>95</v>
      </c>
      <c r="I2270" s="26">
        <v>42</v>
      </c>
      <c r="J2270" s="3" t="s">
        <v>4318</v>
      </c>
      <c r="K2270" s="8">
        <v>2.56</v>
      </c>
      <c r="L2270" s="9" t="s">
        <v>7561</v>
      </c>
      <c r="M2270" s="1" t="s">
        <v>7562</v>
      </c>
    </row>
    <row r="2271" spans="1:13" x14ac:dyDescent="0.3">
      <c r="A2271" s="3">
        <v>4019007</v>
      </c>
      <c r="B2271" s="4" t="s">
        <v>3592</v>
      </c>
      <c r="C2271" s="5" t="s">
        <v>7541</v>
      </c>
      <c r="D2271" s="5" t="s">
        <v>74</v>
      </c>
      <c r="E2271" s="3" t="s">
        <v>14</v>
      </c>
      <c r="F2271" s="6">
        <v>90</v>
      </c>
      <c r="G2271" s="6">
        <v>42</v>
      </c>
      <c r="H2271" s="6" t="s">
        <v>14</v>
      </c>
      <c r="I2271" s="26">
        <v>32</v>
      </c>
      <c r="J2271" s="3" t="s">
        <v>4317</v>
      </c>
      <c r="K2271" s="8">
        <v>0.38</v>
      </c>
      <c r="L2271" s="9" t="s">
        <v>7538</v>
      </c>
      <c r="M2271" s="1" t="s">
        <v>7540</v>
      </c>
    </row>
    <row r="2272" spans="1:13" x14ac:dyDescent="0.3">
      <c r="A2272" s="3">
        <v>4019008</v>
      </c>
      <c r="B2272" s="4" t="s">
        <v>3592</v>
      </c>
      <c r="C2272" s="5" t="s">
        <v>7536</v>
      </c>
      <c r="D2272" s="5" t="s">
        <v>96</v>
      </c>
      <c r="E2272" s="3" t="s">
        <v>14</v>
      </c>
      <c r="F2272" s="6">
        <v>40</v>
      </c>
      <c r="G2272" s="6">
        <v>40</v>
      </c>
      <c r="H2272" s="6">
        <v>25</v>
      </c>
      <c r="I2272" s="26">
        <v>42</v>
      </c>
      <c r="J2272" s="3" t="s">
        <v>4318</v>
      </c>
      <c r="K2272" s="8">
        <v>1.0900000000000001</v>
      </c>
      <c r="L2272" s="9" t="s">
        <v>7537</v>
      </c>
      <c r="M2272" s="1" t="s">
        <v>7539</v>
      </c>
    </row>
    <row r="2273" spans="1:13" x14ac:dyDescent="0.3">
      <c r="A2273" s="3">
        <v>4019009</v>
      </c>
      <c r="B2273" s="4" t="s">
        <v>3592</v>
      </c>
      <c r="C2273" s="5" t="s">
        <v>7533</v>
      </c>
      <c r="D2273" s="5" t="s">
        <v>74</v>
      </c>
      <c r="E2273" s="3" t="s">
        <v>675</v>
      </c>
      <c r="F2273" s="6">
        <v>54</v>
      </c>
      <c r="G2273" s="6">
        <v>42</v>
      </c>
      <c r="H2273" s="6" t="s">
        <v>14</v>
      </c>
      <c r="I2273" s="7">
        <v>32</v>
      </c>
      <c r="J2273" s="3" t="s">
        <v>4317</v>
      </c>
      <c r="K2273" s="8">
        <v>0.23</v>
      </c>
      <c r="L2273" s="9" t="s">
        <v>7534</v>
      </c>
      <c r="M2273" s="1" t="s">
        <v>7535</v>
      </c>
    </row>
    <row r="2274" spans="1:13" x14ac:dyDescent="0.3">
      <c r="A2274" s="3">
        <v>4019010</v>
      </c>
      <c r="B2274" s="4" t="s">
        <v>3592</v>
      </c>
      <c r="C2274" s="5" t="s">
        <v>7530</v>
      </c>
      <c r="D2274" s="5" t="s">
        <v>96</v>
      </c>
      <c r="E2274" s="3" t="s">
        <v>675</v>
      </c>
      <c r="F2274" s="6">
        <v>35.5</v>
      </c>
      <c r="G2274" s="6">
        <v>30.5</v>
      </c>
      <c r="H2274" s="6">
        <v>25.5</v>
      </c>
      <c r="I2274" s="7">
        <v>32</v>
      </c>
      <c r="J2274" s="3" t="s">
        <v>4317</v>
      </c>
      <c r="K2274" s="8">
        <v>0.77</v>
      </c>
      <c r="L2274" s="9" t="s">
        <v>7531</v>
      </c>
      <c r="M2274" s="1" t="s">
        <v>7532</v>
      </c>
    </row>
    <row r="2275" spans="1:13" x14ac:dyDescent="0.3">
      <c r="A2275" s="3">
        <v>4019011</v>
      </c>
      <c r="B2275" s="72" t="s">
        <v>3592</v>
      </c>
      <c r="C2275" s="5" t="s">
        <v>7526</v>
      </c>
      <c r="D2275" s="5" t="s">
        <v>682</v>
      </c>
      <c r="E2275" s="65" t="s">
        <v>7527</v>
      </c>
      <c r="F2275" s="6">
        <v>17.5</v>
      </c>
      <c r="G2275" s="6">
        <v>2</v>
      </c>
      <c r="H2275" s="6">
        <v>17.5</v>
      </c>
      <c r="I2275" s="26">
        <v>26</v>
      </c>
      <c r="J2275" s="3" t="s">
        <v>4317</v>
      </c>
      <c r="K2275" s="8">
        <v>0.08</v>
      </c>
      <c r="L2275" s="9" t="s">
        <v>7528</v>
      </c>
      <c r="M2275" s="1" t="s">
        <v>7529</v>
      </c>
    </row>
    <row r="2276" spans="1:13" x14ac:dyDescent="0.3">
      <c r="A2276" s="3">
        <v>4019012</v>
      </c>
      <c r="B2276" s="72" t="s">
        <v>3592</v>
      </c>
      <c r="C2276" s="5" t="s">
        <v>7523</v>
      </c>
      <c r="D2276" s="5" t="s">
        <v>74</v>
      </c>
      <c r="E2276" s="3" t="s">
        <v>14</v>
      </c>
      <c r="F2276" s="6">
        <v>60</v>
      </c>
      <c r="G2276" s="6">
        <v>56</v>
      </c>
      <c r="H2276" s="6" t="s">
        <v>14</v>
      </c>
      <c r="I2276" s="7">
        <v>26</v>
      </c>
      <c r="J2276" s="3" t="s">
        <v>4317</v>
      </c>
      <c r="K2276" s="8" t="s">
        <v>14</v>
      </c>
      <c r="L2276" s="9" t="s">
        <v>7524</v>
      </c>
      <c r="M2276" s="1" t="s">
        <v>7525</v>
      </c>
    </row>
    <row r="2277" spans="1:13" x14ac:dyDescent="0.3">
      <c r="A2277" s="3">
        <v>4019013</v>
      </c>
      <c r="B2277" s="72" t="s">
        <v>3592</v>
      </c>
      <c r="C2277" s="5" t="s">
        <v>7520</v>
      </c>
      <c r="D2277" s="5" t="s">
        <v>96</v>
      </c>
      <c r="E2277" s="3" t="s">
        <v>3879</v>
      </c>
      <c r="F2277" s="6">
        <v>57</v>
      </c>
      <c r="G2277" s="6">
        <v>5</v>
      </c>
      <c r="H2277" s="6">
        <v>49</v>
      </c>
      <c r="I2277" s="7">
        <v>42</v>
      </c>
      <c r="J2277" s="3" t="s">
        <v>4318</v>
      </c>
      <c r="K2277" s="8">
        <v>2.31</v>
      </c>
      <c r="L2277" s="9" t="s">
        <v>7521</v>
      </c>
      <c r="M2277" s="1" t="s">
        <v>7522</v>
      </c>
    </row>
    <row r="2278" spans="1:13" x14ac:dyDescent="0.3">
      <c r="A2278" s="3">
        <v>4019014</v>
      </c>
      <c r="B2278" s="72" t="s">
        <v>3592</v>
      </c>
      <c r="C2278" s="5" t="s">
        <v>7513</v>
      </c>
      <c r="D2278" s="5" t="s">
        <v>96</v>
      </c>
      <c r="E2278" s="3" t="s">
        <v>7514</v>
      </c>
      <c r="F2278" s="6">
        <v>61</v>
      </c>
      <c r="G2278" s="6">
        <v>58</v>
      </c>
      <c r="H2278" s="6">
        <v>38</v>
      </c>
      <c r="I2278" s="7">
        <v>42</v>
      </c>
      <c r="J2278" s="3" t="s">
        <v>4318</v>
      </c>
      <c r="K2278" s="8">
        <v>2.35</v>
      </c>
      <c r="L2278" s="9" t="s">
        <v>7515</v>
      </c>
      <c r="M2278" s="1" t="s">
        <v>7516</v>
      </c>
    </row>
    <row r="2279" spans="1:13" x14ac:dyDescent="0.3">
      <c r="A2279" s="3">
        <v>4019015</v>
      </c>
      <c r="B2279" s="72" t="s">
        <v>3592</v>
      </c>
      <c r="C2279" s="5" t="s">
        <v>8009</v>
      </c>
      <c r="D2279" s="5" t="s">
        <v>96</v>
      </c>
      <c r="E2279" s="3" t="s">
        <v>14</v>
      </c>
      <c r="F2279" s="6">
        <v>57</v>
      </c>
      <c r="G2279" s="6">
        <v>48.5</v>
      </c>
      <c r="H2279" s="6">
        <v>20.5</v>
      </c>
      <c r="I2279" s="7">
        <v>42</v>
      </c>
      <c r="J2279" s="3" t="s">
        <v>4318</v>
      </c>
      <c r="K2279" s="8">
        <v>1.55</v>
      </c>
      <c r="L2279" s="9" t="s">
        <v>7471</v>
      </c>
      <c r="M2279" s="1" t="s">
        <v>7472</v>
      </c>
    </row>
    <row r="2280" spans="1:13" x14ac:dyDescent="0.3">
      <c r="A2280" s="3">
        <v>4019016</v>
      </c>
      <c r="B2280" s="72" t="s">
        <v>3592</v>
      </c>
      <c r="C2280" s="5" t="s">
        <v>7512</v>
      </c>
      <c r="D2280" s="5" t="s">
        <v>78</v>
      </c>
      <c r="E2280" s="5" t="s">
        <v>7468</v>
      </c>
      <c r="F2280" s="6">
        <v>56</v>
      </c>
      <c r="G2280" s="6">
        <v>22</v>
      </c>
      <c r="H2280" s="6">
        <v>69</v>
      </c>
      <c r="I2280" s="7">
        <v>42</v>
      </c>
      <c r="J2280" s="3" t="s">
        <v>4318</v>
      </c>
      <c r="K2280" s="8">
        <v>1.1000000000000001</v>
      </c>
      <c r="L2280" s="9" t="s">
        <v>7469</v>
      </c>
      <c r="M2280" s="1" t="s">
        <v>7470</v>
      </c>
    </row>
    <row r="2281" spans="1:13" x14ac:dyDescent="0.3">
      <c r="A2281" s="3">
        <v>4019017</v>
      </c>
      <c r="B2281" s="72" t="s">
        <v>3592</v>
      </c>
      <c r="C2281" s="5" t="s">
        <v>7464</v>
      </c>
      <c r="D2281" s="5" t="s">
        <v>96</v>
      </c>
      <c r="E2281" s="3" t="s">
        <v>5957</v>
      </c>
      <c r="F2281" s="6">
        <v>86</v>
      </c>
      <c r="G2281" s="6">
        <v>80</v>
      </c>
      <c r="H2281" s="6">
        <v>65.2</v>
      </c>
      <c r="I2281" s="7">
        <v>42</v>
      </c>
      <c r="J2281" s="3" t="s">
        <v>4318</v>
      </c>
      <c r="K2281" s="8">
        <v>2.5</v>
      </c>
      <c r="L2281" s="9" t="s">
        <v>7465</v>
      </c>
      <c r="M2281" s="1" t="s">
        <v>7467</v>
      </c>
    </row>
    <row r="2282" spans="1:13" x14ac:dyDescent="0.3">
      <c r="A2282" s="3">
        <v>4019018</v>
      </c>
      <c r="B2282" s="72" t="s">
        <v>3592</v>
      </c>
      <c r="C2282" s="5" t="s">
        <v>7462</v>
      </c>
      <c r="D2282" s="5" t="s">
        <v>96</v>
      </c>
      <c r="E2282" s="3" t="s">
        <v>5957</v>
      </c>
      <c r="F2282" s="6">
        <v>65.8</v>
      </c>
      <c r="G2282" s="6">
        <v>57</v>
      </c>
      <c r="H2282" s="6">
        <v>57.7</v>
      </c>
      <c r="I2282" s="7">
        <v>42</v>
      </c>
      <c r="J2282" s="3" t="s">
        <v>4318</v>
      </c>
      <c r="K2282" s="8">
        <v>2.89</v>
      </c>
      <c r="L2282" s="9" t="s">
        <v>7463</v>
      </c>
      <c r="M2282" s="1" t="s">
        <v>7466</v>
      </c>
    </row>
    <row r="2283" spans="1:13" x14ac:dyDescent="0.3">
      <c r="A2283" s="3">
        <v>4019019</v>
      </c>
      <c r="B2283" s="72" t="s">
        <v>3592</v>
      </c>
      <c r="C2283" s="5" t="s">
        <v>7434</v>
      </c>
      <c r="D2283" s="5" t="s">
        <v>96</v>
      </c>
      <c r="E2283" s="3" t="s">
        <v>7435</v>
      </c>
      <c r="F2283" s="6">
        <v>61</v>
      </c>
      <c r="G2283" s="6">
        <v>59</v>
      </c>
      <c r="H2283" s="6">
        <v>21</v>
      </c>
      <c r="I2283" s="7">
        <v>42</v>
      </c>
      <c r="J2283" s="3" t="s">
        <v>4318</v>
      </c>
      <c r="K2283" s="8">
        <v>1.98</v>
      </c>
      <c r="L2283" s="9" t="s">
        <v>7441</v>
      </c>
      <c r="M2283" s="1" t="s">
        <v>7436</v>
      </c>
    </row>
    <row r="2284" spans="1:13" x14ac:dyDescent="0.3">
      <c r="A2284" s="3">
        <v>4019020</v>
      </c>
      <c r="B2284" s="72" t="s">
        <v>3592</v>
      </c>
      <c r="C2284" s="5" t="s">
        <v>3593</v>
      </c>
      <c r="D2284" s="5" t="s">
        <v>74</v>
      </c>
      <c r="E2284" s="3" t="s">
        <v>14</v>
      </c>
      <c r="F2284" s="6">
        <v>90</v>
      </c>
      <c r="G2284" s="6">
        <v>42</v>
      </c>
      <c r="H2284" s="6">
        <v>0</v>
      </c>
      <c r="I2284" s="7" t="s">
        <v>4315</v>
      </c>
      <c r="J2284" s="3" t="s">
        <v>4317</v>
      </c>
      <c r="K2284" s="8" t="s">
        <v>4482</v>
      </c>
      <c r="L2284" s="9" t="s">
        <v>3594</v>
      </c>
      <c r="M2284" s="1" t="s">
        <v>3595</v>
      </c>
    </row>
    <row r="2285" spans="1:13" x14ac:dyDescent="0.3">
      <c r="A2285" s="3">
        <v>4019021</v>
      </c>
      <c r="B2285" s="72" t="s">
        <v>3592</v>
      </c>
      <c r="C2285" s="5" t="s">
        <v>7439</v>
      </c>
      <c r="D2285" s="5" t="s">
        <v>78</v>
      </c>
      <c r="E2285" s="3" t="s">
        <v>7440</v>
      </c>
      <c r="F2285" s="6">
        <v>51.5</v>
      </c>
      <c r="G2285" s="6">
        <v>17</v>
      </c>
      <c r="H2285" s="6">
        <v>77.5</v>
      </c>
      <c r="I2285" s="7">
        <v>42</v>
      </c>
      <c r="J2285" s="3" t="s">
        <v>4318</v>
      </c>
      <c r="K2285" s="8"/>
      <c r="L2285" s="9" t="s">
        <v>7358</v>
      </c>
      <c r="M2285" s="1" t="s">
        <v>7443</v>
      </c>
    </row>
    <row r="2286" spans="1:13" x14ac:dyDescent="0.3">
      <c r="A2286" s="3">
        <v>4019022</v>
      </c>
      <c r="B2286" s="72" t="s">
        <v>3592</v>
      </c>
      <c r="C2286" s="5" t="s">
        <v>7444</v>
      </c>
      <c r="D2286" s="5" t="s">
        <v>78</v>
      </c>
      <c r="E2286" s="3" t="s">
        <v>7445</v>
      </c>
      <c r="F2286" s="6">
        <v>55.5</v>
      </c>
      <c r="G2286" s="6">
        <v>17</v>
      </c>
      <c r="H2286" s="6">
        <v>141</v>
      </c>
      <c r="I2286" s="7">
        <v>42</v>
      </c>
      <c r="J2286" s="3" t="s">
        <v>4318</v>
      </c>
      <c r="K2286" s="8">
        <v>2.62</v>
      </c>
      <c r="L2286" s="9" t="s">
        <v>7446</v>
      </c>
      <c r="M2286" s="1" t="s">
        <v>7447</v>
      </c>
    </row>
    <row r="2287" spans="1:13" x14ac:dyDescent="0.3">
      <c r="A2287" s="3">
        <v>4019029</v>
      </c>
      <c r="B2287" s="72" t="s">
        <v>3592</v>
      </c>
      <c r="C2287" s="5" t="s">
        <v>7356</v>
      </c>
      <c r="D2287" s="5" t="s">
        <v>96</v>
      </c>
      <c r="E2287" s="3" t="s">
        <v>7357</v>
      </c>
      <c r="F2287" s="6">
        <v>90.5</v>
      </c>
      <c r="G2287" s="6">
        <v>62.5</v>
      </c>
      <c r="H2287" s="6">
        <v>35</v>
      </c>
      <c r="I2287" s="7">
        <v>48</v>
      </c>
      <c r="J2287" s="3" t="s">
        <v>4318</v>
      </c>
      <c r="K2287" s="8">
        <v>1.31</v>
      </c>
      <c r="L2287" s="9" t="s">
        <v>7442</v>
      </c>
      <c r="M2287" s="1" t="s">
        <v>7359</v>
      </c>
    </row>
    <row r="2288" spans="1:13" x14ac:dyDescent="0.3">
      <c r="A2288" s="3">
        <v>4010030</v>
      </c>
      <c r="B2288" s="72" t="s">
        <v>3592</v>
      </c>
      <c r="C2288" s="5">
        <v>615838</v>
      </c>
      <c r="D2288" s="5" t="s">
        <v>96</v>
      </c>
      <c r="E2288" s="3" t="s">
        <v>3596</v>
      </c>
      <c r="F2288" s="6">
        <v>90.5</v>
      </c>
      <c r="G2288" s="6">
        <v>52.5</v>
      </c>
      <c r="H2288" s="6">
        <v>35</v>
      </c>
      <c r="I2288" s="7" t="s">
        <v>4316</v>
      </c>
      <c r="J2288" s="3" t="s">
        <v>4318</v>
      </c>
      <c r="K2288" s="8" t="s">
        <v>4753</v>
      </c>
      <c r="L2288" s="9" t="s">
        <v>6958</v>
      </c>
      <c r="M2288" s="1" t="s">
        <v>3597</v>
      </c>
    </row>
    <row r="2289" spans="1:13" x14ac:dyDescent="0.3">
      <c r="A2289" s="3">
        <v>4014031</v>
      </c>
      <c r="B2289" s="72" t="s">
        <v>3592</v>
      </c>
      <c r="C2289" s="5" t="s">
        <v>3598</v>
      </c>
      <c r="D2289" s="5" t="s">
        <v>392</v>
      </c>
      <c r="E2289" s="3" t="s">
        <v>14</v>
      </c>
      <c r="F2289" s="6">
        <v>120</v>
      </c>
      <c r="G2289" s="6">
        <v>30.5</v>
      </c>
      <c r="H2289" s="6">
        <v>0</v>
      </c>
      <c r="I2289" s="7" t="s">
        <v>4315</v>
      </c>
      <c r="J2289" s="3" t="s">
        <v>4317</v>
      </c>
      <c r="K2289" s="8" t="s">
        <v>4462</v>
      </c>
      <c r="L2289" s="9" t="s">
        <v>6959</v>
      </c>
      <c r="M2289" s="1" t="s">
        <v>3599</v>
      </c>
    </row>
    <row r="2290" spans="1:13" x14ac:dyDescent="0.3">
      <c r="A2290" s="3">
        <v>4017032</v>
      </c>
      <c r="B2290" s="72" t="s">
        <v>3592</v>
      </c>
      <c r="C2290" s="5">
        <v>81</v>
      </c>
      <c r="D2290" s="5" t="s">
        <v>167</v>
      </c>
      <c r="E2290" s="3" t="s">
        <v>3600</v>
      </c>
      <c r="F2290" s="6">
        <v>100</v>
      </c>
      <c r="G2290" s="6">
        <v>30.5</v>
      </c>
      <c r="H2290" s="6">
        <v>0</v>
      </c>
      <c r="I2290" s="7" t="s">
        <v>4315</v>
      </c>
      <c r="J2290" s="3" t="s">
        <v>4317</v>
      </c>
      <c r="K2290" s="8" t="s">
        <v>4648</v>
      </c>
      <c r="L2290" s="9" t="s">
        <v>6960</v>
      </c>
      <c r="M2290" s="1" t="s">
        <v>3601</v>
      </c>
    </row>
    <row r="2291" spans="1:13" x14ac:dyDescent="0.3">
      <c r="A2291" s="3">
        <v>4019033</v>
      </c>
      <c r="B2291" s="4" t="s">
        <v>3592</v>
      </c>
      <c r="C2291" s="5">
        <v>81</v>
      </c>
      <c r="D2291" s="5" t="s">
        <v>74</v>
      </c>
      <c r="E2291" s="3" t="s">
        <v>3600</v>
      </c>
      <c r="F2291" s="6">
        <v>136</v>
      </c>
      <c r="G2291" s="6">
        <v>112</v>
      </c>
      <c r="H2291" s="6">
        <v>95</v>
      </c>
      <c r="I2291" s="7" t="s">
        <v>4345</v>
      </c>
      <c r="J2291" s="3" t="s">
        <v>4347</v>
      </c>
      <c r="K2291" s="8" t="s">
        <v>4754</v>
      </c>
      <c r="L2291" s="9" t="s">
        <v>6961</v>
      </c>
      <c r="M2291" s="1" t="s">
        <v>3602</v>
      </c>
    </row>
    <row r="2292" spans="1:13" x14ac:dyDescent="0.3">
      <c r="A2292" s="3">
        <v>4019034</v>
      </c>
      <c r="B2292" s="4" t="s">
        <v>3592</v>
      </c>
      <c r="C2292" s="5">
        <v>81</v>
      </c>
      <c r="D2292" s="5" t="s">
        <v>74</v>
      </c>
      <c r="E2292" s="3" t="s">
        <v>3600</v>
      </c>
      <c r="F2292" s="6">
        <v>133</v>
      </c>
      <c r="G2292" s="6">
        <v>109</v>
      </c>
      <c r="H2292" s="6">
        <v>0</v>
      </c>
      <c r="I2292" s="7" t="s">
        <v>4345</v>
      </c>
      <c r="J2292" s="3" t="s">
        <v>4347</v>
      </c>
      <c r="K2292" s="8" t="s">
        <v>4588</v>
      </c>
      <c r="L2292" s="9" t="s">
        <v>6962</v>
      </c>
      <c r="M2292" s="1" t="s">
        <v>3603</v>
      </c>
    </row>
    <row r="2293" spans="1:13" x14ac:dyDescent="0.3">
      <c r="A2293" s="3">
        <v>4014035</v>
      </c>
      <c r="B2293" s="4" t="s">
        <v>3592</v>
      </c>
      <c r="C2293" s="5">
        <v>81</v>
      </c>
      <c r="D2293" s="5" t="s">
        <v>392</v>
      </c>
      <c r="E2293" s="3" t="s">
        <v>3600</v>
      </c>
      <c r="F2293" s="6">
        <v>138.69999999999999</v>
      </c>
      <c r="G2293" s="6">
        <v>114.7</v>
      </c>
      <c r="H2293" s="6">
        <v>15</v>
      </c>
      <c r="I2293" s="7" t="s">
        <v>4316</v>
      </c>
      <c r="J2293" s="3" t="s">
        <v>4318</v>
      </c>
      <c r="K2293" s="8" t="s">
        <v>4755</v>
      </c>
      <c r="L2293" s="9" t="s">
        <v>6963</v>
      </c>
      <c r="M2293" s="1" t="s">
        <v>3604</v>
      </c>
    </row>
    <row r="2294" spans="1:13" x14ac:dyDescent="0.3">
      <c r="A2294" s="3">
        <v>4017036</v>
      </c>
      <c r="B2294" s="4" t="s">
        <v>3592</v>
      </c>
      <c r="C2294" s="5">
        <v>82</v>
      </c>
      <c r="D2294" s="5" t="s">
        <v>167</v>
      </c>
      <c r="E2294" s="3" t="s">
        <v>3605</v>
      </c>
      <c r="F2294" s="6">
        <v>112.5</v>
      </c>
      <c r="G2294" s="6">
        <v>105</v>
      </c>
      <c r="H2294" s="6">
        <v>97</v>
      </c>
      <c r="I2294" s="7" t="s">
        <v>4446</v>
      </c>
      <c r="J2294" s="3" t="s">
        <v>4318</v>
      </c>
      <c r="K2294" s="8" t="s">
        <v>4756</v>
      </c>
      <c r="L2294" s="9" t="s">
        <v>6964</v>
      </c>
      <c r="M2294" s="1" t="s">
        <v>3606</v>
      </c>
    </row>
    <row r="2295" spans="1:13" x14ac:dyDescent="0.3">
      <c r="A2295" s="3">
        <v>4019037</v>
      </c>
      <c r="B2295" s="4" t="s">
        <v>3592</v>
      </c>
      <c r="C2295" s="5">
        <v>82</v>
      </c>
      <c r="D2295" s="5" t="s">
        <v>74</v>
      </c>
      <c r="E2295" s="3" t="s">
        <v>3605</v>
      </c>
      <c r="F2295" s="6">
        <v>57</v>
      </c>
      <c r="G2295" s="6">
        <v>28</v>
      </c>
      <c r="H2295" s="6">
        <v>0</v>
      </c>
      <c r="I2295" s="7" t="s">
        <v>4315</v>
      </c>
      <c r="J2295" s="3" t="s">
        <v>4317</v>
      </c>
      <c r="K2295" s="8" t="s">
        <v>4431</v>
      </c>
      <c r="L2295" s="9" t="s">
        <v>6965</v>
      </c>
      <c r="M2295" s="1" t="s">
        <v>3607</v>
      </c>
    </row>
    <row r="2296" spans="1:13" x14ac:dyDescent="0.3">
      <c r="A2296" s="3">
        <v>4020038</v>
      </c>
      <c r="B2296" s="4" t="s">
        <v>3592</v>
      </c>
      <c r="C2296" s="5">
        <v>82</v>
      </c>
      <c r="D2296" s="5" t="s">
        <v>264</v>
      </c>
      <c r="E2296" s="3" t="s">
        <v>3605</v>
      </c>
      <c r="F2296" s="6">
        <v>57</v>
      </c>
      <c r="G2296" s="6">
        <v>24</v>
      </c>
      <c r="H2296" s="6">
        <v>0</v>
      </c>
      <c r="I2296" s="7" t="s">
        <v>4315</v>
      </c>
      <c r="J2296" s="3" t="s">
        <v>4317</v>
      </c>
      <c r="K2296" s="8" t="s">
        <v>4580</v>
      </c>
      <c r="L2296" s="9" t="s">
        <v>6966</v>
      </c>
      <c r="M2296" s="1" t="s">
        <v>3608</v>
      </c>
    </row>
    <row r="2297" spans="1:13" x14ac:dyDescent="0.3">
      <c r="A2297" s="3">
        <v>4021039</v>
      </c>
      <c r="B2297" s="4" t="s">
        <v>3592</v>
      </c>
      <c r="C2297" s="5">
        <v>82</v>
      </c>
      <c r="D2297" s="5" t="s">
        <v>267</v>
      </c>
      <c r="E2297" s="3" t="s">
        <v>3605</v>
      </c>
      <c r="F2297" s="6">
        <v>61</v>
      </c>
      <c r="G2297" s="6">
        <v>58</v>
      </c>
      <c r="H2297" s="6">
        <v>38</v>
      </c>
      <c r="I2297" s="7" t="s">
        <v>4316</v>
      </c>
      <c r="J2297" s="3" t="s">
        <v>4318</v>
      </c>
      <c r="K2297" s="8" t="s">
        <v>4757</v>
      </c>
      <c r="L2297" s="9" t="s">
        <v>6967</v>
      </c>
      <c r="M2297" s="1" t="s">
        <v>3609</v>
      </c>
    </row>
    <row r="2298" spans="1:13" x14ac:dyDescent="0.3">
      <c r="A2298" s="3">
        <v>4014040</v>
      </c>
      <c r="B2298" s="4" t="s">
        <v>3592</v>
      </c>
      <c r="C2298" s="5">
        <v>82</v>
      </c>
      <c r="D2298" s="5" t="s">
        <v>392</v>
      </c>
      <c r="E2298" s="3" t="s">
        <v>3605</v>
      </c>
      <c r="F2298" s="6">
        <v>120.4</v>
      </c>
      <c r="G2298" s="6">
        <v>100.4</v>
      </c>
      <c r="H2298" s="6">
        <v>10.5</v>
      </c>
      <c r="I2298" s="7" t="s">
        <v>4315</v>
      </c>
      <c r="J2298" s="3" t="s">
        <v>4317</v>
      </c>
      <c r="K2298" s="8" t="s">
        <v>4660</v>
      </c>
      <c r="L2298" s="9" t="s">
        <v>6968</v>
      </c>
      <c r="M2298" s="1" t="s">
        <v>3610</v>
      </c>
    </row>
    <row r="2299" spans="1:13" x14ac:dyDescent="0.3">
      <c r="A2299" s="3">
        <v>4017041</v>
      </c>
      <c r="B2299" s="4" t="s">
        <v>3592</v>
      </c>
      <c r="C2299" s="5" t="s">
        <v>3611</v>
      </c>
      <c r="D2299" s="5" t="s">
        <v>167</v>
      </c>
      <c r="E2299" s="3" t="s">
        <v>3611</v>
      </c>
      <c r="F2299" s="6">
        <v>117.5</v>
      </c>
      <c r="G2299" s="6">
        <v>96.5</v>
      </c>
      <c r="H2299" s="6">
        <v>76.2</v>
      </c>
      <c r="I2299" s="7" t="s">
        <v>4316</v>
      </c>
      <c r="J2299" s="3" t="s">
        <v>4318</v>
      </c>
      <c r="K2299" s="8" t="s">
        <v>4758</v>
      </c>
      <c r="L2299" s="9" t="s">
        <v>6969</v>
      </c>
      <c r="M2299" s="1" t="s">
        <v>3612</v>
      </c>
    </row>
    <row r="2300" spans="1:13" x14ac:dyDescent="0.3">
      <c r="A2300" s="3">
        <v>4019042</v>
      </c>
      <c r="B2300" s="4" t="s">
        <v>3592</v>
      </c>
      <c r="C2300" s="5" t="s">
        <v>3611</v>
      </c>
      <c r="D2300" s="5" t="s">
        <v>74</v>
      </c>
      <c r="E2300" s="3" t="s">
        <v>3611</v>
      </c>
      <c r="F2300" s="6">
        <v>112.3</v>
      </c>
      <c r="G2300" s="6">
        <v>91.3</v>
      </c>
      <c r="H2300" s="6">
        <v>0</v>
      </c>
      <c r="I2300" s="7" t="s">
        <v>4316</v>
      </c>
      <c r="J2300" s="3" t="s">
        <v>4318</v>
      </c>
      <c r="K2300" s="8" t="s">
        <v>4597</v>
      </c>
      <c r="L2300" s="9" t="s">
        <v>6970</v>
      </c>
      <c r="M2300" s="1" t="s">
        <v>3613</v>
      </c>
    </row>
    <row r="2301" spans="1:13" x14ac:dyDescent="0.3">
      <c r="A2301" s="3">
        <v>4021043</v>
      </c>
      <c r="B2301" s="4" t="s">
        <v>3592</v>
      </c>
      <c r="C2301" s="5" t="s">
        <v>7827</v>
      </c>
      <c r="D2301" s="5" t="s">
        <v>682</v>
      </c>
      <c r="E2301" s="3" t="s">
        <v>7828</v>
      </c>
      <c r="F2301" s="6">
        <v>153</v>
      </c>
      <c r="G2301" s="6">
        <v>116</v>
      </c>
      <c r="H2301" s="6">
        <v>92</v>
      </c>
      <c r="I2301" s="7">
        <v>84</v>
      </c>
      <c r="J2301" s="3" t="s">
        <v>4318</v>
      </c>
      <c r="K2301" s="8">
        <v>2.57</v>
      </c>
      <c r="L2301" s="9" t="s">
        <v>6971</v>
      </c>
      <c r="M2301" s="24" t="s">
        <v>5233</v>
      </c>
    </row>
    <row r="2302" spans="1:13" x14ac:dyDescent="0.3">
      <c r="A2302" s="3">
        <v>4023044</v>
      </c>
      <c r="B2302" s="4" t="s">
        <v>3592</v>
      </c>
      <c r="C2302" s="5" t="s">
        <v>6075</v>
      </c>
      <c r="D2302" s="5" t="s">
        <v>682</v>
      </c>
      <c r="E2302" s="3" t="s">
        <v>465</v>
      </c>
      <c r="F2302" s="6">
        <v>112.5</v>
      </c>
      <c r="G2302" s="6">
        <v>105</v>
      </c>
      <c r="H2302" s="6">
        <v>97</v>
      </c>
      <c r="I2302" s="7">
        <v>51</v>
      </c>
      <c r="J2302" s="3" t="s">
        <v>4318</v>
      </c>
      <c r="K2302" s="8">
        <v>2.69</v>
      </c>
      <c r="L2302" s="9" t="s">
        <v>6972</v>
      </c>
      <c r="M2302" s="1" t="s">
        <v>6076</v>
      </c>
    </row>
    <row r="2303" spans="1:13" x14ac:dyDescent="0.3">
      <c r="A2303" s="3">
        <v>4014045</v>
      </c>
      <c r="B2303" s="4" t="s">
        <v>3592</v>
      </c>
      <c r="C2303" s="5" t="s">
        <v>3611</v>
      </c>
      <c r="D2303" s="5" t="s">
        <v>392</v>
      </c>
      <c r="E2303" s="3" t="s">
        <v>3611</v>
      </c>
      <c r="F2303" s="6">
        <v>121.5</v>
      </c>
      <c r="G2303" s="6">
        <v>119</v>
      </c>
      <c r="H2303" s="6">
        <v>15</v>
      </c>
      <c r="I2303" s="7" t="s">
        <v>4316</v>
      </c>
      <c r="J2303" s="3" t="s">
        <v>4318</v>
      </c>
      <c r="K2303" s="8">
        <v>2.2599999999999998</v>
      </c>
      <c r="L2303" s="9" t="s">
        <v>6973</v>
      </c>
      <c r="M2303" s="1" t="s">
        <v>3614</v>
      </c>
    </row>
    <row r="2304" spans="1:13" x14ac:dyDescent="0.3">
      <c r="A2304" s="3">
        <v>4019046</v>
      </c>
      <c r="B2304" s="4" t="s">
        <v>3592</v>
      </c>
      <c r="C2304" s="5" t="s">
        <v>3611</v>
      </c>
      <c r="D2304" s="5" t="s">
        <v>74</v>
      </c>
      <c r="E2304" s="3" t="s">
        <v>3611</v>
      </c>
      <c r="F2304" s="6">
        <v>113</v>
      </c>
      <c r="G2304" s="6">
        <v>60</v>
      </c>
      <c r="H2304" s="6">
        <v>0</v>
      </c>
      <c r="I2304" s="7">
        <v>32</v>
      </c>
      <c r="J2304" s="3" t="s">
        <v>4318</v>
      </c>
      <c r="K2304" s="8">
        <v>0.68</v>
      </c>
      <c r="L2304" s="9" t="s">
        <v>6974</v>
      </c>
      <c r="M2304" s="1" t="s">
        <v>3615</v>
      </c>
    </row>
    <row r="2305" spans="1:13" x14ac:dyDescent="0.3">
      <c r="A2305" s="3">
        <v>4024047</v>
      </c>
      <c r="B2305" s="4" t="s">
        <v>3592</v>
      </c>
      <c r="C2305" s="5" t="s">
        <v>5230</v>
      </c>
      <c r="D2305" s="5" t="s">
        <v>96</v>
      </c>
      <c r="E2305" s="3" t="s">
        <v>5231</v>
      </c>
      <c r="F2305" s="6">
        <v>57</v>
      </c>
      <c r="G2305" s="6">
        <v>54</v>
      </c>
      <c r="H2305" s="6">
        <v>27</v>
      </c>
      <c r="I2305" s="7">
        <v>42</v>
      </c>
      <c r="J2305" s="3" t="s">
        <v>4318</v>
      </c>
      <c r="K2305" s="8">
        <v>1.86</v>
      </c>
      <c r="L2305" s="9" t="s">
        <v>6975</v>
      </c>
      <c r="M2305" s="1" t="s">
        <v>5242</v>
      </c>
    </row>
    <row r="2306" spans="1:13" x14ac:dyDescent="0.3">
      <c r="A2306" s="3">
        <v>4029048</v>
      </c>
      <c r="B2306" s="4" t="s">
        <v>3592</v>
      </c>
      <c r="C2306" s="5" t="s">
        <v>5244</v>
      </c>
      <c r="D2306" s="5" t="s">
        <v>96</v>
      </c>
      <c r="E2306" s="3" t="s">
        <v>5232</v>
      </c>
      <c r="F2306" s="6">
        <v>68</v>
      </c>
      <c r="G2306" s="6">
        <v>52</v>
      </c>
      <c r="H2306" s="6">
        <v>28</v>
      </c>
      <c r="I2306" s="7">
        <v>42</v>
      </c>
      <c r="J2306" s="3" t="s">
        <v>4318</v>
      </c>
      <c r="K2306" s="8">
        <v>1.92</v>
      </c>
      <c r="L2306" s="9" t="s">
        <v>6957</v>
      </c>
      <c r="M2306" s="1" t="s">
        <v>5243</v>
      </c>
    </row>
    <row r="2307" spans="1:13" x14ac:dyDescent="0.3">
      <c r="A2307" s="3">
        <v>4034049</v>
      </c>
      <c r="B2307" s="4" t="s">
        <v>3592</v>
      </c>
      <c r="C2307" s="5" t="s">
        <v>6954</v>
      </c>
      <c r="D2307" s="5" t="s">
        <v>96</v>
      </c>
      <c r="E2307" s="3" t="s">
        <v>7352</v>
      </c>
      <c r="F2307" s="6">
        <v>57</v>
      </c>
      <c r="G2307" s="6">
        <v>44.5</v>
      </c>
      <c r="H2307" s="6">
        <v>36.5</v>
      </c>
      <c r="I2307" s="7">
        <v>42</v>
      </c>
      <c r="J2307" s="3" t="s">
        <v>4318</v>
      </c>
      <c r="K2307" s="8">
        <v>1.7</v>
      </c>
      <c r="L2307" s="9" t="s">
        <v>6955</v>
      </c>
      <c r="M2307" s="1" t="s">
        <v>6956</v>
      </c>
    </row>
    <row r="2308" spans="1:13" x14ac:dyDescent="0.3">
      <c r="A2308" s="3">
        <v>4039050</v>
      </c>
      <c r="B2308" s="4" t="s">
        <v>3592</v>
      </c>
      <c r="C2308" s="5" t="s">
        <v>6976</v>
      </c>
      <c r="D2308" s="5" t="s">
        <v>96</v>
      </c>
      <c r="E2308" s="3" t="s">
        <v>6976</v>
      </c>
      <c r="F2308" s="6">
        <v>95</v>
      </c>
      <c r="G2308" s="6">
        <v>55.2</v>
      </c>
      <c r="H2308" s="6">
        <v>81.8</v>
      </c>
      <c r="I2308" s="7">
        <v>42</v>
      </c>
      <c r="J2308" s="3" t="s">
        <v>4318</v>
      </c>
      <c r="K2308" s="8">
        <v>2.7</v>
      </c>
      <c r="L2308" s="9" t="s">
        <v>6978</v>
      </c>
      <c r="M2308" s="1" t="s">
        <v>6977</v>
      </c>
    </row>
    <row r="2309" spans="1:13" x14ac:dyDescent="0.3">
      <c r="A2309" s="3">
        <v>4044051</v>
      </c>
      <c r="B2309" s="4" t="s">
        <v>3592</v>
      </c>
      <c r="C2309" s="5" t="s">
        <v>7278</v>
      </c>
      <c r="D2309" s="5" t="s">
        <v>6070</v>
      </c>
      <c r="E2309" s="3" t="s">
        <v>7278</v>
      </c>
      <c r="F2309" s="6">
        <v>25</v>
      </c>
      <c r="G2309" s="6">
        <v>12</v>
      </c>
      <c r="H2309" s="6" t="s">
        <v>14</v>
      </c>
      <c r="I2309" s="7">
        <v>26</v>
      </c>
      <c r="J2309" s="3" t="s">
        <v>4317</v>
      </c>
      <c r="K2309" s="8">
        <v>0.03</v>
      </c>
      <c r="L2309" s="9" t="s">
        <v>7280</v>
      </c>
      <c r="M2309" s="1" t="s">
        <v>7279</v>
      </c>
    </row>
    <row r="2310" spans="1:13" x14ac:dyDescent="0.3">
      <c r="A2310" s="3">
        <v>4044056</v>
      </c>
      <c r="B2310" s="4" t="s">
        <v>3592</v>
      </c>
      <c r="C2310" s="5" t="s">
        <v>7517</v>
      </c>
      <c r="D2310" s="5" t="s">
        <v>96</v>
      </c>
      <c r="E2310" s="3" t="s">
        <v>7517</v>
      </c>
      <c r="F2310" s="6">
        <v>65</v>
      </c>
      <c r="G2310" s="6">
        <v>56</v>
      </c>
      <c r="H2310" s="6">
        <v>50</v>
      </c>
      <c r="I2310" s="7">
        <v>81</v>
      </c>
      <c r="J2310" s="3" t="s">
        <v>4318</v>
      </c>
      <c r="K2310" s="8">
        <v>2.67</v>
      </c>
      <c r="L2310" s="9" t="s">
        <v>7518</v>
      </c>
      <c r="M2310" s="1" t="s">
        <v>7519</v>
      </c>
    </row>
    <row r="2311" spans="1:13" x14ac:dyDescent="0.3">
      <c r="A2311" s="3">
        <v>4044057</v>
      </c>
      <c r="B2311" s="4" t="s">
        <v>3592</v>
      </c>
      <c r="C2311" s="5" t="s">
        <v>7736</v>
      </c>
      <c r="D2311" s="5" t="s">
        <v>96</v>
      </c>
      <c r="E2311" s="3" t="s">
        <v>7737</v>
      </c>
      <c r="F2311" s="6">
        <v>55</v>
      </c>
      <c r="G2311" s="6">
        <v>47</v>
      </c>
      <c r="H2311" s="6">
        <v>20</v>
      </c>
      <c r="I2311" s="7">
        <v>42</v>
      </c>
      <c r="J2311" s="3" t="s">
        <v>4318</v>
      </c>
      <c r="K2311" s="8">
        <v>1.42</v>
      </c>
      <c r="L2311" s="9" t="s">
        <v>7738</v>
      </c>
      <c r="M2311" s="1" t="s">
        <v>7741</v>
      </c>
    </row>
    <row r="2312" spans="1:13" x14ac:dyDescent="0.3">
      <c r="A2312" s="3">
        <v>4044058</v>
      </c>
      <c r="B2312" s="4" t="s">
        <v>3592</v>
      </c>
      <c r="C2312" s="5" t="s">
        <v>7740</v>
      </c>
      <c r="D2312" s="5" t="s">
        <v>96</v>
      </c>
      <c r="E2312" s="3" t="s">
        <v>7737</v>
      </c>
      <c r="F2312" s="6">
        <v>48</v>
      </c>
      <c r="G2312" s="6">
        <v>19</v>
      </c>
      <c r="H2312" s="6">
        <v>85</v>
      </c>
      <c r="I2312" s="7">
        <v>42</v>
      </c>
      <c r="J2312" s="3" t="s">
        <v>4318</v>
      </c>
      <c r="K2312" s="8">
        <v>1.46</v>
      </c>
      <c r="L2312" s="9" t="s">
        <v>7739</v>
      </c>
      <c r="M2312" s="1" t="s">
        <v>7742</v>
      </c>
    </row>
    <row r="2313" spans="1:13" x14ac:dyDescent="0.3">
      <c r="A2313" s="3">
        <v>40240004</v>
      </c>
      <c r="B2313" s="4" t="s">
        <v>3592</v>
      </c>
      <c r="C2313" s="5" t="s">
        <v>5059</v>
      </c>
      <c r="D2313" s="5" t="s">
        <v>5052</v>
      </c>
      <c r="E2313" s="3" t="s">
        <v>5059</v>
      </c>
      <c r="F2313" s="6" t="s">
        <v>14</v>
      </c>
      <c r="G2313" s="6" t="s">
        <v>14</v>
      </c>
      <c r="H2313" s="6"/>
      <c r="I2313" s="3" t="s">
        <v>14</v>
      </c>
      <c r="J2313" s="3" t="s">
        <v>14</v>
      </c>
      <c r="K2313" s="8" t="s">
        <v>14</v>
      </c>
      <c r="L2313" s="9" t="s">
        <v>5056</v>
      </c>
      <c r="M2313" s="1" t="s">
        <v>5064</v>
      </c>
    </row>
    <row r="2314" spans="1:13" x14ac:dyDescent="0.3">
      <c r="A2314" s="3">
        <v>5020001</v>
      </c>
      <c r="B2314" s="4" t="s">
        <v>4861</v>
      </c>
      <c r="C2314" s="5" t="s">
        <v>4867</v>
      </c>
      <c r="D2314" s="5" t="s">
        <v>74</v>
      </c>
      <c r="E2314" s="3" t="s">
        <v>14</v>
      </c>
      <c r="F2314" s="6">
        <v>45</v>
      </c>
      <c r="G2314" s="6">
        <v>7</v>
      </c>
      <c r="H2314" s="6">
        <v>0</v>
      </c>
      <c r="I2314" s="7">
        <v>26</v>
      </c>
      <c r="J2314" s="3" t="s">
        <v>4317</v>
      </c>
      <c r="K2314" s="8">
        <v>3.0000000000000001E-3</v>
      </c>
      <c r="L2314" s="9" t="s">
        <v>4862</v>
      </c>
      <c r="M2314" s="1" t="s">
        <v>4868</v>
      </c>
    </row>
    <row r="2315" spans="1:13" x14ac:dyDescent="0.3">
      <c r="A2315" s="3">
        <v>5020002</v>
      </c>
      <c r="B2315" s="4" t="s">
        <v>4861</v>
      </c>
      <c r="C2315" s="5" t="s">
        <v>4869</v>
      </c>
      <c r="D2315" s="5" t="s">
        <v>74</v>
      </c>
      <c r="E2315" s="3" t="s">
        <v>14</v>
      </c>
      <c r="F2315" s="6">
        <v>14</v>
      </c>
      <c r="G2315" s="6">
        <v>3</v>
      </c>
      <c r="H2315" s="6">
        <v>0</v>
      </c>
      <c r="I2315" s="7" t="s">
        <v>4871</v>
      </c>
      <c r="J2315" s="3" t="s">
        <v>4870</v>
      </c>
      <c r="K2315" s="8">
        <v>1E-4</v>
      </c>
      <c r="L2315" s="9" t="s">
        <v>4863</v>
      </c>
      <c r="M2315" s="1" t="s">
        <v>4872</v>
      </c>
    </row>
    <row r="2316" spans="1:13" x14ac:dyDescent="0.3">
      <c r="A2316" s="3">
        <v>5020003</v>
      </c>
      <c r="B2316" s="4" t="s">
        <v>4861</v>
      </c>
      <c r="C2316" s="5" t="s">
        <v>4876</v>
      </c>
      <c r="D2316" s="5" t="s">
        <v>74</v>
      </c>
      <c r="E2316" s="3" t="s">
        <v>14</v>
      </c>
      <c r="F2316" s="6">
        <v>25</v>
      </c>
      <c r="G2316" s="6">
        <v>7</v>
      </c>
      <c r="H2316" s="6">
        <v>0</v>
      </c>
      <c r="I2316" s="7">
        <v>26</v>
      </c>
      <c r="J2316" s="3" t="s">
        <v>4317</v>
      </c>
      <c r="K2316" s="8">
        <v>0.02</v>
      </c>
      <c r="L2316" s="9" t="s">
        <v>4864</v>
      </c>
      <c r="M2316" s="1" t="s">
        <v>4873</v>
      </c>
    </row>
    <row r="2317" spans="1:13" x14ac:dyDescent="0.3">
      <c r="A2317" s="3">
        <v>5020004</v>
      </c>
      <c r="B2317" s="4" t="s">
        <v>4861</v>
      </c>
      <c r="C2317" s="5" t="s">
        <v>4877</v>
      </c>
      <c r="D2317" s="5" t="s">
        <v>74</v>
      </c>
      <c r="E2317" s="3" t="s">
        <v>14</v>
      </c>
      <c r="F2317" s="6">
        <v>25</v>
      </c>
      <c r="G2317" s="6">
        <v>93</v>
      </c>
      <c r="H2317" s="6">
        <v>0</v>
      </c>
      <c r="I2317" s="7">
        <v>26</v>
      </c>
      <c r="J2317" s="3" t="s">
        <v>4317</v>
      </c>
      <c r="K2317" s="8">
        <v>0.23</v>
      </c>
      <c r="L2317" s="9" t="s">
        <v>4865</v>
      </c>
      <c r="M2317" s="1" t="s">
        <v>4874</v>
      </c>
    </row>
    <row r="2318" spans="1:13" x14ac:dyDescent="0.3">
      <c r="A2318" s="3">
        <v>5020005</v>
      </c>
      <c r="B2318" s="4" t="s">
        <v>4861</v>
      </c>
      <c r="C2318" s="5" t="s">
        <v>4878</v>
      </c>
      <c r="D2318" s="5" t="s">
        <v>74</v>
      </c>
      <c r="E2318" s="3" t="s">
        <v>14</v>
      </c>
      <c r="F2318" s="6">
        <v>85</v>
      </c>
      <c r="G2318" s="6">
        <v>25</v>
      </c>
      <c r="H2318" s="6">
        <v>0</v>
      </c>
      <c r="I2318" s="7">
        <v>26</v>
      </c>
      <c r="J2318" s="3" t="s">
        <v>4317</v>
      </c>
      <c r="K2318" s="8">
        <v>0.21</v>
      </c>
      <c r="L2318" s="9" t="s">
        <v>4866</v>
      </c>
      <c r="M2318" s="1" t="s">
        <v>4875</v>
      </c>
    </row>
    <row r="2319" spans="1:13" x14ac:dyDescent="0.3">
      <c r="A2319" s="3">
        <v>1513001</v>
      </c>
      <c r="B2319" s="4" t="s">
        <v>7992</v>
      </c>
      <c r="C2319" s="5" t="s">
        <v>7256</v>
      </c>
      <c r="D2319" s="5" t="s">
        <v>96</v>
      </c>
      <c r="E2319" s="3" t="s">
        <v>14</v>
      </c>
      <c r="F2319" s="6">
        <v>19.5</v>
      </c>
      <c r="G2319" s="6">
        <v>19.5</v>
      </c>
      <c r="H2319" s="6">
        <v>19.100000000000001</v>
      </c>
      <c r="I2319" s="7">
        <v>32</v>
      </c>
      <c r="J2319" s="3" t="s">
        <v>4317</v>
      </c>
      <c r="K2319" s="8">
        <v>0.32</v>
      </c>
      <c r="L2319" s="9" t="s">
        <v>7360</v>
      </c>
      <c r="M2319" s="1" t="s">
        <v>7974</v>
      </c>
    </row>
    <row r="2320" spans="1:13" x14ac:dyDescent="0.3">
      <c r="A2320" s="3">
        <v>1513002</v>
      </c>
      <c r="B2320" s="4" t="s">
        <v>7992</v>
      </c>
      <c r="C2320" s="5" t="s">
        <v>7257</v>
      </c>
      <c r="D2320" s="5" t="s">
        <v>74</v>
      </c>
      <c r="E2320" s="3" t="s">
        <v>14</v>
      </c>
      <c r="F2320" s="6">
        <v>53.5</v>
      </c>
      <c r="G2320" s="6">
        <v>51</v>
      </c>
      <c r="H2320" s="6" t="s">
        <v>14</v>
      </c>
      <c r="I2320" s="7">
        <v>32</v>
      </c>
      <c r="J2320" s="3" t="s">
        <v>4317</v>
      </c>
      <c r="K2320" s="8">
        <v>0.27</v>
      </c>
      <c r="L2320" s="9" t="s">
        <v>7372</v>
      </c>
      <c r="M2320" s="1" t="s">
        <v>7396</v>
      </c>
    </row>
    <row r="2321" spans="1:13" x14ac:dyDescent="0.3">
      <c r="A2321" s="3">
        <v>1513003</v>
      </c>
      <c r="B2321" s="4" t="s">
        <v>7992</v>
      </c>
      <c r="C2321" s="5" t="s">
        <v>7258</v>
      </c>
      <c r="D2321" s="5" t="s">
        <v>96</v>
      </c>
      <c r="E2321" s="3" t="s">
        <v>14</v>
      </c>
      <c r="F2321" s="6">
        <v>50</v>
      </c>
      <c r="G2321" s="6">
        <v>25</v>
      </c>
      <c r="H2321" s="6">
        <v>40</v>
      </c>
      <c r="I2321" s="7">
        <v>32</v>
      </c>
      <c r="J2321" s="3" t="s">
        <v>4317</v>
      </c>
      <c r="K2321" s="8">
        <v>1.02</v>
      </c>
      <c r="L2321" s="9" t="s">
        <v>7361</v>
      </c>
      <c r="M2321" s="1" t="s">
        <v>7397</v>
      </c>
    </row>
    <row r="2322" spans="1:13" x14ac:dyDescent="0.3">
      <c r="A2322" s="3">
        <v>1513004</v>
      </c>
      <c r="B2322" s="4" t="s">
        <v>7992</v>
      </c>
      <c r="C2322" s="5" t="s">
        <v>7259</v>
      </c>
      <c r="D2322" s="5" t="s">
        <v>96</v>
      </c>
      <c r="E2322" s="3" t="s">
        <v>14</v>
      </c>
      <c r="F2322" s="6">
        <v>38</v>
      </c>
      <c r="G2322" s="6">
        <v>31</v>
      </c>
      <c r="H2322" s="6">
        <v>15</v>
      </c>
      <c r="I2322" s="7">
        <v>32</v>
      </c>
      <c r="J2322" s="3" t="s">
        <v>4317</v>
      </c>
      <c r="K2322" s="8">
        <v>0.66</v>
      </c>
      <c r="L2322" s="9" t="s">
        <v>7362</v>
      </c>
      <c r="M2322" s="1" t="s">
        <v>7975</v>
      </c>
    </row>
    <row r="2323" spans="1:13" x14ac:dyDescent="0.3">
      <c r="A2323" s="3">
        <v>1513005</v>
      </c>
      <c r="B2323" s="4" t="s">
        <v>7992</v>
      </c>
      <c r="C2323" s="5" t="s">
        <v>7261</v>
      </c>
      <c r="D2323" s="5" t="s">
        <v>96</v>
      </c>
      <c r="E2323" s="3" t="s">
        <v>14</v>
      </c>
      <c r="F2323" s="6">
        <v>40</v>
      </c>
      <c r="G2323" s="6">
        <v>25</v>
      </c>
      <c r="H2323" s="6">
        <v>40</v>
      </c>
      <c r="I2323" s="7">
        <v>32</v>
      </c>
      <c r="J2323" s="3" t="s">
        <v>4317</v>
      </c>
      <c r="K2323" s="8">
        <v>0.88</v>
      </c>
      <c r="L2323" s="9" t="s">
        <v>7363</v>
      </c>
      <c r="M2323" s="1" t="s">
        <v>7398</v>
      </c>
    </row>
    <row r="2324" spans="1:13" x14ac:dyDescent="0.3">
      <c r="A2324" s="3">
        <v>1513006</v>
      </c>
      <c r="B2324" s="4" t="s">
        <v>7992</v>
      </c>
      <c r="C2324" s="5" t="s">
        <v>7260</v>
      </c>
      <c r="D2324" s="5" t="s">
        <v>96</v>
      </c>
      <c r="E2324" s="3" t="s">
        <v>14</v>
      </c>
      <c r="F2324" s="6">
        <v>55</v>
      </c>
      <c r="G2324" s="6">
        <v>33</v>
      </c>
      <c r="H2324" s="6">
        <v>40</v>
      </c>
      <c r="I2324" s="7">
        <v>32</v>
      </c>
      <c r="J2324" s="3" t="s">
        <v>4317</v>
      </c>
      <c r="K2324" s="8">
        <v>1.33</v>
      </c>
      <c r="L2324" s="9" t="s">
        <v>7364</v>
      </c>
      <c r="M2324" s="1" t="s">
        <v>7976</v>
      </c>
    </row>
    <row r="2325" spans="1:13" x14ac:dyDescent="0.3">
      <c r="A2325" s="3">
        <v>1513007</v>
      </c>
      <c r="B2325" s="4" t="s">
        <v>7992</v>
      </c>
      <c r="C2325" s="5" t="s">
        <v>7262</v>
      </c>
      <c r="D2325" s="5" t="s">
        <v>96</v>
      </c>
      <c r="E2325" s="3" t="s">
        <v>14</v>
      </c>
      <c r="F2325" s="6">
        <v>50</v>
      </c>
      <c r="G2325" s="6">
        <v>33</v>
      </c>
      <c r="H2325" s="6">
        <v>28</v>
      </c>
      <c r="I2325" s="7">
        <v>42</v>
      </c>
      <c r="J2325" s="3" t="s">
        <v>4318</v>
      </c>
      <c r="K2325" s="8">
        <v>1.06</v>
      </c>
      <c r="L2325" s="9" t="s">
        <v>7365</v>
      </c>
      <c r="M2325" s="1" t="s">
        <v>7399</v>
      </c>
    </row>
    <row r="2326" spans="1:13" x14ac:dyDescent="0.3">
      <c r="A2326" s="3">
        <v>1513008</v>
      </c>
      <c r="B2326" s="4" t="s">
        <v>7992</v>
      </c>
      <c r="C2326" s="5" t="s">
        <v>7263</v>
      </c>
      <c r="D2326" s="5" t="s">
        <v>96</v>
      </c>
      <c r="E2326" s="3" t="s">
        <v>14</v>
      </c>
      <c r="F2326" s="6">
        <v>60.5</v>
      </c>
      <c r="G2326" s="6">
        <v>40.1</v>
      </c>
      <c r="H2326" s="6">
        <v>38.1</v>
      </c>
      <c r="I2326" s="7">
        <v>32</v>
      </c>
      <c r="J2326" s="3" t="s">
        <v>4318</v>
      </c>
      <c r="K2326" s="8">
        <v>1.64</v>
      </c>
      <c r="L2326" s="9" t="s">
        <v>7366</v>
      </c>
      <c r="M2326" s="1" t="s">
        <v>7977</v>
      </c>
    </row>
    <row r="2327" spans="1:13" x14ac:dyDescent="0.3">
      <c r="A2327" s="3">
        <v>1513009</v>
      </c>
      <c r="B2327" s="4" t="s">
        <v>7992</v>
      </c>
      <c r="C2327" s="5" t="s">
        <v>7264</v>
      </c>
      <c r="D2327" s="5" t="s">
        <v>96</v>
      </c>
      <c r="E2327" s="3" t="s">
        <v>14</v>
      </c>
      <c r="F2327" s="6">
        <v>61</v>
      </c>
      <c r="G2327" s="6">
        <v>38</v>
      </c>
      <c r="H2327" s="6">
        <v>38</v>
      </c>
      <c r="I2327" s="7">
        <v>42</v>
      </c>
      <c r="J2327" s="3" t="s">
        <v>4318</v>
      </c>
      <c r="K2327" s="8">
        <v>1.56</v>
      </c>
      <c r="L2327" s="9" t="s">
        <v>7367</v>
      </c>
      <c r="M2327" s="1" t="s">
        <v>7978</v>
      </c>
    </row>
    <row r="2328" spans="1:13" x14ac:dyDescent="0.3">
      <c r="A2328" s="3">
        <v>1513010</v>
      </c>
      <c r="B2328" s="4" t="s">
        <v>7992</v>
      </c>
      <c r="C2328" s="5" t="s">
        <v>7265</v>
      </c>
      <c r="D2328" s="5" t="s">
        <v>96</v>
      </c>
      <c r="E2328" s="3" t="s">
        <v>14</v>
      </c>
      <c r="F2328" s="6">
        <v>51</v>
      </c>
      <c r="G2328" s="6">
        <v>51</v>
      </c>
      <c r="H2328" s="6">
        <v>29</v>
      </c>
      <c r="I2328" s="7">
        <v>32</v>
      </c>
      <c r="J2328" s="3" t="s">
        <v>4317</v>
      </c>
      <c r="K2328" s="8">
        <v>1.68</v>
      </c>
      <c r="L2328" s="9" t="s">
        <v>7368</v>
      </c>
      <c r="M2328" s="1" t="s">
        <v>7400</v>
      </c>
    </row>
    <row r="2329" spans="1:13" x14ac:dyDescent="0.3">
      <c r="A2329" s="3">
        <v>1513011</v>
      </c>
      <c r="B2329" s="4" t="s">
        <v>7992</v>
      </c>
      <c r="C2329" s="5" t="s">
        <v>7266</v>
      </c>
      <c r="D2329" s="5" t="s">
        <v>96</v>
      </c>
      <c r="E2329" s="3" t="s">
        <v>14</v>
      </c>
      <c r="F2329" s="6">
        <v>54</v>
      </c>
      <c r="G2329" s="6">
        <v>54</v>
      </c>
      <c r="H2329" s="6">
        <v>50</v>
      </c>
      <c r="I2329" s="7">
        <v>32</v>
      </c>
      <c r="J2329" s="3" t="s">
        <v>4317</v>
      </c>
      <c r="K2329" s="8">
        <v>2.31</v>
      </c>
      <c r="L2329" s="9" t="s">
        <v>7369</v>
      </c>
      <c r="M2329" s="1" t="s">
        <v>7401</v>
      </c>
    </row>
    <row r="2330" spans="1:13" x14ac:dyDescent="0.3">
      <c r="A2330" s="3">
        <v>1513012</v>
      </c>
      <c r="B2330" s="4" t="s">
        <v>7992</v>
      </c>
      <c r="C2330" s="5" t="s">
        <v>7267</v>
      </c>
      <c r="D2330" s="5" t="s">
        <v>682</v>
      </c>
      <c r="E2330" s="3" t="s">
        <v>14</v>
      </c>
      <c r="F2330" s="6">
        <v>110</v>
      </c>
      <c r="G2330" s="6">
        <v>112</v>
      </c>
      <c r="H2330" s="6">
        <v>100</v>
      </c>
      <c r="I2330" s="7">
        <v>42</v>
      </c>
      <c r="J2330" s="3" t="s">
        <v>4317</v>
      </c>
      <c r="K2330" s="8">
        <v>2.72</v>
      </c>
      <c r="L2330" s="9" t="s">
        <v>7370</v>
      </c>
      <c r="M2330" s="1" t="s">
        <v>7402</v>
      </c>
    </row>
    <row r="2331" spans="1:13" x14ac:dyDescent="0.3">
      <c r="A2331" s="3">
        <v>1513013</v>
      </c>
      <c r="B2331" s="4" t="s">
        <v>7992</v>
      </c>
      <c r="C2331" s="5" t="s">
        <v>7268</v>
      </c>
      <c r="D2331" s="5" t="s">
        <v>682</v>
      </c>
      <c r="E2331" s="3" t="s">
        <v>14</v>
      </c>
      <c r="F2331" s="6">
        <v>114</v>
      </c>
      <c r="G2331" s="6">
        <v>106</v>
      </c>
      <c r="H2331" s="6">
        <v>78</v>
      </c>
      <c r="I2331" s="7">
        <v>42</v>
      </c>
      <c r="J2331" s="3" t="s">
        <v>4317</v>
      </c>
      <c r="K2331" s="8">
        <v>2.21</v>
      </c>
      <c r="L2331" s="9" t="s">
        <v>7371</v>
      </c>
      <c r="M2331" s="1" t="s">
        <v>7979</v>
      </c>
    </row>
    <row r="2332" spans="1:13" x14ac:dyDescent="0.3">
      <c r="A2332" s="3">
        <v>1513014</v>
      </c>
      <c r="B2332" s="4" t="s">
        <v>7992</v>
      </c>
      <c r="C2332" s="5" t="s">
        <v>7376</v>
      </c>
      <c r="D2332" s="5" t="s">
        <v>4792</v>
      </c>
      <c r="E2332" s="3" t="s">
        <v>14</v>
      </c>
      <c r="F2332" s="6">
        <v>54</v>
      </c>
      <c r="G2332" s="6">
        <v>32</v>
      </c>
      <c r="H2332" s="6">
        <v>9.5</v>
      </c>
      <c r="I2332" s="7">
        <v>32</v>
      </c>
      <c r="J2332" s="3" t="s">
        <v>4317</v>
      </c>
      <c r="K2332" s="8">
        <f>0.05+0.03</f>
        <v>0.08</v>
      </c>
      <c r="L2332" s="9" t="s">
        <v>7373</v>
      </c>
      <c r="M2332" s="1" t="s">
        <v>7403</v>
      </c>
    </row>
    <row r="2333" spans="1:13" x14ac:dyDescent="0.3">
      <c r="A2333" s="3">
        <v>1513015</v>
      </c>
      <c r="B2333" s="4" t="s">
        <v>7992</v>
      </c>
      <c r="C2333" s="5" t="s">
        <v>7377</v>
      </c>
      <c r="D2333" s="5" t="s">
        <v>4792</v>
      </c>
      <c r="E2333" s="3" t="s">
        <v>14</v>
      </c>
      <c r="F2333" s="6">
        <v>55.5</v>
      </c>
      <c r="G2333" s="6">
        <v>53.5</v>
      </c>
      <c r="H2333" s="6">
        <v>10.5</v>
      </c>
      <c r="I2333" s="7">
        <v>32</v>
      </c>
      <c r="J2333" s="3" t="s">
        <v>4317</v>
      </c>
      <c r="K2333" s="8">
        <f>0.06+0.05</f>
        <v>0.11</v>
      </c>
      <c r="L2333" s="9" t="s">
        <v>7374</v>
      </c>
      <c r="M2333" s="1" t="s">
        <v>7980</v>
      </c>
    </row>
    <row r="2334" spans="1:13" x14ac:dyDescent="0.3">
      <c r="A2334" s="3">
        <v>1513016</v>
      </c>
      <c r="B2334" s="4" t="s">
        <v>7992</v>
      </c>
      <c r="C2334" s="5" t="s">
        <v>7378</v>
      </c>
      <c r="D2334" s="5" t="s">
        <v>4792</v>
      </c>
      <c r="E2334" s="3" t="s">
        <v>14</v>
      </c>
      <c r="F2334" s="6">
        <v>61</v>
      </c>
      <c r="G2334" s="6">
        <v>35.6</v>
      </c>
      <c r="H2334" s="6">
        <v>17</v>
      </c>
      <c r="I2334" s="7">
        <v>32</v>
      </c>
      <c r="J2334" s="3" t="s">
        <v>4317</v>
      </c>
      <c r="K2334" s="8">
        <f>0.1+0.06</f>
        <v>0.16</v>
      </c>
      <c r="L2334" s="9" t="s">
        <v>7375</v>
      </c>
      <c r="M2334" s="1" t="s">
        <v>7404</v>
      </c>
    </row>
    <row r="2335" spans="1:13" x14ac:dyDescent="0.3">
      <c r="A2335" s="3">
        <v>1513017</v>
      </c>
      <c r="B2335" s="4" t="s">
        <v>7992</v>
      </c>
      <c r="C2335" s="5" t="s">
        <v>7382</v>
      </c>
      <c r="D2335" s="5" t="s">
        <v>96</v>
      </c>
      <c r="E2335" s="3" t="s">
        <v>14</v>
      </c>
      <c r="F2335" s="6">
        <v>61</v>
      </c>
      <c r="G2335" s="6">
        <v>56</v>
      </c>
      <c r="H2335" s="6">
        <v>28</v>
      </c>
      <c r="I2335" s="7">
        <v>42</v>
      </c>
      <c r="J2335" s="3" t="s">
        <v>4318</v>
      </c>
      <c r="K2335" s="8">
        <v>2.0299999999999998</v>
      </c>
      <c r="L2335" s="9" t="s">
        <v>7380</v>
      </c>
      <c r="M2335" s="1" t="s">
        <v>7405</v>
      </c>
    </row>
    <row r="2336" spans="1:13" x14ac:dyDescent="0.3">
      <c r="A2336" s="3">
        <v>1513019</v>
      </c>
      <c r="B2336" s="4" t="s">
        <v>7992</v>
      </c>
      <c r="C2336" s="5" t="s">
        <v>7381</v>
      </c>
      <c r="D2336" s="5" t="s">
        <v>96</v>
      </c>
      <c r="E2336" s="3" t="s">
        <v>14</v>
      </c>
      <c r="F2336" s="6">
        <v>61</v>
      </c>
      <c r="G2336" s="6">
        <v>38</v>
      </c>
      <c r="H2336" s="6">
        <v>28</v>
      </c>
      <c r="I2336" s="7">
        <v>42</v>
      </c>
      <c r="J2336" s="3" t="s">
        <v>4317</v>
      </c>
      <c r="K2336" s="8">
        <v>1.36</v>
      </c>
      <c r="L2336" s="9" t="s">
        <v>7383</v>
      </c>
      <c r="M2336" s="1" t="s">
        <v>7406</v>
      </c>
    </row>
    <row r="2337" spans="1:13" x14ac:dyDescent="0.3">
      <c r="A2337" s="3">
        <v>1513021</v>
      </c>
      <c r="B2337" s="4" t="s">
        <v>7992</v>
      </c>
      <c r="C2337" s="5" t="s">
        <v>7393</v>
      </c>
      <c r="D2337" s="5" t="s">
        <v>96</v>
      </c>
      <c r="E2337" s="3" t="s">
        <v>14</v>
      </c>
      <c r="F2337" s="6">
        <v>61</v>
      </c>
      <c r="G2337" s="6">
        <v>38.1</v>
      </c>
      <c r="H2337" s="6">
        <v>28.7</v>
      </c>
      <c r="I2337" s="7">
        <v>42</v>
      </c>
      <c r="J2337" s="3" t="s">
        <v>4318</v>
      </c>
      <c r="K2337" s="8">
        <v>1.37</v>
      </c>
      <c r="L2337" s="9" t="s">
        <v>7390</v>
      </c>
      <c r="M2337" s="1" t="s">
        <v>7981</v>
      </c>
    </row>
    <row r="2338" spans="1:13" x14ac:dyDescent="0.3">
      <c r="A2338" s="3">
        <v>1513022</v>
      </c>
      <c r="B2338" s="4" t="s">
        <v>7992</v>
      </c>
      <c r="C2338" s="5" t="s">
        <v>7409</v>
      </c>
      <c r="D2338" s="5" t="s">
        <v>552</v>
      </c>
      <c r="E2338" s="3" t="s">
        <v>14</v>
      </c>
      <c r="F2338" s="6">
        <v>7.5</v>
      </c>
      <c r="G2338" s="6">
        <v>7.5</v>
      </c>
      <c r="H2338" s="6">
        <v>81.8</v>
      </c>
      <c r="I2338" s="7" t="s">
        <v>14</v>
      </c>
      <c r="J2338" s="3" t="s">
        <v>14</v>
      </c>
      <c r="K2338" s="8" t="s">
        <v>14</v>
      </c>
      <c r="L2338" s="9" t="s">
        <v>7391</v>
      </c>
      <c r="M2338" s="1" t="s">
        <v>7407</v>
      </c>
    </row>
    <row r="2339" spans="1:13" x14ac:dyDescent="0.3">
      <c r="A2339" s="3">
        <v>1513023</v>
      </c>
      <c r="B2339" s="4" t="s">
        <v>7992</v>
      </c>
      <c r="C2339" s="5" t="s">
        <v>7394</v>
      </c>
      <c r="D2339" s="5" t="s">
        <v>552</v>
      </c>
      <c r="E2339" s="3" t="s">
        <v>14</v>
      </c>
      <c r="F2339" s="6">
        <v>7.5</v>
      </c>
      <c r="G2339" s="6">
        <v>7.5</v>
      </c>
      <c r="H2339" s="6">
        <v>107.9</v>
      </c>
      <c r="I2339" s="7" t="s">
        <v>14</v>
      </c>
      <c r="J2339" s="3" t="s">
        <v>14</v>
      </c>
      <c r="K2339" s="8" t="s">
        <v>14</v>
      </c>
      <c r="L2339" s="9" t="s">
        <v>7392</v>
      </c>
      <c r="M2339" s="1" t="s">
        <v>7408</v>
      </c>
    </row>
    <row r="2340" spans="1:13" x14ac:dyDescent="0.3">
      <c r="A2340" s="3">
        <v>1513024</v>
      </c>
      <c r="B2340" s="4" t="s">
        <v>7992</v>
      </c>
      <c r="C2340" s="5" t="s">
        <v>7417</v>
      </c>
      <c r="D2340" s="5" t="s">
        <v>4792</v>
      </c>
      <c r="E2340" s="3" t="s">
        <v>14</v>
      </c>
      <c r="F2340" s="6">
        <v>50</v>
      </c>
      <c r="G2340" s="6">
        <v>50</v>
      </c>
      <c r="H2340" s="6">
        <v>14</v>
      </c>
      <c r="I2340" s="7">
        <v>32</v>
      </c>
      <c r="J2340" s="3" t="s">
        <v>4317</v>
      </c>
      <c r="K2340" s="8">
        <f>0.07*2</f>
        <v>0.14000000000000001</v>
      </c>
      <c r="L2340" s="9" t="s">
        <v>7410</v>
      </c>
      <c r="M2340" s="1" t="s">
        <v>7424</v>
      </c>
    </row>
    <row r="2341" spans="1:13" x14ac:dyDescent="0.3">
      <c r="A2341" s="3">
        <v>1513025</v>
      </c>
      <c r="B2341" s="4" t="s">
        <v>7992</v>
      </c>
      <c r="C2341" s="5" t="s">
        <v>7418</v>
      </c>
      <c r="D2341" s="5" t="s">
        <v>74</v>
      </c>
      <c r="E2341" s="3" t="s">
        <v>14</v>
      </c>
      <c r="F2341" s="6">
        <v>54.6</v>
      </c>
      <c r="G2341" s="6">
        <v>52</v>
      </c>
      <c r="H2341" s="6" t="s">
        <v>14</v>
      </c>
      <c r="I2341" s="7">
        <v>32</v>
      </c>
      <c r="J2341" s="3" t="s">
        <v>4317</v>
      </c>
      <c r="K2341" s="8">
        <v>0.28000000000000003</v>
      </c>
      <c r="L2341" s="9" t="s">
        <v>7411</v>
      </c>
      <c r="M2341" s="1" t="s">
        <v>7425</v>
      </c>
    </row>
    <row r="2342" spans="1:13" x14ac:dyDescent="0.3">
      <c r="A2342" s="3">
        <v>1513026</v>
      </c>
      <c r="B2342" s="4" t="s">
        <v>7992</v>
      </c>
      <c r="C2342" s="5" t="s">
        <v>7973</v>
      </c>
      <c r="D2342" s="5" t="s">
        <v>74</v>
      </c>
      <c r="E2342" s="3" t="s">
        <v>14</v>
      </c>
      <c r="F2342" s="6">
        <v>51</v>
      </c>
      <c r="G2342" s="6">
        <v>51</v>
      </c>
      <c r="H2342" s="6" t="s">
        <v>14</v>
      </c>
      <c r="I2342" s="7">
        <v>32</v>
      </c>
      <c r="J2342" s="3" t="s">
        <v>4317</v>
      </c>
      <c r="K2342" s="8">
        <v>0.26</v>
      </c>
      <c r="L2342" s="9" t="s">
        <v>7412</v>
      </c>
      <c r="M2342" s="1" t="s">
        <v>7982</v>
      </c>
    </row>
    <row r="2343" spans="1:13" x14ac:dyDescent="0.3">
      <c r="A2343" s="3">
        <v>1513027</v>
      </c>
      <c r="B2343" s="4" t="s">
        <v>7992</v>
      </c>
      <c r="C2343" s="5" t="s">
        <v>7419</v>
      </c>
      <c r="D2343" s="5" t="s">
        <v>74</v>
      </c>
      <c r="E2343" s="3" t="s">
        <v>14</v>
      </c>
      <c r="F2343" s="6">
        <v>54</v>
      </c>
      <c r="G2343" s="6">
        <v>32</v>
      </c>
      <c r="H2343" s="6" t="s">
        <v>14</v>
      </c>
      <c r="I2343" s="7">
        <v>32</v>
      </c>
      <c r="J2343" s="3" t="s">
        <v>4317</v>
      </c>
      <c r="K2343" s="8">
        <v>0.17</v>
      </c>
      <c r="L2343" s="9" t="s">
        <v>7413</v>
      </c>
      <c r="M2343" s="1" t="s">
        <v>7426</v>
      </c>
    </row>
    <row r="2344" spans="1:13" x14ac:dyDescent="0.3">
      <c r="A2344" s="3">
        <v>1513028</v>
      </c>
      <c r="B2344" s="4" t="s">
        <v>7992</v>
      </c>
      <c r="C2344" s="5" t="s">
        <v>7420</v>
      </c>
      <c r="D2344" s="5" t="s">
        <v>74</v>
      </c>
      <c r="E2344" s="3" t="s">
        <v>14</v>
      </c>
      <c r="F2344" s="6">
        <v>61</v>
      </c>
      <c r="G2344" s="6">
        <v>32</v>
      </c>
      <c r="H2344" s="6" t="s">
        <v>14</v>
      </c>
      <c r="I2344" s="7">
        <v>32</v>
      </c>
      <c r="J2344" s="3" t="s">
        <v>4317</v>
      </c>
      <c r="K2344" s="8">
        <v>0.2</v>
      </c>
      <c r="L2344" s="9" t="s">
        <v>7414</v>
      </c>
      <c r="M2344" s="1" t="s">
        <v>7427</v>
      </c>
    </row>
    <row r="2345" spans="1:13" x14ac:dyDescent="0.3">
      <c r="A2345" s="3">
        <v>1513029</v>
      </c>
      <c r="B2345" s="4" t="s">
        <v>7992</v>
      </c>
      <c r="C2345" s="5" t="s">
        <v>7421</v>
      </c>
      <c r="D2345" s="5" t="s">
        <v>74</v>
      </c>
      <c r="E2345" s="3" t="s">
        <v>14</v>
      </c>
      <c r="F2345" s="6">
        <v>112</v>
      </c>
      <c r="G2345" s="6">
        <v>104.4</v>
      </c>
      <c r="H2345" s="6" t="s">
        <v>14</v>
      </c>
      <c r="I2345" s="7">
        <v>32</v>
      </c>
      <c r="J2345" s="3" t="s">
        <v>4317</v>
      </c>
      <c r="K2345" s="8">
        <v>1.17</v>
      </c>
      <c r="L2345" s="9" t="s">
        <v>7415</v>
      </c>
      <c r="M2345" s="1" t="s">
        <v>7428</v>
      </c>
    </row>
    <row r="2346" spans="1:13" x14ac:dyDescent="0.3">
      <c r="A2346" s="3">
        <v>1513030</v>
      </c>
      <c r="B2346" s="4" t="s">
        <v>7992</v>
      </c>
      <c r="C2346" s="5" t="s">
        <v>7422</v>
      </c>
      <c r="D2346" s="5" t="s">
        <v>4792</v>
      </c>
      <c r="E2346" s="3" t="s">
        <v>14</v>
      </c>
      <c r="F2346" s="6">
        <v>40.5</v>
      </c>
      <c r="G2346" s="6" t="s">
        <v>7423</v>
      </c>
      <c r="H2346" s="6">
        <v>17.5</v>
      </c>
      <c r="I2346" s="7">
        <v>32</v>
      </c>
      <c r="J2346" s="3" t="s">
        <v>4317</v>
      </c>
      <c r="K2346" s="8">
        <f>0.07+0.06+0.06</f>
        <v>0.19</v>
      </c>
      <c r="L2346" s="9" t="s">
        <v>7416</v>
      </c>
      <c r="M2346" s="1" t="s">
        <v>7429</v>
      </c>
    </row>
    <row r="2347" spans="1:13" x14ac:dyDescent="0.3">
      <c r="A2347" s="3">
        <v>1513031</v>
      </c>
      <c r="B2347" s="4" t="s">
        <v>7992</v>
      </c>
      <c r="C2347" s="5" t="s">
        <v>7669</v>
      </c>
      <c r="D2347" s="5" t="s">
        <v>552</v>
      </c>
      <c r="E2347" s="3" t="s">
        <v>14</v>
      </c>
      <c r="F2347" s="6" t="s">
        <v>7671</v>
      </c>
      <c r="G2347" s="6" t="s">
        <v>7671</v>
      </c>
      <c r="H2347" s="6" t="s">
        <v>7672</v>
      </c>
      <c r="I2347" s="7" t="s">
        <v>14</v>
      </c>
      <c r="J2347" s="3" t="s">
        <v>14</v>
      </c>
      <c r="K2347" s="8" t="s">
        <v>14</v>
      </c>
      <c r="L2347" s="9" t="s">
        <v>7673</v>
      </c>
      <c r="M2347" s="1" t="s">
        <v>7675</v>
      </c>
    </row>
    <row r="2348" spans="1:13" x14ac:dyDescent="0.3">
      <c r="A2348" s="3">
        <v>1513032</v>
      </c>
      <c r="B2348" s="4" t="s">
        <v>7992</v>
      </c>
      <c r="C2348" s="5" t="s">
        <v>7670</v>
      </c>
      <c r="D2348" s="5" t="s">
        <v>552</v>
      </c>
      <c r="E2348" s="3" t="s">
        <v>14</v>
      </c>
      <c r="F2348" s="6" t="s">
        <v>7676</v>
      </c>
      <c r="G2348" s="6" t="s">
        <v>7677</v>
      </c>
      <c r="H2348" s="6" t="s">
        <v>7678</v>
      </c>
      <c r="I2348" s="7" t="s">
        <v>14</v>
      </c>
      <c r="J2348" s="3" t="s">
        <v>14</v>
      </c>
      <c r="K2348" s="8" t="s">
        <v>14</v>
      </c>
      <c r="L2348" s="9" t="s">
        <v>7674</v>
      </c>
      <c r="M2348" s="1" t="s">
        <v>7679</v>
      </c>
    </row>
    <row r="2349" spans="1:13" x14ac:dyDescent="0.3">
      <c r="A2349" s="3">
        <v>1513033</v>
      </c>
      <c r="B2349" s="4" t="s">
        <v>7992</v>
      </c>
      <c r="C2349" s="5" t="s">
        <v>7693</v>
      </c>
      <c r="D2349" s="5" t="s">
        <v>96</v>
      </c>
      <c r="E2349" s="3" t="s">
        <v>14</v>
      </c>
      <c r="F2349" s="6">
        <v>63</v>
      </c>
      <c r="G2349" s="6">
        <v>38</v>
      </c>
      <c r="H2349" s="6">
        <v>20</v>
      </c>
      <c r="I2349" s="7">
        <v>42</v>
      </c>
      <c r="J2349" s="3" t="s">
        <v>4318</v>
      </c>
      <c r="K2349" s="8">
        <v>1.22</v>
      </c>
      <c r="L2349" s="9" t="s">
        <v>7694</v>
      </c>
      <c r="M2349" s="1" t="s">
        <v>7696</v>
      </c>
    </row>
    <row r="2350" spans="1:13" x14ac:dyDescent="0.3">
      <c r="A2350" s="3">
        <v>1513035</v>
      </c>
      <c r="B2350" s="4" t="s">
        <v>7992</v>
      </c>
      <c r="C2350" s="5" t="s">
        <v>7379</v>
      </c>
      <c r="D2350" s="5" t="s">
        <v>74</v>
      </c>
      <c r="E2350" s="3" t="s">
        <v>14</v>
      </c>
      <c r="F2350" s="6">
        <v>61</v>
      </c>
      <c r="G2350" s="6">
        <v>56</v>
      </c>
      <c r="H2350" s="6" t="s">
        <v>14</v>
      </c>
      <c r="I2350" s="7">
        <v>32</v>
      </c>
      <c r="J2350" s="3" t="s">
        <v>4317</v>
      </c>
      <c r="K2350" s="8">
        <v>0.34</v>
      </c>
      <c r="L2350" s="9" t="s">
        <v>7695</v>
      </c>
      <c r="M2350" s="1" t="s">
        <v>7697</v>
      </c>
    </row>
    <row r="2351" spans="1:13" x14ac:dyDescent="0.3">
      <c r="A2351" s="3">
        <v>1828001</v>
      </c>
      <c r="B2351" s="4" t="s">
        <v>7726</v>
      </c>
      <c r="C2351" s="5" t="s">
        <v>7600</v>
      </c>
      <c r="D2351" s="5" t="s">
        <v>96</v>
      </c>
      <c r="E2351" s="3" t="s">
        <v>14</v>
      </c>
      <c r="F2351" s="6">
        <v>60.5</v>
      </c>
      <c r="G2351" s="6">
        <v>31.5</v>
      </c>
      <c r="H2351" s="6">
        <v>34.799999999999997</v>
      </c>
      <c r="I2351" s="7">
        <v>32</v>
      </c>
      <c r="J2351" s="3" t="s">
        <v>4317</v>
      </c>
      <c r="K2351" s="8">
        <v>1.26</v>
      </c>
      <c r="L2351" s="9" t="s">
        <v>7729</v>
      </c>
      <c r="M2351" s="1" t="s">
        <v>7733</v>
      </c>
    </row>
    <row r="2352" spans="1:13" x14ac:dyDescent="0.3">
      <c r="A2352" s="3">
        <v>1828002</v>
      </c>
      <c r="B2352" s="4" t="s">
        <v>7726</v>
      </c>
      <c r="C2352" s="5" t="s">
        <v>7728</v>
      </c>
      <c r="D2352" s="5" t="s">
        <v>74</v>
      </c>
      <c r="E2352" s="3" t="s">
        <v>14</v>
      </c>
      <c r="F2352" s="6">
        <v>60</v>
      </c>
      <c r="G2352" s="6">
        <v>31</v>
      </c>
      <c r="H2352" s="6" t="s">
        <v>14</v>
      </c>
      <c r="I2352" s="7">
        <v>32</v>
      </c>
      <c r="J2352" s="3" t="s">
        <v>4317</v>
      </c>
      <c r="K2352" s="8">
        <v>0.19</v>
      </c>
      <c r="L2352" s="9" t="s">
        <v>7727</v>
      </c>
      <c r="M2352" s="1" t="s">
        <v>7734</v>
      </c>
    </row>
    <row r="2353" spans="1:13" x14ac:dyDescent="0.3">
      <c r="A2353" s="3">
        <v>1828003</v>
      </c>
      <c r="B2353" s="4" t="s">
        <v>7726</v>
      </c>
      <c r="C2353" s="5" t="s">
        <v>7731</v>
      </c>
      <c r="D2353" s="5" t="s">
        <v>552</v>
      </c>
      <c r="E2353" s="3" t="s">
        <v>14</v>
      </c>
      <c r="F2353" s="6" t="s">
        <v>7722</v>
      </c>
      <c r="G2353" s="6" t="s">
        <v>7722</v>
      </c>
      <c r="H2353" s="6" t="s">
        <v>7732</v>
      </c>
      <c r="I2353" s="7" t="s">
        <v>14</v>
      </c>
      <c r="J2353" s="3" t="s">
        <v>14</v>
      </c>
      <c r="K2353" s="8" t="s">
        <v>14</v>
      </c>
      <c r="L2353" s="9" t="s">
        <v>7730</v>
      </c>
      <c r="M2353" s="1" t="s">
        <v>7735</v>
      </c>
    </row>
    <row r="2354" spans="1:13" x14ac:dyDescent="0.3">
      <c r="A2354" s="3">
        <v>10110001</v>
      </c>
      <c r="B2354" s="4" t="s">
        <v>3616</v>
      </c>
      <c r="C2354" s="5" t="s">
        <v>3617</v>
      </c>
      <c r="D2354" s="5" t="s">
        <v>96</v>
      </c>
      <c r="E2354" s="3" t="s">
        <v>3617</v>
      </c>
      <c r="F2354" s="6">
        <v>46.7</v>
      </c>
      <c r="G2354" s="6">
        <v>31.5</v>
      </c>
      <c r="H2354" s="6">
        <v>31.5</v>
      </c>
      <c r="I2354" s="7" t="s">
        <v>4316</v>
      </c>
      <c r="J2354" s="3" t="s">
        <v>4318</v>
      </c>
      <c r="K2354" s="8" t="s">
        <v>4597</v>
      </c>
      <c r="L2354" s="9" t="s">
        <v>3618</v>
      </c>
      <c r="M2354" s="1" t="s">
        <v>3619</v>
      </c>
    </row>
    <row r="2355" spans="1:13" x14ac:dyDescent="0.3">
      <c r="A2355" s="3">
        <v>10119002</v>
      </c>
      <c r="B2355" s="4" t="s">
        <v>3616</v>
      </c>
      <c r="C2355" s="5" t="s">
        <v>3620</v>
      </c>
      <c r="D2355" s="5" t="s">
        <v>74</v>
      </c>
      <c r="E2355" s="3" t="s">
        <v>3621</v>
      </c>
      <c r="F2355" s="6">
        <v>45.5</v>
      </c>
      <c r="G2355" s="6">
        <v>30.5</v>
      </c>
      <c r="H2355" s="6">
        <v>0</v>
      </c>
      <c r="I2355" s="7" t="s">
        <v>4447</v>
      </c>
      <c r="J2355" s="3" t="s">
        <v>4317</v>
      </c>
      <c r="K2355" s="8" t="s">
        <v>4575</v>
      </c>
      <c r="L2355" s="9" t="s">
        <v>3622</v>
      </c>
      <c r="M2355" s="1" t="s">
        <v>3623</v>
      </c>
    </row>
    <row r="2356" spans="1:13" x14ac:dyDescent="0.3">
      <c r="A2356" s="3">
        <v>10110003</v>
      </c>
      <c r="B2356" s="4" t="s">
        <v>3616</v>
      </c>
      <c r="C2356" s="5" t="s">
        <v>3624</v>
      </c>
      <c r="D2356" s="5" t="s">
        <v>96</v>
      </c>
      <c r="E2356" s="3" t="s">
        <v>3519</v>
      </c>
      <c r="F2356" s="6">
        <v>62</v>
      </c>
      <c r="G2356" s="6">
        <v>31.5</v>
      </c>
      <c r="H2356" s="6">
        <v>31.5</v>
      </c>
      <c r="I2356" s="7" t="s">
        <v>4316</v>
      </c>
      <c r="J2356" s="3" t="s">
        <v>4318</v>
      </c>
      <c r="K2356" s="8" t="s">
        <v>4544</v>
      </c>
      <c r="L2356" s="9" t="s">
        <v>3625</v>
      </c>
      <c r="M2356" s="1" t="s">
        <v>3626</v>
      </c>
    </row>
    <row r="2357" spans="1:13" x14ac:dyDescent="0.3">
      <c r="A2357" s="3">
        <v>10119004</v>
      </c>
      <c r="B2357" s="4" t="s">
        <v>3616</v>
      </c>
      <c r="C2357" s="5" t="s">
        <v>3627</v>
      </c>
      <c r="D2357" s="5" t="s">
        <v>74</v>
      </c>
      <c r="E2357" s="3" t="s">
        <v>3628</v>
      </c>
      <c r="F2357" s="6">
        <v>61</v>
      </c>
      <c r="G2357" s="6">
        <v>30.5</v>
      </c>
      <c r="H2357" s="6">
        <v>0</v>
      </c>
      <c r="I2357" s="7" t="s">
        <v>4447</v>
      </c>
      <c r="J2357" s="3" t="s">
        <v>4317</v>
      </c>
      <c r="K2357" s="8" t="s">
        <v>4490</v>
      </c>
      <c r="L2357" s="9" t="s">
        <v>3629</v>
      </c>
      <c r="M2357" s="1" t="s">
        <v>3630</v>
      </c>
    </row>
    <row r="2358" spans="1:13" x14ac:dyDescent="0.3">
      <c r="A2358" s="3">
        <v>10110005</v>
      </c>
      <c r="B2358" s="4" t="s">
        <v>3616</v>
      </c>
      <c r="C2358" s="5" t="s">
        <v>3631</v>
      </c>
      <c r="D2358" s="5" t="s">
        <v>96</v>
      </c>
      <c r="E2358" s="3" t="s">
        <v>3632</v>
      </c>
      <c r="F2358" s="6">
        <v>82.5</v>
      </c>
      <c r="G2358" s="6">
        <v>31.5</v>
      </c>
      <c r="H2358" s="6">
        <v>31.5</v>
      </c>
      <c r="I2358" s="7" t="s">
        <v>4316</v>
      </c>
      <c r="J2358" s="3" t="s">
        <v>4318</v>
      </c>
      <c r="K2358" s="8" t="s">
        <v>4582</v>
      </c>
      <c r="L2358" s="9" t="s">
        <v>3633</v>
      </c>
      <c r="M2358" s="1" t="s">
        <v>3634</v>
      </c>
    </row>
    <row r="2359" spans="1:13" x14ac:dyDescent="0.3">
      <c r="A2359" s="3">
        <v>10119006</v>
      </c>
      <c r="B2359" s="4" t="s">
        <v>3616</v>
      </c>
      <c r="C2359" s="5" t="s">
        <v>3635</v>
      </c>
      <c r="D2359" s="5" t="s">
        <v>74</v>
      </c>
      <c r="E2359" s="3" t="s">
        <v>3636</v>
      </c>
      <c r="F2359" s="6">
        <v>81.5</v>
      </c>
      <c r="G2359" s="6">
        <v>30.5</v>
      </c>
      <c r="H2359" s="6">
        <v>0</v>
      </c>
      <c r="I2359" s="7" t="s">
        <v>4447</v>
      </c>
      <c r="J2359" s="3" t="s">
        <v>4317</v>
      </c>
      <c r="K2359" s="8" t="s">
        <v>4563</v>
      </c>
      <c r="L2359" s="9" t="s">
        <v>3637</v>
      </c>
      <c r="M2359" s="1" t="s">
        <v>3638</v>
      </c>
    </row>
    <row r="2360" spans="1:13" x14ac:dyDescent="0.3">
      <c r="A2360" s="3">
        <v>10110007</v>
      </c>
      <c r="B2360" s="4" t="s">
        <v>3616</v>
      </c>
      <c r="C2360" s="5" t="s">
        <v>3639</v>
      </c>
      <c r="D2360" s="5" t="s">
        <v>96</v>
      </c>
      <c r="E2360" s="3" t="s">
        <v>3640</v>
      </c>
      <c r="F2360" s="6">
        <v>62</v>
      </c>
      <c r="G2360" s="6">
        <v>41.5</v>
      </c>
      <c r="H2360" s="6">
        <v>62</v>
      </c>
      <c r="I2360" s="7" t="s">
        <v>4316</v>
      </c>
      <c r="J2360" s="3" t="s">
        <v>4318</v>
      </c>
      <c r="K2360" s="8" t="s">
        <v>4759</v>
      </c>
      <c r="L2360" s="9" t="s">
        <v>3641</v>
      </c>
      <c r="M2360" s="1" t="s">
        <v>3642</v>
      </c>
    </row>
    <row r="2361" spans="1:13" x14ac:dyDescent="0.3">
      <c r="A2361" s="3">
        <v>10119008</v>
      </c>
      <c r="B2361" s="4" t="s">
        <v>3616</v>
      </c>
      <c r="C2361" s="5" t="s">
        <v>3643</v>
      </c>
      <c r="D2361" s="5" t="s">
        <v>74</v>
      </c>
      <c r="E2361" s="3" t="s">
        <v>3644</v>
      </c>
      <c r="F2361" s="6">
        <v>61</v>
      </c>
      <c r="G2361" s="6">
        <v>40.5</v>
      </c>
      <c r="H2361" s="6">
        <v>0</v>
      </c>
      <c r="I2361" s="7" t="s">
        <v>4447</v>
      </c>
      <c r="J2361" s="3" t="s">
        <v>4317</v>
      </c>
      <c r="K2361" s="8" t="s">
        <v>4563</v>
      </c>
      <c r="L2361" s="9" t="s">
        <v>3645</v>
      </c>
      <c r="M2361" s="1" t="s">
        <v>3646</v>
      </c>
    </row>
    <row r="2362" spans="1:13" x14ac:dyDescent="0.3">
      <c r="A2362" s="3">
        <v>10110009</v>
      </c>
      <c r="B2362" s="4" t="s">
        <v>3616</v>
      </c>
      <c r="C2362" s="5" t="s">
        <v>3647</v>
      </c>
      <c r="D2362" s="5" t="s">
        <v>96</v>
      </c>
      <c r="E2362" s="3" t="s">
        <v>3648</v>
      </c>
      <c r="F2362" s="6">
        <v>46.5</v>
      </c>
      <c r="G2362" s="6">
        <v>31.5</v>
      </c>
      <c r="H2362" s="6">
        <v>23.8</v>
      </c>
      <c r="I2362" s="7" t="s">
        <v>4316</v>
      </c>
      <c r="J2362" s="3" t="s">
        <v>4318</v>
      </c>
      <c r="K2362" s="8" t="s">
        <v>4442</v>
      </c>
      <c r="L2362" s="9" t="s">
        <v>3649</v>
      </c>
      <c r="M2362" s="1" t="s">
        <v>3650</v>
      </c>
    </row>
    <row r="2363" spans="1:13" x14ac:dyDescent="0.3">
      <c r="A2363" s="3">
        <v>10110010</v>
      </c>
      <c r="B2363" s="4" t="s">
        <v>3616</v>
      </c>
      <c r="C2363" s="5" t="s">
        <v>3651</v>
      </c>
      <c r="D2363" s="5" t="s">
        <v>96</v>
      </c>
      <c r="E2363" s="3" t="s">
        <v>3652</v>
      </c>
      <c r="F2363" s="6">
        <v>39</v>
      </c>
      <c r="G2363" s="6">
        <v>39</v>
      </c>
      <c r="H2363" s="6">
        <v>34</v>
      </c>
      <c r="I2363" s="7" t="s">
        <v>4316</v>
      </c>
      <c r="J2363" s="3" t="s">
        <v>4318</v>
      </c>
      <c r="K2363" s="8" t="s">
        <v>4581</v>
      </c>
      <c r="L2363" s="9" t="s">
        <v>3653</v>
      </c>
      <c r="M2363" s="1" t="s">
        <v>3654</v>
      </c>
    </row>
    <row r="2364" spans="1:13" x14ac:dyDescent="0.3">
      <c r="A2364" s="3">
        <v>10119011</v>
      </c>
      <c r="B2364" s="4" t="s">
        <v>3616</v>
      </c>
      <c r="C2364" s="5" t="s">
        <v>3655</v>
      </c>
      <c r="D2364" s="5" t="s">
        <v>74</v>
      </c>
      <c r="E2364" s="3" t="s">
        <v>3656</v>
      </c>
      <c r="F2364" s="6">
        <v>38</v>
      </c>
      <c r="G2364" s="6">
        <v>38</v>
      </c>
      <c r="H2364" s="6">
        <v>0</v>
      </c>
      <c r="I2364" s="7" t="s">
        <v>4447</v>
      </c>
      <c r="J2364" s="3" t="s">
        <v>4317</v>
      </c>
      <c r="K2364" s="8" t="s">
        <v>4575</v>
      </c>
      <c r="L2364" s="9" t="s">
        <v>3657</v>
      </c>
      <c r="M2364" s="1" t="s">
        <v>3658</v>
      </c>
    </row>
    <row r="2365" spans="1:13" x14ac:dyDescent="0.3">
      <c r="A2365" s="3">
        <v>10110012</v>
      </c>
      <c r="B2365" s="4" t="s">
        <v>3616</v>
      </c>
      <c r="C2365" s="5" t="s">
        <v>3659</v>
      </c>
      <c r="D2365" s="5" t="s">
        <v>96</v>
      </c>
      <c r="E2365" s="3" t="s">
        <v>3660</v>
      </c>
      <c r="F2365" s="6">
        <v>56</v>
      </c>
      <c r="G2365" s="6">
        <v>39</v>
      </c>
      <c r="H2365" s="6">
        <v>16.5</v>
      </c>
      <c r="I2365" s="7" t="s">
        <v>4316</v>
      </c>
      <c r="J2365" s="3" t="s">
        <v>4318</v>
      </c>
      <c r="K2365" s="8" t="s">
        <v>4594</v>
      </c>
      <c r="L2365" s="9" t="s">
        <v>3661</v>
      </c>
      <c r="M2365" s="1" t="s">
        <v>3662</v>
      </c>
    </row>
    <row r="2366" spans="1:13" x14ac:dyDescent="0.3">
      <c r="A2366" s="3">
        <v>10110013</v>
      </c>
      <c r="B2366" s="4" t="s">
        <v>3616</v>
      </c>
      <c r="C2366" s="5" t="s">
        <v>3663</v>
      </c>
      <c r="D2366" s="5" t="s">
        <v>96</v>
      </c>
      <c r="E2366" s="3" t="s">
        <v>3663</v>
      </c>
      <c r="F2366" s="6">
        <v>80</v>
      </c>
      <c r="G2366" s="6">
        <v>35</v>
      </c>
      <c r="H2366" s="6">
        <v>23</v>
      </c>
      <c r="I2366" s="7" t="s">
        <v>4316</v>
      </c>
      <c r="J2366" s="3" t="s">
        <v>4318</v>
      </c>
      <c r="K2366" s="8" t="s">
        <v>4659</v>
      </c>
      <c r="L2366" s="9" t="s">
        <v>3664</v>
      </c>
      <c r="M2366" s="1" t="s">
        <v>3665</v>
      </c>
    </row>
    <row r="2367" spans="1:13" x14ac:dyDescent="0.3">
      <c r="A2367" s="3">
        <v>10110014</v>
      </c>
      <c r="B2367" s="4" t="s">
        <v>3616</v>
      </c>
      <c r="C2367" s="5" t="s">
        <v>3666</v>
      </c>
      <c r="D2367" s="5" t="s">
        <v>96</v>
      </c>
      <c r="E2367" s="3" t="s">
        <v>3666</v>
      </c>
      <c r="F2367" s="6">
        <v>51</v>
      </c>
      <c r="G2367" s="6">
        <v>25.5</v>
      </c>
      <c r="H2367" s="6">
        <v>26.4</v>
      </c>
      <c r="I2367" s="7" t="s">
        <v>4316</v>
      </c>
      <c r="J2367" s="3" t="s">
        <v>4318</v>
      </c>
      <c r="K2367" s="8" t="s">
        <v>4409</v>
      </c>
      <c r="L2367" s="9" t="s">
        <v>3667</v>
      </c>
      <c r="M2367" s="1" t="s">
        <v>3668</v>
      </c>
    </row>
    <row r="2368" spans="1:13" x14ac:dyDescent="0.3">
      <c r="A2368" s="3">
        <v>10110015</v>
      </c>
      <c r="B2368" s="4" t="s">
        <v>3616</v>
      </c>
      <c r="C2368" s="5" t="s">
        <v>3669</v>
      </c>
      <c r="D2368" s="5" t="s">
        <v>96</v>
      </c>
      <c r="E2368" s="3" t="s">
        <v>3669</v>
      </c>
      <c r="F2368" s="6">
        <v>130</v>
      </c>
      <c r="G2368" s="6">
        <v>30</v>
      </c>
      <c r="H2368" s="6">
        <v>21</v>
      </c>
      <c r="I2368" s="7" t="s">
        <v>4316</v>
      </c>
      <c r="J2368" s="3" t="s">
        <v>4318</v>
      </c>
      <c r="K2368" s="8" t="s">
        <v>4660</v>
      </c>
      <c r="L2368" s="9" t="s">
        <v>3670</v>
      </c>
      <c r="M2368" s="1" t="s">
        <v>3671</v>
      </c>
    </row>
    <row r="2369" spans="1:13" x14ac:dyDescent="0.3">
      <c r="A2369" s="3">
        <v>10110016</v>
      </c>
      <c r="B2369" s="4" t="s">
        <v>3616</v>
      </c>
      <c r="C2369" s="5" t="s">
        <v>3672</v>
      </c>
      <c r="D2369" s="5" t="s">
        <v>96</v>
      </c>
      <c r="E2369" s="3" t="s">
        <v>3672</v>
      </c>
      <c r="F2369" s="6">
        <v>110</v>
      </c>
      <c r="G2369" s="6">
        <v>45</v>
      </c>
      <c r="H2369" s="6">
        <v>31</v>
      </c>
      <c r="I2369" s="7" t="s">
        <v>4316</v>
      </c>
      <c r="J2369" s="3" t="s">
        <v>4318</v>
      </c>
      <c r="K2369" s="8" t="s">
        <v>4456</v>
      </c>
      <c r="L2369" s="9" t="s">
        <v>3673</v>
      </c>
      <c r="M2369" s="1" t="s">
        <v>3674</v>
      </c>
    </row>
    <row r="2370" spans="1:13" x14ac:dyDescent="0.3">
      <c r="A2370" s="3">
        <v>10110017</v>
      </c>
      <c r="B2370" s="4" t="s">
        <v>3616</v>
      </c>
      <c r="C2370" s="5" t="s">
        <v>3675</v>
      </c>
      <c r="D2370" s="5" t="s">
        <v>96</v>
      </c>
      <c r="E2370" s="3" t="s">
        <v>3675</v>
      </c>
      <c r="F2370" s="6">
        <v>51</v>
      </c>
      <c r="G2370" s="6">
        <v>51</v>
      </c>
      <c r="H2370" s="6">
        <v>27</v>
      </c>
      <c r="I2370" s="7" t="s">
        <v>4316</v>
      </c>
      <c r="J2370" s="3" t="s">
        <v>4318</v>
      </c>
      <c r="K2370" s="8" t="s">
        <v>4564</v>
      </c>
      <c r="L2370" s="9" t="s">
        <v>3676</v>
      </c>
      <c r="M2370" s="1" t="s">
        <v>3677</v>
      </c>
    </row>
    <row r="2371" spans="1:13" x14ac:dyDescent="0.3">
      <c r="A2371" s="3">
        <v>10110018</v>
      </c>
      <c r="B2371" s="4" t="s">
        <v>3616</v>
      </c>
      <c r="C2371" s="5" t="s">
        <v>3678</v>
      </c>
      <c r="D2371" s="5" t="s">
        <v>96</v>
      </c>
      <c r="E2371" s="3" t="s">
        <v>3678</v>
      </c>
      <c r="F2371" s="6">
        <v>41</v>
      </c>
      <c r="G2371" s="6">
        <v>41</v>
      </c>
      <c r="H2371" s="6">
        <v>31</v>
      </c>
      <c r="I2371" s="7" t="s">
        <v>4316</v>
      </c>
      <c r="J2371" s="3" t="s">
        <v>4318</v>
      </c>
      <c r="K2371" s="8" t="s">
        <v>4544</v>
      </c>
      <c r="L2371" s="9" t="s">
        <v>3679</v>
      </c>
      <c r="M2371" s="1" t="s">
        <v>3680</v>
      </c>
    </row>
    <row r="2372" spans="1:13" x14ac:dyDescent="0.3">
      <c r="A2372" s="3">
        <v>10110019</v>
      </c>
      <c r="B2372" s="4" t="s">
        <v>3616</v>
      </c>
      <c r="C2372" s="5" t="s">
        <v>3681</v>
      </c>
      <c r="D2372" s="5" t="s">
        <v>74</v>
      </c>
      <c r="E2372" s="3" t="s">
        <v>3678</v>
      </c>
      <c r="F2372" s="6">
        <v>39.5</v>
      </c>
      <c r="G2372" s="6">
        <v>39.5</v>
      </c>
      <c r="H2372" s="6" t="s">
        <v>14</v>
      </c>
      <c r="I2372" s="7">
        <v>26</v>
      </c>
      <c r="J2372" s="3" t="s">
        <v>4317</v>
      </c>
      <c r="K2372" s="8">
        <v>0.16</v>
      </c>
      <c r="L2372" s="9" t="s">
        <v>3682</v>
      </c>
      <c r="M2372" s="1" t="s">
        <v>3683</v>
      </c>
    </row>
    <row r="2373" spans="1:13" x14ac:dyDescent="0.3">
      <c r="A2373" s="3">
        <v>10110020</v>
      </c>
      <c r="B2373" s="4" t="s">
        <v>3616</v>
      </c>
      <c r="C2373" s="5" t="s">
        <v>4950</v>
      </c>
      <c r="D2373" s="5" t="s">
        <v>154</v>
      </c>
      <c r="E2373" s="3" t="s">
        <v>4950</v>
      </c>
      <c r="F2373" s="6">
        <v>61</v>
      </c>
      <c r="G2373" s="6">
        <v>28</v>
      </c>
      <c r="H2373" s="6">
        <v>18</v>
      </c>
      <c r="I2373" s="7">
        <v>42</v>
      </c>
      <c r="J2373" s="3" t="s">
        <v>4318</v>
      </c>
      <c r="K2373" s="8">
        <v>0.76</v>
      </c>
      <c r="L2373" s="9" t="s">
        <v>4951</v>
      </c>
      <c r="M2373" s="1" t="s">
        <v>4963</v>
      </c>
    </row>
    <row r="2374" spans="1:13" x14ac:dyDescent="0.3">
      <c r="A2374" s="3">
        <v>10110021</v>
      </c>
      <c r="B2374" s="4" t="s">
        <v>3616</v>
      </c>
      <c r="C2374" s="5" t="s">
        <v>4957</v>
      </c>
      <c r="D2374" s="5" t="s">
        <v>13</v>
      </c>
      <c r="E2374" s="3" t="s">
        <v>4950</v>
      </c>
      <c r="F2374" s="6">
        <v>62</v>
      </c>
      <c r="G2374" s="6">
        <v>39</v>
      </c>
      <c r="H2374" s="6">
        <v>6</v>
      </c>
      <c r="I2374" s="7">
        <v>32</v>
      </c>
      <c r="J2374" s="3" t="s">
        <v>4317</v>
      </c>
      <c r="K2374" s="8">
        <v>0.38</v>
      </c>
      <c r="L2374" s="9" t="s">
        <v>4952</v>
      </c>
      <c r="M2374" s="1" t="s">
        <v>4964</v>
      </c>
    </row>
    <row r="2375" spans="1:13" x14ac:dyDescent="0.3">
      <c r="A2375" s="3">
        <v>10110022</v>
      </c>
      <c r="B2375" s="4" t="s">
        <v>3616</v>
      </c>
      <c r="C2375" s="5" t="s">
        <v>4961</v>
      </c>
      <c r="D2375" s="5" t="s">
        <v>552</v>
      </c>
      <c r="E2375" s="3" t="s">
        <v>14</v>
      </c>
      <c r="F2375" s="6" t="s">
        <v>4959</v>
      </c>
      <c r="G2375" s="6" t="s">
        <v>4959</v>
      </c>
      <c r="H2375" s="6">
        <v>33</v>
      </c>
      <c r="I2375" s="7" t="s">
        <v>14</v>
      </c>
      <c r="J2375" s="3" t="s">
        <v>4960</v>
      </c>
      <c r="K2375" s="8" t="s">
        <v>14</v>
      </c>
      <c r="L2375" s="9" t="s">
        <v>4953</v>
      </c>
      <c r="M2375" s="1" t="s">
        <v>4965</v>
      </c>
    </row>
    <row r="2376" spans="1:13" x14ac:dyDescent="0.3">
      <c r="A2376" s="3">
        <v>10110023</v>
      </c>
      <c r="B2376" s="4" t="s">
        <v>3616</v>
      </c>
      <c r="C2376" s="5" t="s">
        <v>5038</v>
      </c>
      <c r="D2376" s="5" t="s">
        <v>552</v>
      </c>
      <c r="E2376" s="3" t="s">
        <v>14</v>
      </c>
      <c r="F2376" s="6" t="s">
        <v>4959</v>
      </c>
      <c r="G2376" s="6" t="s">
        <v>4959</v>
      </c>
      <c r="H2376" s="6">
        <v>43</v>
      </c>
      <c r="I2376" s="7" t="s">
        <v>14</v>
      </c>
      <c r="J2376" s="3" t="s">
        <v>4960</v>
      </c>
      <c r="K2376" s="8" t="s">
        <v>14</v>
      </c>
      <c r="L2376" s="9" t="s">
        <v>4954</v>
      </c>
      <c r="M2376" s="1" t="s">
        <v>4966</v>
      </c>
    </row>
    <row r="2377" spans="1:13" x14ac:dyDescent="0.3">
      <c r="A2377" s="3">
        <v>10110024</v>
      </c>
      <c r="B2377" s="4" t="s">
        <v>3616</v>
      </c>
      <c r="C2377" s="5" t="s">
        <v>4017</v>
      </c>
      <c r="D2377" s="5" t="s">
        <v>74</v>
      </c>
      <c r="E2377" s="3" t="s">
        <v>14</v>
      </c>
      <c r="F2377" s="6">
        <v>30</v>
      </c>
      <c r="G2377" s="6">
        <v>25</v>
      </c>
      <c r="H2377" s="6" t="s">
        <v>14</v>
      </c>
      <c r="I2377" s="7">
        <v>32</v>
      </c>
      <c r="J2377" s="3" t="s">
        <v>4317</v>
      </c>
      <c r="K2377" s="8">
        <v>0.08</v>
      </c>
      <c r="L2377" s="9" t="s">
        <v>4955</v>
      </c>
      <c r="M2377" s="1" t="s">
        <v>4967</v>
      </c>
    </row>
    <row r="2378" spans="1:13" x14ac:dyDescent="0.3">
      <c r="A2378" s="3">
        <v>10110025</v>
      </c>
      <c r="B2378" s="4" t="s">
        <v>3616</v>
      </c>
      <c r="C2378" s="5" t="s">
        <v>4962</v>
      </c>
      <c r="D2378" s="5" t="s">
        <v>74</v>
      </c>
      <c r="E2378" s="3" t="s">
        <v>14</v>
      </c>
      <c r="F2378" s="6">
        <v>41</v>
      </c>
      <c r="G2378" s="6">
        <v>33</v>
      </c>
      <c r="H2378" s="6" t="s">
        <v>14</v>
      </c>
      <c r="I2378" s="7">
        <v>32</v>
      </c>
      <c r="J2378" s="3" t="s">
        <v>4317</v>
      </c>
      <c r="K2378" s="8">
        <v>0.14000000000000001</v>
      </c>
      <c r="L2378" s="9" t="s">
        <v>4956</v>
      </c>
      <c r="M2378" s="1" t="s">
        <v>4968</v>
      </c>
    </row>
    <row r="2379" spans="1:13" x14ac:dyDescent="0.3">
      <c r="A2379" s="3">
        <v>10110026</v>
      </c>
      <c r="B2379" s="4" t="s">
        <v>3616</v>
      </c>
      <c r="C2379" s="5" t="s">
        <v>5005</v>
      </c>
      <c r="D2379" s="5" t="s">
        <v>74</v>
      </c>
      <c r="E2379" s="3" t="s">
        <v>14</v>
      </c>
      <c r="F2379" s="6">
        <v>19</v>
      </c>
      <c r="G2379" s="6">
        <v>19</v>
      </c>
      <c r="H2379" s="6" t="s">
        <v>14</v>
      </c>
      <c r="I2379" s="7">
        <v>32</v>
      </c>
      <c r="J2379" s="3" t="s">
        <v>4317</v>
      </c>
      <c r="K2379" s="8">
        <v>0.04</v>
      </c>
      <c r="L2379" s="9" t="s">
        <v>5006</v>
      </c>
      <c r="M2379" s="1" t="s">
        <v>5007</v>
      </c>
    </row>
    <row r="2380" spans="1:13" x14ac:dyDescent="0.3">
      <c r="A2380" s="3">
        <v>10110027</v>
      </c>
      <c r="B2380" s="4" t="s">
        <v>3616</v>
      </c>
      <c r="C2380" s="5" t="s">
        <v>4958</v>
      </c>
      <c r="D2380" s="5" t="s">
        <v>552</v>
      </c>
      <c r="E2380" s="3" t="s">
        <v>14</v>
      </c>
      <c r="F2380" s="6" t="s">
        <v>4959</v>
      </c>
      <c r="G2380" s="6" t="s">
        <v>4959</v>
      </c>
      <c r="H2380" s="6">
        <v>24</v>
      </c>
      <c r="I2380" s="7" t="s">
        <v>14</v>
      </c>
      <c r="J2380" s="3" t="s">
        <v>4960</v>
      </c>
      <c r="K2380" s="8" t="s">
        <v>14</v>
      </c>
      <c r="L2380" s="9" t="s">
        <v>5037</v>
      </c>
      <c r="M2380" s="1" t="s">
        <v>5039</v>
      </c>
    </row>
    <row r="2381" spans="1:13" x14ac:dyDescent="0.3">
      <c r="A2381" s="3">
        <v>10110028</v>
      </c>
      <c r="B2381" s="4" t="s">
        <v>3616</v>
      </c>
      <c r="C2381" s="5" t="s">
        <v>5111</v>
      </c>
      <c r="D2381" s="5" t="s">
        <v>74</v>
      </c>
      <c r="E2381" s="3" t="s">
        <v>5104</v>
      </c>
      <c r="F2381" s="6">
        <v>111</v>
      </c>
      <c r="G2381" s="6">
        <v>104</v>
      </c>
      <c r="H2381" s="6" t="s">
        <v>14</v>
      </c>
      <c r="I2381" s="7">
        <v>32</v>
      </c>
      <c r="J2381" s="3" t="s">
        <v>4471</v>
      </c>
      <c r="K2381" s="8">
        <v>1.1499999999999999</v>
      </c>
      <c r="L2381" s="9" t="s">
        <v>5105</v>
      </c>
      <c r="M2381" s="1" t="s">
        <v>5240</v>
      </c>
    </row>
    <row r="2382" spans="1:13" x14ac:dyDescent="0.3">
      <c r="A2382" s="3">
        <v>10110029</v>
      </c>
      <c r="B2382" s="4" t="s">
        <v>3616</v>
      </c>
      <c r="C2382" s="5" t="s">
        <v>5262</v>
      </c>
      <c r="D2382" s="5" t="s">
        <v>96</v>
      </c>
      <c r="E2382" s="3" t="s">
        <v>5263</v>
      </c>
      <c r="F2382" s="6">
        <v>20</v>
      </c>
      <c r="G2382" s="6">
        <v>19</v>
      </c>
      <c r="H2382" s="6">
        <v>15</v>
      </c>
      <c r="I2382" s="7">
        <v>32</v>
      </c>
      <c r="J2382" s="3" t="s">
        <v>4317</v>
      </c>
      <c r="K2382" s="8">
        <v>0.28999999999999998</v>
      </c>
      <c r="L2382" s="9" t="s">
        <v>5264</v>
      </c>
      <c r="M2382" s="1" t="s">
        <v>5265</v>
      </c>
    </row>
    <row r="2383" spans="1:13" x14ac:dyDescent="0.3">
      <c r="A2383" s="3">
        <v>10110030</v>
      </c>
      <c r="B2383" s="4" t="s">
        <v>3616</v>
      </c>
      <c r="C2383" s="5" t="s">
        <v>5399</v>
      </c>
      <c r="D2383" s="5" t="s">
        <v>74</v>
      </c>
      <c r="E2383" s="3" t="s">
        <v>5400</v>
      </c>
      <c r="F2383" s="6">
        <v>46</v>
      </c>
      <c r="G2383" s="6">
        <v>54</v>
      </c>
      <c r="H2383" s="6" t="s">
        <v>14</v>
      </c>
      <c r="I2383" s="7">
        <v>32</v>
      </c>
      <c r="J2383" s="3" t="s">
        <v>4317</v>
      </c>
      <c r="K2383" s="8"/>
      <c r="L2383" s="9" t="s">
        <v>5401</v>
      </c>
      <c r="M2383" s="1" t="s">
        <v>5409</v>
      </c>
    </row>
    <row r="2384" spans="1:13" x14ac:dyDescent="0.3">
      <c r="A2384" s="3">
        <v>9510001</v>
      </c>
      <c r="B2384" s="4" t="s">
        <v>3684</v>
      </c>
      <c r="C2384" s="5">
        <v>383824</v>
      </c>
      <c r="D2384" s="5" t="s">
        <v>96</v>
      </c>
      <c r="E2384" s="3" t="s">
        <v>3685</v>
      </c>
      <c r="F2384" s="6">
        <v>38</v>
      </c>
      <c r="G2384" s="6">
        <v>24</v>
      </c>
      <c r="H2384" s="6">
        <v>24</v>
      </c>
      <c r="I2384" s="7" t="s">
        <v>4316</v>
      </c>
      <c r="J2384" s="3" t="s">
        <v>4318</v>
      </c>
      <c r="K2384" s="8" t="s">
        <v>4554</v>
      </c>
      <c r="L2384" s="9" t="s">
        <v>3686</v>
      </c>
      <c r="M2384" s="1" t="s">
        <v>3687</v>
      </c>
    </row>
    <row r="2385" spans="1:13" x14ac:dyDescent="0.3">
      <c r="A2385" s="3">
        <v>9513002</v>
      </c>
      <c r="B2385" s="4" t="s">
        <v>3684</v>
      </c>
      <c r="C2385" s="5" t="s">
        <v>3688</v>
      </c>
      <c r="D2385" s="5" t="s">
        <v>491</v>
      </c>
      <c r="E2385" s="3" t="s">
        <v>3688</v>
      </c>
      <c r="F2385" s="6">
        <v>20.3</v>
      </c>
      <c r="G2385" s="6">
        <v>20</v>
      </c>
      <c r="H2385" s="6">
        <v>7.5</v>
      </c>
      <c r="I2385" s="7" t="s">
        <v>4420</v>
      </c>
      <c r="J2385" s="3" t="s">
        <v>4422</v>
      </c>
      <c r="K2385" s="8">
        <v>0.25</v>
      </c>
      <c r="L2385" s="9" t="s">
        <v>3689</v>
      </c>
      <c r="M2385" s="1" t="s">
        <v>3690</v>
      </c>
    </row>
    <row r="2386" spans="1:13" x14ac:dyDescent="0.3">
      <c r="A2386" s="3">
        <v>9520003</v>
      </c>
      <c r="B2386" s="4" t="s">
        <v>3684</v>
      </c>
      <c r="C2386" s="5" t="s">
        <v>3691</v>
      </c>
      <c r="D2386" s="5" t="s">
        <v>264</v>
      </c>
      <c r="E2386" s="3" t="s">
        <v>3692</v>
      </c>
      <c r="F2386" s="6">
        <v>55</v>
      </c>
      <c r="G2386" s="6">
        <v>15</v>
      </c>
      <c r="H2386" s="6">
        <v>0</v>
      </c>
      <c r="I2386" s="7" t="s">
        <v>4315</v>
      </c>
      <c r="J2386" s="3" t="s">
        <v>4317</v>
      </c>
      <c r="K2386" s="8" t="s">
        <v>4501</v>
      </c>
      <c r="L2386" s="9" t="s">
        <v>3693</v>
      </c>
      <c r="M2386" s="1" t="s">
        <v>3694</v>
      </c>
    </row>
    <row r="2387" spans="1:13" x14ac:dyDescent="0.3">
      <c r="A2387" s="3">
        <v>9521004</v>
      </c>
      <c r="B2387" s="4" t="s">
        <v>3684</v>
      </c>
      <c r="C2387" s="5" t="s">
        <v>3691</v>
      </c>
      <c r="D2387" s="5" t="s">
        <v>267</v>
      </c>
      <c r="E2387" s="3" t="s">
        <v>3692</v>
      </c>
      <c r="F2387" s="6">
        <v>37.799999999999997</v>
      </c>
      <c r="G2387" s="6">
        <v>15</v>
      </c>
      <c r="H2387" s="6">
        <v>0</v>
      </c>
      <c r="I2387" s="7" t="s">
        <v>4315</v>
      </c>
      <c r="J2387" s="3" t="s">
        <v>4317</v>
      </c>
      <c r="K2387" s="8" t="s">
        <v>4427</v>
      </c>
      <c r="L2387" s="9" t="s">
        <v>3695</v>
      </c>
      <c r="M2387" s="1" t="s">
        <v>3696</v>
      </c>
    </row>
    <row r="2388" spans="1:13" x14ac:dyDescent="0.3">
      <c r="A2388" s="3">
        <v>9516005</v>
      </c>
      <c r="B2388" s="4" t="s">
        <v>3684</v>
      </c>
      <c r="C2388" s="5" t="s">
        <v>3697</v>
      </c>
      <c r="D2388" s="5" t="s">
        <v>105</v>
      </c>
      <c r="E2388" s="3" t="s">
        <v>3697</v>
      </c>
      <c r="F2388" s="6">
        <v>122</v>
      </c>
      <c r="G2388" s="6">
        <v>102</v>
      </c>
      <c r="H2388" s="6">
        <v>94</v>
      </c>
      <c r="I2388" s="7" t="s">
        <v>4345</v>
      </c>
      <c r="J2388" s="3" t="s">
        <v>4347</v>
      </c>
      <c r="K2388" s="8" t="s">
        <v>4615</v>
      </c>
      <c r="L2388" s="9" t="s">
        <v>3698</v>
      </c>
      <c r="M2388" s="1" t="s">
        <v>3699</v>
      </c>
    </row>
    <row r="2389" spans="1:13" x14ac:dyDescent="0.3">
      <c r="A2389" s="3">
        <v>9520006</v>
      </c>
      <c r="B2389" s="4" t="s">
        <v>3684</v>
      </c>
      <c r="C2389" s="5" t="s">
        <v>3697</v>
      </c>
      <c r="D2389" s="5" t="s">
        <v>264</v>
      </c>
      <c r="E2389" s="3" t="s">
        <v>3697</v>
      </c>
      <c r="F2389" s="6">
        <v>100</v>
      </c>
      <c r="G2389" s="6">
        <v>23</v>
      </c>
      <c r="H2389" s="6">
        <v>0</v>
      </c>
      <c r="I2389" s="7" t="s">
        <v>4316</v>
      </c>
      <c r="J2389" s="3" t="s">
        <v>4318</v>
      </c>
      <c r="K2389" s="8" t="s">
        <v>4689</v>
      </c>
      <c r="L2389" s="9" t="s">
        <v>3700</v>
      </c>
      <c r="M2389" s="1" t="s">
        <v>3701</v>
      </c>
    </row>
    <row r="2390" spans="1:13" x14ac:dyDescent="0.3">
      <c r="A2390" s="3">
        <v>9521007</v>
      </c>
      <c r="B2390" s="4" t="s">
        <v>3684</v>
      </c>
      <c r="C2390" s="5" t="s">
        <v>3697</v>
      </c>
      <c r="D2390" s="5" t="s">
        <v>267</v>
      </c>
      <c r="E2390" s="3" t="s">
        <v>3697</v>
      </c>
      <c r="F2390" s="6">
        <v>128</v>
      </c>
      <c r="G2390" s="6">
        <v>23</v>
      </c>
      <c r="H2390" s="6">
        <v>0</v>
      </c>
      <c r="I2390" s="7" t="s">
        <v>4316</v>
      </c>
      <c r="J2390" s="3" t="s">
        <v>4318</v>
      </c>
      <c r="K2390" s="8" t="s">
        <v>4609</v>
      </c>
      <c r="L2390" s="9" t="s">
        <v>3702</v>
      </c>
      <c r="M2390" s="1" t="s">
        <v>3703</v>
      </c>
    </row>
    <row r="2391" spans="1:13" x14ac:dyDescent="0.3">
      <c r="A2391" s="3">
        <v>9516008</v>
      </c>
      <c r="B2391" s="4" t="s">
        <v>3684</v>
      </c>
      <c r="C2391" s="5" t="s">
        <v>3704</v>
      </c>
      <c r="D2391" s="5" t="s">
        <v>105</v>
      </c>
      <c r="E2391" s="3" t="s">
        <v>3704</v>
      </c>
      <c r="F2391" s="6">
        <v>122</v>
      </c>
      <c r="G2391" s="6">
        <v>102</v>
      </c>
      <c r="H2391" s="6">
        <v>94</v>
      </c>
      <c r="I2391" s="7" t="s">
        <v>4345</v>
      </c>
      <c r="J2391" s="3" t="s">
        <v>4347</v>
      </c>
      <c r="K2391" s="8" t="s">
        <v>4615</v>
      </c>
      <c r="L2391" s="9" t="s">
        <v>3705</v>
      </c>
      <c r="M2391" s="1" t="s">
        <v>3706</v>
      </c>
    </row>
    <row r="2392" spans="1:13" x14ac:dyDescent="0.3">
      <c r="A2392" s="3">
        <v>9520009</v>
      </c>
      <c r="B2392" s="4" t="s">
        <v>3684</v>
      </c>
      <c r="C2392" s="5" t="s">
        <v>3704</v>
      </c>
      <c r="D2392" s="5" t="s">
        <v>264</v>
      </c>
      <c r="E2392" s="3" t="s">
        <v>3704</v>
      </c>
      <c r="F2392" s="6">
        <v>100</v>
      </c>
      <c r="G2392" s="6">
        <v>27</v>
      </c>
      <c r="H2392" s="6">
        <v>0</v>
      </c>
      <c r="I2392" s="7" t="s">
        <v>4316</v>
      </c>
      <c r="J2392" s="3" t="s">
        <v>4318</v>
      </c>
      <c r="K2392" s="8" t="s">
        <v>4367</v>
      </c>
      <c r="L2392" s="9" t="s">
        <v>3707</v>
      </c>
      <c r="M2392" s="1" t="s">
        <v>3708</v>
      </c>
    </row>
    <row r="2393" spans="1:13" x14ac:dyDescent="0.3">
      <c r="A2393" s="3">
        <v>9521010</v>
      </c>
      <c r="B2393" s="4" t="s">
        <v>3684</v>
      </c>
      <c r="C2393" s="5" t="s">
        <v>3704</v>
      </c>
      <c r="D2393" s="5" t="s">
        <v>267</v>
      </c>
      <c r="E2393" s="3" t="s">
        <v>3704</v>
      </c>
      <c r="F2393" s="6">
        <v>128</v>
      </c>
      <c r="G2393" s="6">
        <v>27</v>
      </c>
      <c r="H2393" s="6">
        <v>0</v>
      </c>
      <c r="I2393" s="7" t="s">
        <v>4316</v>
      </c>
      <c r="J2393" s="3" t="s">
        <v>4318</v>
      </c>
      <c r="K2393" s="8" t="s">
        <v>4762</v>
      </c>
      <c r="L2393" s="9" t="s">
        <v>3709</v>
      </c>
      <c r="M2393" s="1" t="s">
        <v>3710</v>
      </c>
    </row>
    <row r="2394" spans="1:13" x14ac:dyDescent="0.3">
      <c r="A2394" s="3">
        <v>9519011</v>
      </c>
      <c r="B2394" s="4" t="s">
        <v>3684</v>
      </c>
      <c r="C2394" s="5" t="s">
        <v>3711</v>
      </c>
      <c r="D2394" s="5" t="s">
        <v>74</v>
      </c>
      <c r="E2394" s="3" t="s">
        <v>3711</v>
      </c>
      <c r="F2394" s="6">
        <v>120</v>
      </c>
      <c r="G2394" s="6">
        <v>100</v>
      </c>
      <c r="H2394" s="6">
        <v>0</v>
      </c>
      <c r="I2394" s="7" t="s">
        <v>4316</v>
      </c>
      <c r="J2394" s="3" t="s">
        <v>4318</v>
      </c>
      <c r="K2394" s="8" t="s">
        <v>4494</v>
      </c>
      <c r="L2394" s="9" t="s">
        <v>3712</v>
      </c>
      <c r="M2394" s="1" t="s">
        <v>3713</v>
      </c>
    </row>
    <row r="2395" spans="1:13" x14ac:dyDescent="0.3">
      <c r="A2395" s="3">
        <v>9514012</v>
      </c>
      <c r="B2395" s="4" t="s">
        <v>3684</v>
      </c>
      <c r="C2395" s="5" t="s">
        <v>3714</v>
      </c>
      <c r="D2395" s="5" t="s">
        <v>392</v>
      </c>
      <c r="E2395" s="3" t="s">
        <v>3711</v>
      </c>
      <c r="F2395" s="6">
        <v>124</v>
      </c>
      <c r="G2395" s="6">
        <v>105</v>
      </c>
      <c r="H2395" s="6">
        <v>10</v>
      </c>
      <c r="I2395" s="7" t="s">
        <v>4316</v>
      </c>
      <c r="J2395" s="3" t="s">
        <v>4318</v>
      </c>
      <c r="K2395" s="8" t="s">
        <v>4620</v>
      </c>
      <c r="L2395" s="9" t="s">
        <v>3715</v>
      </c>
      <c r="M2395" s="1" t="s">
        <v>3716</v>
      </c>
    </row>
    <row r="2396" spans="1:13" x14ac:dyDescent="0.3">
      <c r="A2396" s="3">
        <v>9513013</v>
      </c>
      <c r="B2396" s="4" t="s">
        <v>3684</v>
      </c>
      <c r="C2396" s="5" t="s">
        <v>3717</v>
      </c>
      <c r="D2396" s="5" t="s">
        <v>2584</v>
      </c>
      <c r="E2396" s="3" t="s">
        <v>3718</v>
      </c>
      <c r="F2396" s="6">
        <v>121.7</v>
      </c>
      <c r="G2396" s="6">
        <v>107.5</v>
      </c>
      <c r="H2396" s="6">
        <v>10.3</v>
      </c>
      <c r="I2396" s="7" t="s">
        <v>4510</v>
      </c>
      <c r="J2396" s="3" t="s">
        <v>4318</v>
      </c>
      <c r="K2396" s="8" t="s">
        <v>4527</v>
      </c>
      <c r="L2396" s="9" t="s">
        <v>3719</v>
      </c>
      <c r="M2396" s="1" t="s">
        <v>5015</v>
      </c>
    </row>
    <row r="2397" spans="1:13" x14ac:dyDescent="0.3">
      <c r="A2397" s="3">
        <v>9510014</v>
      </c>
      <c r="B2397" s="4" t="s">
        <v>3684</v>
      </c>
      <c r="C2397" s="5" t="s">
        <v>3720</v>
      </c>
      <c r="D2397" s="5" t="s">
        <v>96</v>
      </c>
      <c r="E2397" s="3" t="s">
        <v>3721</v>
      </c>
      <c r="F2397" s="6">
        <v>98</v>
      </c>
      <c r="G2397" s="6">
        <v>58.5</v>
      </c>
      <c r="H2397" s="6">
        <v>36</v>
      </c>
      <c r="I2397" s="7" t="s">
        <v>4446</v>
      </c>
      <c r="J2397" s="3" t="s">
        <v>4318</v>
      </c>
      <c r="K2397" s="8" t="s">
        <v>4334</v>
      </c>
      <c r="L2397" s="9" t="s">
        <v>3722</v>
      </c>
      <c r="M2397" s="1" t="s">
        <v>3723</v>
      </c>
    </row>
    <row r="2398" spans="1:13" x14ac:dyDescent="0.3">
      <c r="A2398" s="3">
        <v>9510015</v>
      </c>
      <c r="B2398" s="4" t="s">
        <v>3684</v>
      </c>
      <c r="C2398" s="5" t="s">
        <v>3724</v>
      </c>
      <c r="D2398" s="5" t="s">
        <v>96</v>
      </c>
      <c r="E2398" s="3" t="s">
        <v>3725</v>
      </c>
      <c r="F2398" s="6">
        <v>31</v>
      </c>
      <c r="G2398" s="6">
        <v>26</v>
      </c>
      <c r="H2398" s="6">
        <v>32</v>
      </c>
      <c r="I2398" s="7" t="s">
        <v>4316</v>
      </c>
      <c r="J2398" s="3" t="s">
        <v>4318</v>
      </c>
      <c r="K2398" s="8" t="s">
        <v>4429</v>
      </c>
      <c r="L2398" s="9" t="s">
        <v>3726</v>
      </c>
      <c r="M2398" s="1" t="s">
        <v>3727</v>
      </c>
    </row>
    <row r="2399" spans="1:13" x14ac:dyDescent="0.3">
      <c r="A2399" s="3">
        <v>9510016</v>
      </c>
      <c r="B2399" s="4" t="s">
        <v>3684</v>
      </c>
      <c r="C2399" s="5" t="s">
        <v>3728</v>
      </c>
      <c r="D2399" s="5" t="s">
        <v>96</v>
      </c>
      <c r="E2399" s="3" t="s">
        <v>3729</v>
      </c>
      <c r="F2399" s="6">
        <v>54</v>
      </c>
      <c r="G2399" s="6">
        <v>46</v>
      </c>
      <c r="H2399" s="6">
        <v>34</v>
      </c>
      <c r="I2399" s="7" t="s">
        <v>4316</v>
      </c>
      <c r="J2399" s="3" t="s">
        <v>4318</v>
      </c>
      <c r="K2399" s="8" t="s">
        <v>4649</v>
      </c>
      <c r="L2399" s="9" t="s">
        <v>3730</v>
      </c>
      <c r="M2399" s="1" t="s">
        <v>3731</v>
      </c>
    </row>
    <row r="2400" spans="1:13" x14ac:dyDescent="0.3">
      <c r="A2400" s="3">
        <v>951007</v>
      </c>
      <c r="B2400" s="4" t="s">
        <v>3684</v>
      </c>
      <c r="C2400" s="5" t="s">
        <v>3732</v>
      </c>
      <c r="D2400" s="5" t="s">
        <v>96</v>
      </c>
      <c r="E2400" s="3" t="s">
        <v>3733</v>
      </c>
      <c r="F2400" s="6">
        <v>92</v>
      </c>
      <c r="G2400" s="6">
        <v>56</v>
      </c>
      <c r="H2400" s="6">
        <v>34</v>
      </c>
      <c r="I2400" s="7" t="s">
        <v>4316</v>
      </c>
      <c r="J2400" s="3" t="s">
        <v>4318</v>
      </c>
      <c r="K2400" s="8" t="s">
        <v>4763</v>
      </c>
      <c r="L2400" s="9" t="s">
        <v>3734</v>
      </c>
      <c r="M2400" s="1" t="s">
        <v>3735</v>
      </c>
    </row>
    <row r="2401" spans="1:13" x14ac:dyDescent="0.3">
      <c r="A2401" s="3">
        <v>9510018</v>
      </c>
      <c r="B2401" s="4" t="s">
        <v>3684</v>
      </c>
      <c r="C2401" s="5" t="s">
        <v>3736</v>
      </c>
      <c r="D2401" s="5" t="s">
        <v>96</v>
      </c>
      <c r="E2401" s="3" t="s">
        <v>3737</v>
      </c>
      <c r="F2401" s="6">
        <v>110</v>
      </c>
      <c r="G2401" s="6">
        <v>95</v>
      </c>
      <c r="H2401" s="6">
        <v>45</v>
      </c>
      <c r="I2401" s="7" t="s">
        <v>4316</v>
      </c>
      <c r="J2401" s="3" t="s">
        <v>4318</v>
      </c>
      <c r="K2401" s="8" t="s">
        <v>4764</v>
      </c>
      <c r="L2401" s="9" t="s">
        <v>3738</v>
      </c>
      <c r="M2401" s="1" t="s">
        <v>3739</v>
      </c>
    </row>
    <row r="2402" spans="1:13" x14ac:dyDescent="0.3">
      <c r="A2402" s="3">
        <v>9516019</v>
      </c>
      <c r="B2402" s="4" t="s">
        <v>3684</v>
      </c>
      <c r="C2402" s="5" t="s">
        <v>2990</v>
      </c>
      <c r="D2402" s="5" t="s">
        <v>96</v>
      </c>
      <c r="E2402" s="3" t="s">
        <v>2990</v>
      </c>
      <c r="F2402" s="6">
        <v>52</v>
      </c>
      <c r="G2402" s="6">
        <v>38</v>
      </c>
      <c r="H2402" s="6">
        <v>39.5</v>
      </c>
      <c r="I2402" s="7" t="s">
        <v>4446</v>
      </c>
      <c r="J2402" s="3" t="s">
        <v>4318</v>
      </c>
      <c r="K2402" s="8" t="s">
        <v>4765</v>
      </c>
      <c r="L2402" s="9" t="s">
        <v>3740</v>
      </c>
      <c r="M2402" s="1" t="s">
        <v>3741</v>
      </c>
    </row>
    <row r="2403" spans="1:13" x14ac:dyDescent="0.3">
      <c r="A2403" s="3">
        <v>9519020</v>
      </c>
      <c r="B2403" s="4" t="s">
        <v>3684</v>
      </c>
      <c r="C2403" s="5" t="s">
        <v>2990</v>
      </c>
      <c r="D2403" s="5" t="s">
        <v>74</v>
      </c>
      <c r="E2403" s="3" t="s">
        <v>2990</v>
      </c>
      <c r="F2403" s="6">
        <v>118</v>
      </c>
      <c r="G2403" s="6">
        <v>106</v>
      </c>
      <c r="H2403" s="6">
        <v>1.1000000000000001</v>
      </c>
      <c r="I2403" s="7" t="s">
        <v>4760</v>
      </c>
      <c r="J2403" s="3" t="s">
        <v>14</v>
      </c>
      <c r="K2403" s="8" t="s">
        <v>4519</v>
      </c>
      <c r="L2403" s="9" t="s">
        <v>3742</v>
      </c>
      <c r="M2403" s="1" t="s">
        <v>3743</v>
      </c>
    </row>
    <row r="2404" spans="1:13" x14ac:dyDescent="0.3">
      <c r="A2404" s="3">
        <v>9530021</v>
      </c>
      <c r="B2404" s="4" t="s">
        <v>3684</v>
      </c>
      <c r="C2404" s="5" t="s">
        <v>2990</v>
      </c>
      <c r="D2404" s="5" t="s">
        <v>613</v>
      </c>
      <c r="E2404" s="3" t="s">
        <v>2990</v>
      </c>
      <c r="F2404" s="6">
        <v>121.9</v>
      </c>
      <c r="G2404" s="6">
        <v>109</v>
      </c>
      <c r="H2404" s="6">
        <v>12.7</v>
      </c>
      <c r="I2404" s="7" t="s">
        <v>4761</v>
      </c>
      <c r="J2404" s="3" t="s">
        <v>14</v>
      </c>
      <c r="K2404" s="8" t="s">
        <v>4461</v>
      </c>
      <c r="L2404" s="9" t="s">
        <v>3744</v>
      </c>
      <c r="M2404" s="1" t="s">
        <v>3745</v>
      </c>
    </row>
    <row r="2405" spans="1:13" x14ac:dyDescent="0.3">
      <c r="A2405" s="3">
        <v>9510022</v>
      </c>
      <c r="B2405" s="4" t="s">
        <v>3684</v>
      </c>
      <c r="C2405" s="5" t="s">
        <v>3746</v>
      </c>
      <c r="D2405" s="5" t="s">
        <v>96</v>
      </c>
      <c r="E2405" s="3" t="s">
        <v>3685</v>
      </c>
      <c r="F2405" s="6">
        <v>40.5</v>
      </c>
      <c r="G2405" s="6">
        <v>37</v>
      </c>
      <c r="H2405" s="6">
        <v>44</v>
      </c>
      <c r="I2405" s="7" t="s">
        <v>4316</v>
      </c>
      <c r="J2405" s="3" t="s">
        <v>4318</v>
      </c>
      <c r="K2405" s="8" t="s">
        <v>4574</v>
      </c>
      <c r="L2405" s="9" t="s">
        <v>3747</v>
      </c>
      <c r="M2405" s="1" t="s">
        <v>3748</v>
      </c>
    </row>
    <row r="2406" spans="1:13" x14ac:dyDescent="0.3">
      <c r="A2406" s="3">
        <v>9510023</v>
      </c>
      <c r="B2406" s="4" t="s">
        <v>3684</v>
      </c>
      <c r="C2406" s="5" t="s">
        <v>3749</v>
      </c>
      <c r="D2406" s="5" t="s">
        <v>96</v>
      </c>
      <c r="E2406" s="3" t="s">
        <v>3749</v>
      </c>
      <c r="F2406" s="6">
        <v>51.5</v>
      </c>
      <c r="G2406" s="6">
        <v>45</v>
      </c>
      <c r="H2406" s="6">
        <v>23</v>
      </c>
      <c r="I2406" s="7" t="s">
        <v>4446</v>
      </c>
      <c r="J2406" s="3" t="s">
        <v>4318</v>
      </c>
      <c r="K2406" s="8" t="s">
        <v>4328</v>
      </c>
      <c r="L2406" s="9" t="s">
        <v>3750</v>
      </c>
      <c r="M2406" s="1" t="s">
        <v>3751</v>
      </c>
    </row>
    <row r="2407" spans="1:13" x14ac:dyDescent="0.3">
      <c r="A2407" s="3">
        <v>9519024</v>
      </c>
      <c r="B2407" s="4" t="s">
        <v>3684</v>
      </c>
      <c r="C2407" s="5" t="s">
        <v>3752</v>
      </c>
      <c r="D2407" s="5" t="s">
        <v>74</v>
      </c>
      <c r="E2407" s="3" t="s">
        <v>3753</v>
      </c>
      <c r="F2407" s="6">
        <v>112</v>
      </c>
      <c r="G2407" s="6">
        <v>91.5</v>
      </c>
      <c r="H2407" s="6">
        <v>0</v>
      </c>
      <c r="I2407" s="7" t="s">
        <v>4316</v>
      </c>
      <c r="J2407" s="3" t="s">
        <v>4318</v>
      </c>
      <c r="K2407" s="8" t="s">
        <v>4401</v>
      </c>
      <c r="L2407" s="9" t="s">
        <v>3754</v>
      </c>
      <c r="M2407" s="1" t="s">
        <v>3755</v>
      </c>
    </row>
    <row r="2408" spans="1:13" x14ac:dyDescent="0.3">
      <c r="A2408" s="3">
        <v>8510001</v>
      </c>
      <c r="B2408" s="4" t="s">
        <v>3756</v>
      </c>
      <c r="C2408" s="5" t="s">
        <v>948</v>
      </c>
      <c r="D2408" s="5" t="s">
        <v>96</v>
      </c>
      <c r="E2408" s="3" t="s">
        <v>14</v>
      </c>
      <c r="F2408" s="6">
        <v>31.9</v>
      </c>
      <c r="G2408" s="6">
        <v>24.4</v>
      </c>
      <c r="H2408" s="6">
        <v>31.3</v>
      </c>
      <c r="I2408" s="7" t="s">
        <v>4315</v>
      </c>
      <c r="J2408" s="3" t="s">
        <v>4317</v>
      </c>
      <c r="K2408" s="8" t="s">
        <v>4622</v>
      </c>
      <c r="L2408" s="9" t="s">
        <v>3757</v>
      </c>
      <c r="M2408" s="1" t="s">
        <v>3758</v>
      </c>
    </row>
    <row r="2409" spans="1:13" x14ac:dyDescent="0.3">
      <c r="A2409" s="3">
        <v>8520002</v>
      </c>
      <c r="B2409" s="4" t="s">
        <v>3756</v>
      </c>
      <c r="C2409" s="5" t="s">
        <v>3759</v>
      </c>
      <c r="D2409" s="5" t="s">
        <v>264</v>
      </c>
      <c r="E2409" s="3" t="s">
        <v>14</v>
      </c>
      <c r="F2409" s="6">
        <v>31</v>
      </c>
      <c r="G2409" s="6">
        <v>30</v>
      </c>
      <c r="H2409" s="6">
        <v>0</v>
      </c>
      <c r="I2409" s="7" t="s">
        <v>4315</v>
      </c>
      <c r="J2409" s="3" t="s">
        <v>4317</v>
      </c>
      <c r="K2409" s="8" t="s">
        <v>4490</v>
      </c>
      <c r="L2409" s="9" t="s">
        <v>3760</v>
      </c>
      <c r="M2409" s="1" t="s">
        <v>3761</v>
      </c>
    </row>
    <row r="2410" spans="1:13" x14ac:dyDescent="0.3">
      <c r="A2410" s="3">
        <v>8521003</v>
      </c>
      <c r="B2410" s="4" t="s">
        <v>3756</v>
      </c>
      <c r="C2410" s="5" t="s">
        <v>3759</v>
      </c>
      <c r="D2410" s="5" t="s">
        <v>267</v>
      </c>
      <c r="E2410" s="3" t="s">
        <v>14</v>
      </c>
      <c r="F2410" s="6">
        <v>23.5</v>
      </c>
      <c r="G2410" s="6">
        <v>30</v>
      </c>
      <c r="H2410" s="6">
        <v>0</v>
      </c>
      <c r="I2410" s="7" t="s">
        <v>4315</v>
      </c>
      <c r="J2410" s="3" t="s">
        <v>4317</v>
      </c>
      <c r="K2410" s="8" t="s">
        <v>4578</v>
      </c>
      <c r="L2410" s="9" t="s">
        <v>3762</v>
      </c>
      <c r="M2410" s="1" t="s">
        <v>3763</v>
      </c>
    </row>
    <row r="2411" spans="1:13" x14ac:dyDescent="0.3">
      <c r="A2411" s="3">
        <v>8510004</v>
      </c>
      <c r="B2411" s="4" t="s">
        <v>3756</v>
      </c>
      <c r="C2411" s="5" t="s">
        <v>3764</v>
      </c>
      <c r="D2411" s="5" t="s">
        <v>96</v>
      </c>
      <c r="E2411" s="3" t="s">
        <v>14</v>
      </c>
      <c r="F2411" s="6">
        <v>32.4</v>
      </c>
      <c r="G2411" s="6">
        <v>24.4</v>
      </c>
      <c r="H2411" s="6">
        <v>34.299999999999997</v>
      </c>
      <c r="I2411" s="7" t="s">
        <v>4315</v>
      </c>
      <c r="J2411" s="3" t="s">
        <v>4317</v>
      </c>
      <c r="K2411" s="8" t="s">
        <v>4429</v>
      </c>
      <c r="L2411" s="9" t="s">
        <v>3765</v>
      </c>
      <c r="M2411" s="1" t="s">
        <v>3766</v>
      </c>
    </row>
    <row r="2412" spans="1:13" x14ac:dyDescent="0.3">
      <c r="A2412" s="3">
        <v>8520005</v>
      </c>
      <c r="B2412" s="4" t="s">
        <v>3756</v>
      </c>
      <c r="C2412" s="5" t="s">
        <v>3767</v>
      </c>
      <c r="D2412" s="5" t="s">
        <v>264</v>
      </c>
      <c r="E2412" s="3" t="s">
        <v>14</v>
      </c>
      <c r="F2412" s="6">
        <v>31.5</v>
      </c>
      <c r="G2412" s="6">
        <v>33</v>
      </c>
      <c r="H2412" s="6">
        <v>0</v>
      </c>
      <c r="I2412" s="7" t="s">
        <v>4315</v>
      </c>
      <c r="J2412" s="3" t="s">
        <v>4317</v>
      </c>
      <c r="K2412" s="8" t="s">
        <v>4578</v>
      </c>
      <c r="L2412" s="9" t="s">
        <v>3768</v>
      </c>
      <c r="M2412" s="1" t="s">
        <v>3769</v>
      </c>
    </row>
    <row r="2413" spans="1:13" x14ac:dyDescent="0.3">
      <c r="A2413" s="3">
        <v>85210006</v>
      </c>
      <c r="B2413" s="4" t="s">
        <v>3756</v>
      </c>
      <c r="C2413" s="5" t="s">
        <v>3767</v>
      </c>
      <c r="D2413" s="5" t="s">
        <v>267</v>
      </c>
      <c r="E2413" s="3" t="s">
        <v>14</v>
      </c>
      <c r="F2413" s="6">
        <v>31.5</v>
      </c>
      <c r="G2413" s="6">
        <v>23.5</v>
      </c>
      <c r="H2413" s="6">
        <v>33</v>
      </c>
      <c r="I2413" s="7" t="s">
        <v>4315</v>
      </c>
      <c r="J2413" s="3" t="s">
        <v>4317</v>
      </c>
      <c r="K2413" s="8">
        <v>0.09</v>
      </c>
      <c r="L2413" s="9" t="s">
        <v>3770</v>
      </c>
      <c r="M2413" s="1" t="s">
        <v>3771</v>
      </c>
    </row>
    <row r="2414" spans="1:13" x14ac:dyDescent="0.3">
      <c r="A2414" s="3">
        <v>10419001</v>
      </c>
      <c r="B2414" s="4" t="s">
        <v>3772</v>
      </c>
      <c r="C2414" s="5" t="s">
        <v>3773</v>
      </c>
      <c r="D2414" s="5" t="s">
        <v>74</v>
      </c>
      <c r="E2414" s="3" t="s">
        <v>3774</v>
      </c>
      <c r="F2414" s="6">
        <v>125.5</v>
      </c>
      <c r="G2414" s="6">
        <v>10</v>
      </c>
      <c r="H2414" s="6">
        <v>2.5</v>
      </c>
      <c r="I2414" s="7" t="s">
        <v>4766</v>
      </c>
      <c r="J2414" s="3" t="s">
        <v>14</v>
      </c>
      <c r="K2414" s="8" t="s">
        <v>4599</v>
      </c>
      <c r="L2414" s="9" t="s">
        <v>3775</v>
      </c>
      <c r="M2414" s="1" t="s">
        <v>3776</v>
      </c>
    </row>
    <row r="2415" spans="1:13" x14ac:dyDescent="0.3">
      <c r="A2415" s="3">
        <v>10419002</v>
      </c>
      <c r="B2415" s="4" t="s">
        <v>3772</v>
      </c>
      <c r="C2415" s="5" t="s">
        <v>3777</v>
      </c>
      <c r="D2415" s="5" t="s">
        <v>74</v>
      </c>
      <c r="E2415" s="3" t="s">
        <v>3774</v>
      </c>
      <c r="F2415" s="6">
        <v>20</v>
      </c>
      <c r="G2415" s="6">
        <v>20</v>
      </c>
      <c r="H2415" s="6">
        <v>2.5</v>
      </c>
      <c r="I2415" s="7" t="s">
        <v>4766</v>
      </c>
      <c r="J2415" s="3" t="s">
        <v>14</v>
      </c>
      <c r="K2415" s="8" t="s">
        <v>4441</v>
      </c>
      <c r="L2415" s="9" t="s">
        <v>3778</v>
      </c>
      <c r="M2415" s="1" t="s">
        <v>3779</v>
      </c>
    </row>
    <row r="2416" spans="1:13" x14ac:dyDescent="0.3">
      <c r="A2416" s="3">
        <v>10419003</v>
      </c>
      <c r="B2416" s="4" t="s">
        <v>3772</v>
      </c>
      <c r="C2416" s="5" t="s">
        <v>3773</v>
      </c>
      <c r="D2416" s="5" t="s">
        <v>74</v>
      </c>
      <c r="E2416" s="3" t="s">
        <v>3780</v>
      </c>
      <c r="F2416" s="6">
        <v>115.5</v>
      </c>
      <c r="G2416" s="6">
        <v>50</v>
      </c>
      <c r="H2416" s="6">
        <v>0</v>
      </c>
      <c r="I2416" s="7" t="s">
        <v>4766</v>
      </c>
      <c r="J2416" s="3" t="s">
        <v>14</v>
      </c>
      <c r="K2416" s="8" t="s">
        <v>4479</v>
      </c>
      <c r="L2416" s="9" t="s">
        <v>3781</v>
      </c>
      <c r="M2416" s="1" t="s">
        <v>3782</v>
      </c>
    </row>
    <row r="2417" spans="1:14" x14ac:dyDescent="0.3">
      <c r="A2417" s="3">
        <v>10419004</v>
      </c>
      <c r="B2417" s="4" t="s">
        <v>3772</v>
      </c>
      <c r="C2417" s="5" t="s">
        <v>3773</v>
      </c>
      <c r="D2417" s="5" t="s">
        <v>74</v>
      </c>
      <c r="E2417" s="3" t="s">
        <v>3783</v>
      </c>
      <c r="F2417" s="6">
        <v>123.5</v>
      </c>
      <c r="G2417" s="6">
        <v>59</v>
      </c>
      <c r="H2417" s="6">
        <v>0</v>
      </c>
      <c r="I2417" s="7" t="s">
        <v>4766</v>
      </c>
      <c r="J2417" s="3" t="s">
        <v>14</v>
      </c>
      <c r="K2417" s="8" t="s">
        <v>4765</v>
      </c>
      <c r="L2417" s="9" t="s">
        <v>3784</v>
      </c>
      <c r="M2417" s="1" t="s">
        <v>3785</v>
      </c>
    </row>
    <row r="2418" spans="1:14" x14ac:dyDescent="0.3">
      <c r="A2418" s="3">
        <v>10419005</v>
      </c>
      <c r="B2418" s="4" t="s">
        <v>3772</v>
      </c>
      <c r="C2418" s="5" t="s">
        <v>3786</v>
      </c>
      <c r="D2418" s="5" t="s">
        <v>74</v>
      </c>
      <c r="E2418" s="3" t="s">
        <v>3787</v>
      </c>
      <c r="F2418" s="6">
        <v>75</v>
      </c>
      <c r="G2418" s="6">
        <v>10</v>
      </c>
      <c r="H2418" s="6">
        <v>1.1000000000000001</v>
      </c>
      <c r="I2418" s="7" t="s">
        <v>4766</v>
      </c>
      <c r="J2418" s="3" t="s">
        <v>14</v>
      </c>
      <c r="K2418" s="8" t="s">
        <v>4452</v>
      </c>
      <c r="L2418" s="9" t="s">
        <v>3788</v>
      </c>
      <c r="M2418" s="1" t="s">
        <v>3789</v>
      </c>
    </row>
    <row r="2419" spans="1:14" x14ac:dyDescent="0.3">
      <c r="A2419" s="3">
        <v>10419006</v>
      </c>
      <c r="B2419" s="4" t="s">
        <v>3772</v>
      </c>
      <c r="C2419" s="5" t="s">
        <v>3790</v>
      </c>
      <c r="D2419" s="5" t="s">
        <v>74</v>
      </c>
      <c r="E2419" s="3" t="s">
        <v>3791</v>
      </c>
      <c r="F2419" s="6">
        <v>90</v>
      </c>
      <c r="G2419" s="6">
        <v>10</v>
      </c>
      <c r="H2419" s="6">
        <v>1.1000000000000001</v>
      </c>
      <c r="I2419" s="7" t="s">
        <v>4766</v>
      </c>
      <c r="J2419" s="3" t="s">
        <v>14</v>
      </c>
      <c r="K2419" s="8" t="s">
        <v>4424</v>
      </c>
      <c r="L2419" s="9" t="s">
        <v>3792</v>
      </c>
      <c r="M2419" s="1" t="s">
        <v>3793</v>
      </c>
    </row>
    <row r="2420" spans="1:14" x14ac:dyDescent="0.3">
      <c r="A2420" s="3">
        <v>10419007</v>
      </c>
      <c r="B2420" s="4" t="s">
        <v>3772</v>
      </c>
      <c r="C2420" s="5" t="s">
        <v>3794</v>
      </c>
      <c r="D2420" s="5" t="s">
        <v>74</v>
      </c>
      <c r="E2420" s="3" t="s">
        <v>3795</v>
      </c>
      <c r="F2420" s="6">
        <v>62</v>
      </c>
      <c r="G2420" s="6">
        <v>10</v>
      </c>
      <c r="H2420" s="6">
        <v>2.5</v>
      </c>
      <c r="I2420" s="7" t="s">
        <v>4766</v>
      </c>
      <c r="J2420" s="3" t="s">
        <v>14</v>
      </c>
      <c r="K2420" s="8" t="s">
        <v>4562</v>
      </c>
      <c r="L2420" s="9" t="s">
        <v>3796</v>
      </c>
      <c r="M2420" s="1" t="s">
        <v>3797</v>
      </c>
    </row>
    <row r="2421" spans="1:14" x14ac:dyDescent="0.3">
      <c r="A2421" s="3">
        <v>10419008</v>
      </c>
      <c r="B2421" s="4" t="s">
        <v>3772</v>
      </c>
      <c r="C2421" s="5" t="s">
        <v>3798</v>
      </c>
      <c r="D2421" s="5" t="s">
        <v>74</v>
      </c>
      <c r="E2421" s="3" t="s">
        <v>3799</v>
      </c>
      <c r="F2421" s="6">
        <v>20</v>
      </c>
      <c r="G2421" s="6">
        <v>20</v>
      </c>
      <c r="H2421" s="6">
        <v>2.5</v>
      </c>
      <c r="I2421" s="7" t="s">
        <v>4766</v>
      </c>
      <c r="J2421" s="3" t="s">
        <v>14</v>
      </c>
      <c r="K2421" s="8" t="s">
        <v>4441</v>
      </c>
      <c r="L2421" s="9" t="s">
        <v>3800</v>
      </c>
      <c r="M2421" s="1" t="s">
        <v>3801</v>
      </c>
    </row>
    <row r="2422" spans="1:14" x14ac:dyDescent="0.3">
      <c r="A2422" s="3">
        <v>10419009</v>
      </c>
      <c r="B2422" s="4" t="s">
        <v>3772</v>
      </c>
      <c r="C2422" s="5" t="s">
        <v>3802</v>
      </c>
      <c r="D2422" s="5" t="s">
        <v>74</v>
      </c>
      <c r="E2422" s="3" t="s">
        <v>3802</v>
      </c>
      <c r="F2422" s="6">
        <v>54</v>
      </c>
      <c r="G2422" s="6">
        <v>23</v>
      </c>
      <c r="H2422" s="6">
        <v>2</v>
      </c>
      <c r="I2422" s="7" t="s">
        <v>4766</v>
      </c>
      <c r="J2422" s="3" t="s">
        <v>14</v>
      </c>
      <c r="K2422" s="8">
        <v>0.09</v>
      </c>
      <c r="L2422" s="9" t="s">
        <v>3803</v>
      </c>
      <c r="M2422" s="1" t="s">
        <v>3804</v>
      </c>
    </row>
    <row r="2423" spans="1:14" x14ac:dyDescent="0.3">
      <c r="A2423" s="3">
        <v>10419010</v>
      </c>
      <c r="B2423" s="4" t="s">
        <v>3772</v>
      </c>
      <c r="C2423" s="5" t="s">
        <v>3805</v>
      </c>
      <c r="D2423" s="5" t="s">
        <v>74</v>
      </c>
      <c r="E2423" s="3" t="s">
        <v>3805</v>
      </c>
      <c r="F2423" s="6">
        <v>109</v>
      </c>
      <c r="G2423" s="6">
        <v>57</v>
      </c>
      <c r="H2423" s="6">
        <v>5.0999999999999996</v>
      </c>
      <c r="I2423" s="7" t="s">
        <v>4766</v>
      </c>
      <c r="J2423" s="3" t="s">
        <v>14</v>
      </c>
      <c r="K2423" s="8" t="s">
        <v>4364</v>
      </c>
      <c r="L2423" s="9" t="s">
        <v>3806</v>
      </c>
      <c r="M2423" s="1" t="s">
        <v>3807</v>
      </c>
    </row>
    <row r="2424" spans="1:14" x14ac:dyDescent="0.3">
      <c r="A2424" s="3">
        <v>10419011</v>
      </c>
      <c r="B2424" s="4" t="s">
        <v>3772</v>
      </c>
      <c r="C2424" s="5" t="s">
        <v>3786</v>
      </c>
      <c r="D2424" s="5" t="s">
        <v>74</v>
      </c>
      <c r="E2424" s="3" t="s">
        <v>3786</v>
      </c>
      <c r="F2424" s="6">
        <v>74.5</v>
      </c>
      <c r="G2424" s="6">
        <v>10</v>
      </c>
      <c r="H2424" s="6">
        <v>1.1000000000000001</v>
      </c>
      <c r="I2424" s="7" t="s">
        <v>4766</v>
      </c>
      <c r="J2424" s="3" t="s">
        <v>14</v>
      </c>
      <c r="K2424" s="8">
        <v>0.15</v>
      </c>
      <c r="L2424" s="9" t="s">
        <v>3808</v>
      </c>
      <c r="M2424" s="1" t="s">
        <v>3809</v>
      </c>
    </row>
    <row r="2425" spans="1:14" x14ac:dyDescent="0.3">
      <c r="A2425" s="3">
        <v>10419012</v>
      </c>
      <c r="B2425" s="4" t="s">
        <v>3772</v>
      </c>
      <c r="C2425" s="5" t="s">
        <v>3810</v>
      </c>
      <c r="D2425" s="5" t="s">
        <v>74</v>
      </c>
      <c r="E2425" s="3" t="s">
        <v>3810</v>
      </c>
      <c r="F2425" s="6">
        <v>90.5</v>
      </c>
      <c r="G2425" s="6">
        <v>10</v>
      </c>
      <c r="H2425" s="6">
        <v>1.1000000000000001</v>
      </c>
      <c r="I2425" s="7" t="s">
        <v>4766</v>
      </c>
      <c r="J2425" s="3" t="s">
        <v>14</v>
      </c>
      <c r="K2425" s="8">
        <v>0.18</v>
      </c>
      <c r="L2425" s="9" t="s">
        <v>3811</v>
      </c>
      <c r="M2425" s="1" t="s">
        <v>3812</v>
      </c>
    </row>
    <row r="2426" spans="1:14" x14ac:dyDescent="0.3">
      <c r="A2426" s="3">
        <v>10419013</v>
      </c>
      <c r="B2426" s="4" t="s">
        <v>3772</v>
      </c>
      <c r="C2426" s="5" t="s">
        <v>3813</v>
      </c>
      <c r="D2426" s="5" t="s">
        <v>74</v>
      </c>
      <c r="E2426" s="3" t="s">
        <v>3798</v>
      </c>
      <c r="F2426" s="6">
        <v>100</v>
      </c>
      <c r="G2426" s="6">
        <v>10</v>
      </c>
      <c r="H2426" s="6">
        <v>1.5</v>
      </c>
      <c r="I2426" s="7" t="s">
        <v>4766</v>
      </c>
      <c r="J2426" s="3" t="s">
        <v>14</v>
      </c>
      <c r="K2426" s="8">
        <v>0.4</v>
      </c>
      <c r="L2426" s="9" t="s">
        <v>3814</v>
      </c>
      <c r="M2426" s="1" t="s">
        <v>3815</v>
      </c>
    </row>
    <row r="2427" spans="1:14" x14ac:dyDescent="0.3">
      <c r="A2427" s="3">
        <v>10419014</v>
      </c>
      <c r="B2427" s="4" t="s">
        <v>3772</v>
      </c>
      <c r="C2427" s="5" t="s">
        <v>3816</v>
      </c>
      <c r="D2427" s="5" t="s">
        <v>74</v>
      </c>
      <c r="E2427" s="3" t="s">
        <v>3816</v>
      </c>
      <c r="F2427" s="6">
        <v>48</v>
      </c>
      <c r="G2427" s="6">
        <v>10</v>
      </c>
      <c r="H2427" s="6">
        <v>3.3</v>
      </c>
      <c r="I2427" s="7" t="s">
        <v>4766</v>
      </c>
      <c r="J2427" s="3" t="s">
        <v>14</v>
      </c>
      <c r="K2427" s="8">
        <v>0.28999999999999998</v>
      </c>
      <c r="L2427" s="9" t="s">
        <v>3817</v>
      </c>
      <c r="M2427" s="1" t="s">
        <v>3818</v>
      </c>
    </row>
    <row r="2428" spans="1:14" x14ac:dyDescent="0.3">
      <c r="A2428" s="3">
        <v>10419015</v>
      </c>
      <c r="B2428" s="4" t="s">
        <v>3772</v>
      </c>
      <c r="C2428" s="5" t="s">
        <v>3819</v>
      </c>
      <c r="D2428" s="5" t="s">
        <v>74</v>
      </c>
      <c r="E2428" s="3" t="s">
        <v>14</v>
      </c>
      <c r="F2428" s="6">
        <v>80</v>
      </c>
      <c r="G2428" s="6">
        <v>30</v>
      </c>
      <c r="H2428" s="6">
        <v>2.5</v>
      </c>
      <c r="I2428" s="7" t="s">
        <v>4766</v>
      </c>
      <c r="J2428" s="3" t="s">
        <v>14</v>
      </c>
      <c r="K2428" s="8" t="s">
        <v>4602</v>
      </c>
      <c r="L2428" s="9" t="s">
        <v>3820</v>
      </c>
      <c r="M2428" s="1" t="s">
        <v>3821</v>
      </c>
    </row>
    <row r="2429" spans="1:14" x14ac:dyDescent="0.3">
      <c r="A2429" s="3">
        <v>10419016</v>
      </c>
      <c r="B2429" s="4" t="s">
        <v>3772</v>
      </c>
      <c r="C2429" s="5" t="s">
        <v>7877</v>
      </c>
      <c r="D2429" s="5" t="s">
        <v>4792</v>
      </c>
      <c r="E2429" s="3" t="s">
        <v>7002</v>
      </c>
      <c r="F2429" s="6">
        <v>52.1</v>
      </c>
      <c r="G2429" s="6" t="s">
        <v>7003</v>
      </c>
      <c r="H2429" s="6">
        <v>20.6</v>
      </c>
      <c r="I2429" s="7">
        <v>32</v>
      </c>
      <c r="J2429" s="3" t="s">
        <v>4317</v>
      </c>
      <c r="K2429" s="8">
        <f>0.11+0.11+0.04</f>
        <v>0.26</v>
      </c>
      <c r="L2429" s="9" t="s">
        <v>7043</v>
      </c>
      <c r="M2429" s="1" t="s">
        <v>7061</v>
      </c>
      <c r="N2429" s="1" t="s">
        <v>7061</v>
      </c>
    </row>
    <row r="2430" spans="1:14" x14ac:dyDescent="0.3">
      <c r="A2430" s="3">
        <v>10419017</v>
      </c>
      <c r="B2430" s="4" t="s">
        <v>3772</v>
      </c>
      <c r="C2430" s="5" t="s">
        <v>7878</v>
      </c>
      <c r="D2430" s="5" t="s">
        <v>4792</v>
      </c>
      <c r="E2430" s="3" t="s">
        <v>7006</v>
      </c>
      <c r="F2430" s="6" t="s">
        <v>7007</v>
      </c>
      <c r="G2430" s="6" t="s">
        <v>7053</v>
      </c>
      <c r="H2430" s="6" t="s">
        <v>7054</v>
      </c>
      <c r="I2430" s="7">
        <v>32</v>
      </c>
      <c r="J2430" s="3" t="s">
        <v>4317</v>
      </c>
      <c r="K2430" s="8">
        <f>0.08+0.12+0.12+0.02</f>
        <v>0.34</v>
      </c>
      <c r="L2430" s="9" t="s">
        <v>7044</v>
      </c>
      <c r="M2430" s="1" t="s">
        <v>7062</v>
      </c>
    </row>
    <row r="2431" spans="1:14" x14ac:dyDescent="0.3">
      <c r="A2431" s="3">
        <v>10419018</v>
      </c>
      <c r="B2431" s="4" t="s">
        <v>3772</v>
      </c>
      <c r="C2431" s="5" t="s">
        <v>7889</v>
      </c>
      <c r="D2431" s="5" t="s">
        <v>7018</v>
      </c>
      <c r="E2431" s="3" t="s">
        <v>7019</v>
      </c>
      <c r="F2431" s="6">
        <v>138</v>
      </c>
      <c r="G2431" s="6">
        <v>62.6</v>
      </c>
      <c r="H2431" s="6">
        <v>29</v>
      </c>
      <c r="I2431" s="7">
        <v>48</v>
      </c>
      <c r="J2431" s="3" t="s">
        <v>4318</v>
      </c>
      <c r="K2431" s="8">
        <v>2.36</v>
      </c>
      <c r="L2431" s="9" t="s">
        <v>7045</v>
      </c>
      <c r="M2431" s="1" t="s">
        <v>7063</v>
      </c>
    </row>
    <row r="2432" spans="1:14" x14ac:dyDescent="0.3">
      <c r="A2432" s="3">
        <v>10419019</v>
      </c>
      <c r="B2432" s="4" t="s">
        <v>3772</v>
      </c>
      <c r="C2432" s="5" t="s">
        <v>7879</v>
      </c>
      <c r="D2432" s="5" t="s">
        <v>4792</v>
      </c>
      <c r="E2432" s="3" t="s">
        <v>7017</v>
      </c>
      <c r="F2432" s="6">
        <v>37</v>
      </c>
      <c r="G2432" s="6">
        <v>29.3</v>
      </c>
      <c r="H2432" s="6">
        <v>14</v>
      </c>
      <c r="I2432" s="7">
        <v>32</v>
      </c>
      <c r="J2432" s="3" t="s">
        <v>4317</v>
      </c>
      <c r="K2432" s="8">
        <f>0.05+0.04</f>
        <v>0.09</v>
      </c>
      <c r="L2432" s="9" t="s">
        <v>7046</v>
      </c>
      <c r="M2432" s="1" t="s">
        <v>7064</v>
      </c>
    </row>
    <row r="2433" spans="1:13" x14ac:dyDescent="0.3">
      <c r="A2433" s="3">
        <v>10419020</v>
      </c>
      <c r="B2433" s="4" t="s">
        <v>3772</v>
      </c>
      <c r="C2433" s="5" t="s">
        <v>7880</v>
      </c>
      <c r="D2433" s="5" t="s">
        <v>4792</v>
      </c>
      <c r="E2433" s="3" t="s">
        <v>7016</v>
      </c>
      <c r="F2433" s="6">
        <v>36.799999999999997</v>
      </c>
      <c r="G2433" s="6">
        <v>30</v>
      </c>
      <c r="H2433" s="6">
        <v>9</v>
      </c>
      <c r="I2433" s="7">
        <v>32</v>
      </c>
      <c r="J2433" s="3" t="s">
        <v>4317</v>
      </c>
      <c r="K2433" s="8">
        <f>0.03+0.03</f>
        <v>0.06</v>
      </c>
      <c r="L2433" s="9" t="s">
        <v>7047</v>
      </c>
      <c r="M2433" s="1" t="s">
        <v>7065</v>
      </c>
    </row>
    <row r="2434" spans="1:13" x14ac:dyDescent="0.3">
      <c r="A2434" s="3">
        <v>10419021</v>
      </c>
      <c r="B2434" s="4" t="s">
        <v>3772</v>
      </c>
      <c r="C2434" s="5" t="s">
        <v>7881</v>
      </c>
      <c r="D2434" s="5" t="s">
        <v>4792</v>
      </c>
      <c r="E2434" s="3" t="s">
        <v>7055</v>
      </c>
      <c r="F2434" s="6">
        <v>36.9</v>
      </c>
      <c r="G2434" s="6">
        <v>59.8</v>
      </c>
      <c r="H2434" s="6" t="s">
        <v>7056</v>
      </c>
      <c r="I2434" s="7">
        <v>44</v>
      </c>
      <c r="J2434" s="3" t="s">
        <v>4317</v>
      </c>
      <c r="K2434" s="8">
        <f>0.05+0.08+0.04</f>
        <v>0.17</v>
      </c>
      <c r="L2434" s="9" t="s">
        <v>7048</v>
      </c>
      <c r="M2434" s="1" t="s">
        <v>7066</v>
      </c>
    </row>
    <row r="2435" spans="1:13" x14ac:dyDescent="0.3">
      <c r="A2435" s="3">
        <v>10419022</v>
      </c>
      <c r="B2435" s="4" t="s">
        <v>3772</v>
      </c>
      <c r="C2435" s="5" t="s">
        <v>7882</v>
      </c>
      <c r="D2435" s="5" t="s">
        <v>4792</v>
      </c>
      <c r="E2435" s="3" t="s">
        <v>7005</v>
      </c>
      <c r="F2435" s="6">
        <v>105</v>
      </c>
      <c r="G2435" s="6">
        <v>112.5</v>
      </c>
      <c r="H2435" s="6">
        <v>22.5</v>
      </c>
      <c r="I2435" s="7">
        <v>48</v>
      </c>
      <c r="J2435" s="3" t="s">
        <v>4318</v>
      </c>
      <c r="K2435" s="8">
        <f>0.24+0.25</f>
        <v>0.49</v>
      </c>
      <c r="L2435" s="9" t="s">
        <v>7049</v>
      </c>
      <c r="M2435" s="1" t="s">
        <v>7067</v>
      </c>
    </row>
    <row r="2436" spans="1:13" x14ac:dyDescent="0.3">
      <c r="A2436" s="3">
        <v>10419023</v>
      </c>
      <c r="B2436" s="4" t="s">
        <v>3772</v>
      </c>
      <c r="C2436" s="5" t="s">
        <v>7883</v>
      </c>
      <c r="D2436" s="5" t="s">
        <v>96</v>
      </c>
      <c r="E2436" s="3" t="s">
        <v>7055</v>
      </c>
      <c r="F2436" s="6">
        <v>60.3</v>
      </c>
      <c r="G2436" s="6">
        <v>37.6</v>
      </c>
      <c r="H2436" s="6">
        <v>14.5</v>
      </c>
      <c r="I2436" s="7">
        <v>44</v>
      </c>
      <c r="J2436" s="3" t="s">
        <v>4317</v>
      </c>
      <c r="K2436" s="8">
        <v>1.06</v>
      </c>
      <c r="L2436" s="9" t="s">
        <v>7050</v>
      </c>
      <c r="M2436" s="1" t="s">
        <v>7068</v>
      </c>
    </row>
    <row r="2437" spans="1:13" x14ac:dyDescent="0.3">
      <c r="A2437" s="3">
        <v>10419024</v>
      </c>
      <c r="B2437" s="4" t="s">
        <v>3772</v>
      </c>
      <c r="C2437" s="5" t="s">
        <v>7884</v>
      </c>
      <c r="D2437" s="5" t="s">
        <v>96</v>
      </c>
      <c r="E2437" s="3" t="s">
        <v>7017</v>
      </c>
      <c r="F2437" s="6">
        <v>38</v>
      </c>
      <c r="G2437" s="6">
        <v>30.5</v>
      </c>
      <c r="H2437" s="6">
        <v>15.4</v>
      </c>
      <c r="I2437" s="7">
        <v>32</v>
      </c>
      <c r="J2437" s="3" t="s">
        <v>4317</v>
      </c>
      <c r="K2437" s="8">
        <v>0.66</v>
      </c>
      <c r="L2437" s="9" t="s">
        <v>7051</v>
      </c>
      <c r="M2437" s="1" t="s">
        <v>7069</v>
      </c>
    </row>
    <row r="2438" spans="1:13" x14ac:dyDescent="0.3">
      <c r="A2438" s="3">
        <v>10419025</v>
      </c>
      <c r="B2438" s="4" t="s">
        <v>3772</v>
      </c>
      <c r="C2438" s="5" t="s">
        <v>7885</v>
      </c>
      <c r="D2438" s="5" t="s">
        <v>96</v>
      </c>
      <c r="E2438" s="3" t="s">
        <v>7016</v>
      </c>
      <c r="F2438" s="6">
        <v>37.5</v>
      </c>
      <c r="G2438" s="6">
        <v>31</v>
      </c>
      <c r="H2438" s="6">
        <v>18.5</v>
      </c>
      <c r="I2438" s="7">
        <v>48</v>
      </c>
      <c r="J2438" s="3" t="s">
        <v>4318</v>
      </c>
      <c r="K2438" s="8">
        <v>0.49</v>
      </c>
      <c r="L2438" s="9" t="s">
        <v>7052</v>
      </c>
      <c r="M2438" s="1" t="s">
        <v>7070</v>
      </c>
    </row>
    <row r="2439" spans="1:13" x14ac:dyDescent="0.3">
      <c r="A2439" s="3">
        <v>10419026</v>
      </c>
      <c r="B2439" s="4" t="s">
        <v>3772</v>
      </c>
      <c r="C2439" s="5" t="s">
        <v>7886</v>
      </c>
      <c r="D2439" s="5" t="s">
        <v>13</v>
      </c>
      <c r="E2439" s="3" t="s">
        <v>7016</v>
      </c>
      <c r="F2439" s="6">
        <v>39.4</v>
      </c>
      <c r="G2439" s="6">
        <v>32.6</v>
      </c>
      <c r="H2439" s="6">
        <v>5.4</v>
      </c>
      <c r="I2439" s="7">
        <v>48</v>
      </c>
      <c r="J2439" s="3" t="s">
        <v>4318</v>
      </c>
      <c r="K2439" s="8">
        <v>0.22</v>
      </c>
      <c r="L2439" s="9" t="s">
        <v>7057</v>
      </c>
      <c r="M2439" s="1" t="s">
        <v>7071</v>
      </c>
    </row>
    <row r="2440" spans="1:13" x14ac:dyDescent="0.3">
      <c r="A2440" s="3">
        <v>10419027</v>
      </c>
      <c r="B2440" s="4" t="s">
        <v>3772</v>
      </c>
      <c r="C2440" s="5" t="s">
        <v>7887</v>
      </c>
      <c r="D2440" s="5" t="s">
        <v>682</v>
      </c>
      <c r="E2440" s="3" t="s">
        <v>7019</v>
      </c>
      <c r="F2440" s="6">
        <v>68.5</v>
      </c>
      <c r="G2440" s="6">
        <v>145.5</v>
      </c>
      <c r="H2440" s="6">
        <v>67.5</v>
      </c>
      <c r="I2440" s="7">
        <v>80</v>
      </c>
      <c r="J2440" s="3" t="s">
        <v>4347</v>
      </c>
      <c r="K2440" s="8">
        <v>2.92</v>
      </c>
      <c r="L2440" s="9" t="s">
        <v>7058</v>
      </c>
      <c r="M2440" s="1" t="s">
        <v>7072</v>
      </c>
    </row>
    <row r="2441" spans="1:13" x14ac:dyDescent="0.3">
      <c r="A2441" s="3">
        <v>10419028</v>
      </c>
      <c r="B2441" s="4" t="s">
        <v>3772</v>
      </c>
      <c r="C2441" s="5" t="s">
        <v>7888</v>
      </c>
      <c r="D2441" s="5" t="s">
        <v>13</v>
      </c>
      <c r="E2441" s="3" t="s">
        <v>7019</v>
      </c>
      <c r="F2441" s="6">
        <v>148</v>
      </c>
      <c r="G2441" s="6">
        <v>71.099999999999994</v>
      </c>
      <c r="H2441" s="6">
        <v>10</v>
      </c>
      <c r="I2441" s="7">
        <v>48</v>
      </c>
      <c r="J2441" s="3" t="s">
        <v>4318</v>
      </c>
      <c r="K2441" s="8">
        <v>1.53</v>
      </c>
      <c r="L2441" s="9" t="s">
        <v>7059</v>
      </c>
      <c r="M2441" s="1" t="s">
        <v>7073</v>
      </c>
    </row>
    <row r="2442" spans="1:13" x14ac:dyDescent="0.3">
      <c r="A2442" s="3">
        <v>10419029</v>
      </c>
      <c r="B2442" s="4" t="s">
        <v>3772</v>
      </c>
      <c r="C2442" s="5" t="s">
        <v>7890</v>
      </c>
      <c r="D2442" s="5" t="s">
        <v>74</v>
      </c>
      <c r="E2442" s="3" t="s">
        <v>7005</v>
      </c>
      <c r="F2442" s="6">
        <v>112.6</v>
      </c>
      <c r="G2442" s="6">
        <v>105</v>
      </c>
      <c r="H2442" s="6" t="s">
        <v>14</v>
      </c>
      <c r="I2442" s="7">
        <v>48</v>
      </c>
      <c r="J2442" s="3" t="s">
        <v>4318</v>
      </c>
      <c r="K2442" s="8">
        <v>1.18</v>
      </c>
      <c r="L2442" s="9" t="s">
        <v>7074</v>
      </c>
      <c r="M2442" s="1" t="s">
        <v>7075</v>
      </c>
    </row>
    <row r="2443" spans="1:13" x14ac:dyDescent="0.3">
      <c r="A2443" s="3">
        <v>10419030</v>
      </c>
      <c r="B2443" s="4" t="s">
        <v>3772</v>
      </c>
      <c r="C2443" s="5" t="s">
        <v>7090</v>
      </c>
      <c r="D2443" s="5" t="s">
        <v>96</v>
      </c>
      <c r="E2443" s="4" t="s">
        <v>7089</v>
      </c>
      <c r="F2443" s="6">
        <v>60.1</v>
      </c>
      <c r="G2443" s="6">
        <v>37.4</v>
      </c>
      <c r="H2443" s="6">
        <v>50.4</v>
      </c>
      <c r="I2443" s="7">
        <v>48</v>
      </c>
      <c r="J2443" s="3" t="s">
        <v>4318</v>
      </c>
      <c r="K2443" s="8">
        <v>1.77</v>
      </c>
      <c r="L2443" s="9" t="s">
        <v>7093</v>
      </c>
      <c r="M2443" s="1"/>
    </row>
    <row r="2444" spans="1:13" x14ac:dyDescent="0.3">
      <c r="A2444" s="3">
        <v>10419031</v>
      </c>
      <c r="B2444" s="4" t="s">
        <v>3772</v>
      </c>
      <c r="C2444" s="5" t="s">
        <v>7091</v>
      </c>
      <c r="D2444" s="5" t="s">
        <v>7092</v>
      </c>
      <c r="E2444" s="4" t="s">
        <v>7089</v>
      </c>
      <c r="F2444" s="6" t="s">
        <v>14</v>
      </c>
      <c r="G2444" s="6" t="s">
        <v>14</v>
      </c>
      <c r="H2444" s="6" t="s">
        <v>14</v>
      </c>
      <c r="I2444" s="7">
        <v>48</v>
      </c>
      <c r="J2444" s="3" t="s">
        <v>4318</v>
      </c>
      <c r="K2444" s="8" t="s">
        <v>14</v>
      </c>
      <c r="L2444" s="9" t="s">
        <v>7094</v>
      </c>
      <c r="M2444" s="1"/>
    </row>
    <row r="2445" spans="1:13" x14ac:dyDescent="0.3">
      <c r="A2445" s="3">
        <v>10419032</v>
      </c>
      <c r="B2445" s="4" t="s">
        <v>3772</v>
      </c>
      <c r="C2445" s="5" t="s">
        <v>7891</v>
      </c>
      <c r="D2445" s="5" t="s">
        <v>23</v>
      </c>
      <c r="E2445" s="3" t="s">
        <v>7099</v>
      </c>
      <c r="F2445" s="6">
        <v>58.5</v>
      </c>
      <c r="G2445" s="6">
        <v>35.799999999999997</v>
      </c>
      <c r="H2445" s="6">
        <v>23.9</v>
      </c>
      <c r="I2445" s="7">
        <v>48</v>
      </c>
      <c r="J2445" s="3" t="s">
        <v>4318</v>
      </c>
      <c r="K2445" s="8">
        <v>0.82</v>
      </c>
      <c r="L2445" s="9" t="s">
        <v>7095</v>
      </c>
      <c r="M2445" s="1"/>
    </row>
    <row r="2446" spans="1:13" x14ac:dyDescent="0.3">
      <c r="A2446" s="3">
        <v>10419033</v>
      </c>
      <c r="B2446" s="4" t="s">
        <v>3772</v>
      </c>
      <c r="C2446" s="5" t="s">
        <v>7892</v>
      </c>
      <c r="D2446" s="5" t="s">
        <v>4792</v>
      </c>
      <c r="E2446" s="3" t="s">
        <v>7099</v>
      </c>
      <c r="F2446" s="6">
        <v>57.8</v>
      </c>
      <c r="G2446" s="6">
        <v>34.799999999999997</v>
      </c>
      <c r="H2446" s="6">
        <v>22.7</v>
      </c>
      <c r="I2446" s="7">
        <v>32</v>
      </c>
      <c r="J2446" s="3" t="s">
        <v>4318</v>
      </c>
      <c r="K2446" s="8">
        <v>0.93</v>
      </c>
      <c r="L2446" s="9" t="s">
        <v>7096</v>
      </c>
      <c r="M2446" s="1"/>
    </row>
    <row r="2447" spans="1:13" x14ac:dyDescent="0.3">
      <c r="A2447" s="3">
        <v>10419034</v>
      </c>
      <c r="B2447" s="4" t="s">
        <v>3772</v>
      </c>
      <c r="C2447" s="5" t="s">
        <v>7893</v>
      </c>
      <c r="D2447" s="5" t="s">
        <v>13</v>
      </c>
      <c r="E2447" s="3" t="s">
        <v>7099</v>
      </c>
      <c r="F2447" s="6">
        <v>61</v>
      </c>
      <c r="G2447" s="6">
        <v>37</v>
      </c>
      <c r="H2447" s="6">
        <v>5.2</v>
      </c>
      <c r="I2447" s="7">
        <v>48</v>
      </c>
      <c r="J2447" s="3" t="s">
        <v>4318</v>
      </c>
      <c r="K2447" s="8">
        <v>0.34</v>
      </c>
      <c r="L2447" s="9" t="s">
        <v>7097</v>
      </c>
      <c r="M2447" s="1"/>
    </row>
    <row r="2448" spans="1:13" x14ac:dyDescent="0.3">
      <c r="A2448" s="3">
        <v>10419035</v>
      </c>
      <c r="B2448" s="4" t="s">
        <v>3772</v>
      </c>
      <c r="C2448" s="5" t="s">
        <v>7894</v>
      </c>
      <c r="D2448" s="5" t="s">
        <v>23</v>
      </c>
      <c r="E2448" s="3" t="s">
        <v>7852</v>
      </c>
      <c r="F2448" s="6">
        <v>58.5</v>
      </c>
      <c r="G2448" s="6">
        <v>34.700000000000003</v>
      </c>
      <c r="H2448" s="6">
        <v>17.8</v>
      </c>
      <c r="I2448" s="7">
        <v>48</v>
      </c>
      <c r="J2448" s="3" t="s">
        <v>4318</v>
      </c>
      <c r="K2448" s="8">
        <v>0.7</v>
      </c>
      <c r="L2448" s="9" t="s">
        <v>7853</v>
      </c>
      <c r="M2448" s="1" t="s">
        <v>7854</v>
      </c>
    </row>
    <row r="2449" spans="1:13" x14ac:dyDescent="0.3">
      <c r="A2449" s="3">
        <v>10419036</v>
      </c>
      <c r="B2449" s="4" t="s">
        <v>3772</v>
      </c>
      <c r="C2449" s="5" t="s">
        <v>7895</v>
      </c>
      <c r="D2449" s="5" t="s">
        <v>13</v>
      </c>
      <c r="E2449" s="3" t="s">
        <v>7852</v>
      </c>
      <c r="F2449" s="6">
        <v>60.4</v>
      </c>
      <c r="G2449" s="6">
        <v>36.200000000000003</v>
      </c>
      <c r="H2449" s="6">
        <v>5.4</v>
      </c>
      <c r="I2449" s="7">
        <v>48</v>
      </c>
      <c r="J2449" s="3" t="s">
        <v>4318</v>
      </c>
      <c r="K2449" s="8">
        <v>0.33</v>
      </c>
      <c r="L2449" s="9" t="s">
        <v>7856</v>
      </c>
      <c r="M2449" s="1" t="s">
        <v>7857</v>
      </c>
    </row>
    <row r="2450" spans="1:13" x14ac:dyDescent="0.3">
      <c r="A2450" s="3">
        <v>104190377</v>
      </c>
      <c r="B2450" s="4" t="s">
        <v>3772</v>
      </c>
      <c r="C2450" s="5" t="s">
        <v>7896</v>
      </c>
      <c r="D2450" s="5" t="s">
        <v>4792</v>
      </c>
      <c r="E2450" s="3" t="s">
        <v>7852</v>
      </c>
      <c r="F2450" s="6">
        <v>57.8</v>
      </c>
      <c r="G2450" s="6">
        <v>33.6</v>
      </c>
      <c r="H2450" s="6">
        <v>16.8</v>
      </c>
      <c r="I2450" s="7">
        <v>48</v>
      </c>
      <c r="J2450" s="3" t="s">
        <v>4318</v>
      </c>
      <c r="K2450" s="8">
        <f>0.1+0.06</f>
        <v>0.16</v>
      </c>
      <c r="L2450" s="9" t="s">
        <v>7098</v>
      </c>
      <c r="M2450" s="1" t="s">
        <v>7855</v>
      </c>
    </row>
    <row r="2451" spans="1:13" x14ac:dyDescent="0.3">
      <c r="A2451" s="3">
        <v>10419037</v>
      </c>
      <c r="B2451" s="4" t="s">
        <v>3772</v>
      </c>
      <c r="C2451" s="5" t="s">
        <v>7473</v>
      </c>
      <c r="D2451" s="5" t="s">
        <v>4792</v>
      </c>
      <c r="E2451" s="3" t="s">
        <v>7897</v>
      </c>
      <c r="F2451" s="6">
        <v>33.200000000000003</v>
      </c>
      <c r="G2451" s="6">
        <v>58.7</v>
      </c>
      <c r="H2451" s="6">
        <v>17</v>
      </c>
      <c r="I2451" s="7">
        <v>32</v>
      </c>
      <c r="J2451" s="3" t="s">
        <v>4318</v>
      </c>
      <c r="K2451" s="8">
        <f>0.1+0.06</f>
        <v>0.16</v>
      </c>
      <c r="L2451" s="9" t="s">
        <v>7098</v>
      </c>
      <c r="M2451" s="1" t="s">
        <v>7474</v>
      </c>
    </row>
    <row r="2452" spans="1:13" x14ac:dyDescent="0.3">
      <c r="A2452" s="3">
        <v>10419038</v>
      </c>
      <c r="B2452" s="4" t="s">
        <v>3772</v>
      </c>
      <c r="C2452" s="5" t="s">
        <v>7300</v>
      </c>
      <c r="D2452" s="5" t="s">
        <v>74</v>
      </c>
      <c r="E2452" s="3" t="s">
        <v>7100</v>
      </c>
      <c r="F2452" s="6">
        <v>121</v>
      </c>
      <c r="G2452" s="6">
        <v>113</v>
      </c>
      <c r="H2452" s="6" t="s">
        <v>14</v>
      </c>
      <c r="I2452" s="7">
        <v>32</v>
      </c>
      <c r="J2452" s="3" t="s">
        <v>4318</v>
      </c>
      <c r="K2452" s="8">
        <v>0.16</v>
      </c>
      <c r="L2452" s="9" t="s">
        <v>7101</v>
      </c>
      <c r="M2452" s="1" t="s">
        <v>7475</v>
      </c>
    </row>
    <row r="2453" spans="1:13" x14ac:dyDescent="0.3">
      <c r="A2453" s="3">
        <v>10419039</v>
      </c>
      <c r="B2453" s="4" t="s">
        <v>3772</v>
      </c>
      <c r="C2453" s="5" t="s">
        <v>7113</v>
      </c>
      <c r="D2453" s="5" t="s">
        <v>682</v>
      </c>
      <c r="E2453" s="3" t="s">
        <v>7119</v>
      </c>
      <c r="F2453" s="6">
        <v>117.8</v>
      </c>
      <c r="G2453" s="6">
        <v>109.8</v>
      </c>
      <c r="H2453" s="6">
        <v>37</v>
      </c>
      <c r="I2453" s="7">
        <v>80</v>
      </c>
      <c r="J2453" s="3" t="s">
        <v>4347</v>
      </c>
      <c r="K2453" s="8">
        <v>1.7</v>
      </c>
      <c r="L2453" s="9" t="s">
        <v>7120</v>
      </c>
      <c r="M2453" s="1"/>
    </row>
    <row r="2454" spans="1:13" x14ac:dyDescent="0.3">
      <c r="A2454" s="3">
        <v>10419040</v>
      </c>
      <c r="B2454" s="4" t="s">
        <v>3772</v>
      </c>
      <c r="C2454" s="5" t="s">
        <v>7114</v>
      </c>
      <c r="D2454" s="5" t="s">
        <v>4792</v>
      </c>
      <c r="E2454" s="3" t="s">
        <v>7119</v>
      </c>
      <c r="F2454" s="6">
        <v>114</v>
      </c>
      <c r="G2454" s="6">
        <v>106.5</v>
      </c>
      <c r="H2454" s="6">
        <v>36.5</v>
      </c>
      <c r="I2454" s="7" t="s">
        <v>7126</v>
      </c>
      <c r="J2454" s="3" t="s">
        <v>4318</v>
      </c>
      <c r="K2454" s="8">
        <f>0.42+0.39+0.43</f>
        <v>1.24</v>
      </c>
      <c r="L2454" s="9" t="s">
        <v>7121</v>
      </c>
      <c r="M2454" s="1"/>
    </row>
    <row r="2455" spans="1:13" x14ac:dyDescent="0.3">
      <c r="A2455" s="3">
        <v>10419041</v>
      </c>
      <c r="B2455" s="4" t="s">
        <v>3772</v>
      </c>
      <c r="C2455" s="5" t="s">
        <v>7116</v>
      </c>
      <c r="D2455" s="5" t="s">
        <v>74</v>
      </c>
      <c r="E2455" s="3" t="s">
        <v>7119</v>
      </c>
      <c r="F2455" s="6">
        <v>114</v>
      </c>
      <c r="G2455" s="6">
        <v>107</v>
      </c>
      <c r="H2455" s="6" t="s">
        <v>14</v>
      </c>
      <c r="I2455" s="7">
        <v>48</v>
      </c>
      <c r="J2455" s="3" t="s">
        <v>4318</v>
      </c>
      <c r="K2455" s="8">
        <v>1.22</v>
      </c>
      <c r="L2455" s="9" t="s">
        <v>7122</v>
      </c>
      <c r="M2455" s="1"/>
    </row>
    <row r="2456" spans="1:13" x14ac:dyDescent="0.3">
      <c r="A2456" s="3">
        <v>10419042</v>
      </c>
      <c r="B2456" s="4" t="s">
        <v>3772</v>
      </c>
      <c r="C2456" s="5" t="s">
        <v>7117</v>
      </c>
      <c r="D2456" s="5" t="s">
        <v>3013</v>
      </c>
      <c r="E2456" s="3" t="s">
        <v>7119</v>
      </c>
      <c r="F2456" s="6">
        <v>2.5</v>
      </c>
      <c r="G2456" s="6">
        <v>2.5</v>
      </c>
      <c r="H2456" s="6">
        <v>37</v>
      </c>
      <c r="I2456" s="7" t="s">
        <v>4761</v>
      </c>
      <c r="J2456" s="3" t="s">
        <v>14</v>
      </c>
      <c r="K2456" s="8" t="s">
        <v>14</v>
      </c>
      <c r="L2456" s="9" t="s">
        <v>7123</v>
      </c>
      <c r="M2456" s="1"/>
    </row>
    <row r="2457" spans="1:13" x14ac:dyDescent="0.3">
      <c r="A2457" s="3">
        <v>10419043</v>
      </c>
      <c r="B2457" s="4" t="s">
        <v>3772</v>
      </c>
      <c r="C2457" s="5" t="s">
        <v>7118</v>
      </c>
      <c r="D2457" s="5" t="s">
        <v>13</v>
      </c>
      <c r="E2457" s="3" t="s">
        <v>7119</v>
      </c>
      <c r="F2457" s="6">
        <v>120.2</v>
      </c>
      <c r="G2457" s="6">
        <v>114.1</v>
      </c>
      <c r="H2457" s="6">
        <v>10</v>
      </c>
      <c r="I2457" s="7">
        <v>42</v>
      </c>
      <c r="J2457" s="3" t="s">
        <v>4318</v>
      </c>
      <c r="K2457" s="8">
        <v>1.88</v>
      </c>
      <c r="L2457" s="9" t="s">
        <v>7124</v>
      </c>
      <c r="M2457" s="1"/>
    </row>
    <row r="2458" spans="1:13" x14ac:dyDescent="0.3">
      <c r="A2458" s="3">
        <v>10419044</v>
      </c>
      <c r="B2458" s="4" t="s">
        <v>3772</v>
      </c>
      <c r="C2458" s="5" t="s">
        <v>7115</v>
      </c>
      <c r="D2458" s="5" t="s">
        <v>261</v>
      </c>
      <c r="E2458" s="3" t="s">
        <v>7119</v>
      </c>
      <c r="F2458" s="6">
        <v>20</v>
      </c>
      <c r="G2458" s="6">
        <v>67.099999999999994</v>
      </c>
      <c r="H2458" s="6" t="s">
        <v>14</v>
      </c>
      <c r="I2458" s="7">
        <v>48</v>
      </c>
      <c r="J2458" s="3" t="s">
        <v>4318</v>
      </c>
      <c r="K2458" s="8">
        <v>0.13</v>
      </c>
      <c r="L2458" s="9" t="s">
        <v>7125</v>
      </c>
      <c r="M2458" s="1"/>
    </row>
    <row r="2459" spans="1:13" x14ac:dyDescent="0.3">
      <c r="A2459" s="3">
        <v>10419045</v>
      </c>
      <c r="B2459" s="4" t="s">
        <v>3772</v>
      </c>
      <c r="C2459" s="5" t="s">
        <v>7181</v>
      </c>
      <c r="D2459" s="5" t="s">
        <v>96</v>
      </c>
      <c r="E2459" s="3" t="s">
        <v>7182</v>
      </c>
      <c r="F2459" s="6">
        <v>54.1</v>
      </c>
      <c r="G2459" s="6">
        <v>22.4</v>
      </c>
      <c r="H2459" s="6">
        <v>23.1</v>
      </c>
      <c r="I2459" s="7">
        <v>48</v>
      </c>
      <c r="J2459" s="3" t="s">
        <v>4318</v>
      </c>
      <c r="K2459" s="8">
        <v>0.73</v>
      </c>
      <c r="L2459" s="9" t="s">
        <v>7183</v>
      </c>
      <c r="M2459" s="1" t="s">
        <v>7862</v>
      </c>
    </row>
    <row r="2460" spans="1:13" x14ac:dyDescent="0.3">
      <c r="A2460" s="3">
        <v>10419046</v>
      </c>
      <c r="B2460" s="4" t="s">
        <v>3772</v>
      </c>
      <c r="C2460" s="5" t="s">
        <v>7898</v>
      </c>
      <c r="D2460" s="5" t="s">
        <v>74</v>
      </c>
      <c r="E2460" s="3" t="s">
        <v>7182</v>
      </c>
      <c r="F2460" s="6">
        <v>53.4</v>
      </c>
      <c r="G2460" s="6">
        <v>21.4</v>
      </c>
      <c r="H2460" s="6" t="s">
        <v>14</v>
      </c>
      <c r="I2460" s="7">
        <v>32</v>
      </c>
      <c r="J2460" s="3" t="s">
        <v>4317</v>
      </c>
      <c r="K2460" s="8">
        <v>0.11</v>
      </c>
      <c r="L2460" s="9" t="s">
        <v>7184</v>
      </c>
      <c r="M2460" s="1"/>
    </row>
    <row r="2461" spans="1:13" x14ac:dyDescent="0.3">
      <c r="A2461" s="3">
        <v>10419047</v>
      </c>
      <c r="B2461" s="4" t="s">
        <v>3772</v>
      </c>
      <c r="C2461" s="5" t="s">
        <v>7899</v>
      </c>
      <c r="D2461" s="5" t="s">
        <v>74</v>
      </c>
      <c r="E2461" s="3" t="s">
        <v>7016</v>
      </c>
      <c r="F2461" s="6">
        <v>36.799999999999997</v>
      </c>
      <c r="G2461" s="6">
        <v>30</v>
      </c>
      <c r="H2461" s="6" t="s">
        <v>14</v>
      </c>
      <c r="I2461" s="7">
        <v>32</v>
      </c>
      <c r="J2461" s="3" t="s">
        <v>4317</v>
      </c>
      <c r="K2461" s="8">
        <v>0.11</v>
      </c>
      <c r="L2461" s="9" t="s">
        <v>7185</v>
      </c>
      <c r="M2461" s="1" t="s">
        <v>7186</v>
      </c>
    </row>
    <row r="2462" spans="1:13" x14ac:dyDescent="0.3">
      <c r="A2462" s="3">
        <v>12110001</v>
      </c>
      <c r="B2462" s="4" t="s">
        <v>3822</v>
      </c>
      <c r="C2462" s="5">
        <v>29</v>
      </c>
      <c r="D2462" s="5" t="s">
        <v>96</v>
      </c>
      <c r="E2462" s="3">
        <v>29</v>
      </c>
      <c r="F2462" s="6">
        <v>29</v>
      </c>
      <c r="G2462" s="6">
        <v>22</v>
      </c>
      <c r="H2462" s="6">
        <v>16</v>
      </c>
      <c r="I2462" s="7" t="s">
        <v>4316</v>
      </c>
      <c r="J2462" s="3" t="s">
        <v>4318</v>
      </c>
      <c r="K2462" s="8" t="s">
        <v>4617</v>
      </c>
      <c r="L2462" s="9" t="s">
        <v>3823</v>
      </c>
      <c r="M2462" s="24" t="s">
        <v>3824</v>
      </c>
    </row>
    <row r="2463" spans="1:13" x14ac:dyDescent="0.3">
      <c r="A2463" s="3">
        <v>12110002</v>
      </c>
      <c r="B2463" s="4" t="s">
        <v>3822</v>
      </c>
      <c r="C2463" s="5">
        <v>49</v>
      </c>
      <c r="D2463" s="5" t="s">
        <v>96</v>
      </c>
      <c r="E2463" s="3">
        <v>49</v>
      </c>
      <c r="F2463" s="6">
        <v>49.5</v>
      </c>
      <c r="G2463" s="6">
        <v>29.5</v>
      </c>
      <c r="H2463" s="6">
        <v>23</v>
      </c>
      <c r="I2463" s="7" t="s">
        <v>4316</v>
      </c>
      <c r="J2463" s="3" t="s">
        <v>4318</v>
      </c>
      <c r="K2463" s="8" t="s">
        <v>4767</v>
      </c>
      <c r="L2463" s="9" t="s">
        <v>3825</v>
      </c>
      <c r="M2463" s="24" t="s">
        <v>3826</v>
      </c>
    </row>
    <row r="2464" spans="1:13" x14ac:dyDescent="0.3">
      <c r="A2464" s="3">
        <v>12110003</v>
      </c>
      <c r="B2464" s="4" t="s">
        <v>3822</v>
      </c>
      <c r="C2464" s="5">
        <v>87</v>
      </c>
      <c r="D2464" s="5" t="s">
        <v>96</v>
      </c>
      <c r="E2464" s="3">
        <v>87</v>
      </c>
      <c r="F2464" s="6">
        <v>87</v>
      </c>
      <c r="G2464" s="6">
        <v>36</v>
      </c>
      <c r="H2464" s="6">
        <v>18</v>
      </c>
      <c r="I2464" s="7" t="s">
        <v>4316</v>
      </c>
      <c r="J2464" s="3" t="s">
        <v>4318</v>
      </c>
      <c r="K2464" s="8" t="s">
        <v>4690</v>
      </c>
      <c r="L2464" s="9" t="s">
        <v>3827</v>
      </c>
      <c r="M2464" s="24" t="s">
        <v>3828</v>
      </c>
    </row>
    <row r="2465" spans="1:13" x14ac:dyDescent="0.3">
      <c r="A2465" s="3">
        <v>12111004</v>
      </c>
      <c r="B2465" s="4" t="s">
        <v>3822</v>
      </c>
      <c r="C2465" s="5" t="s">
        <v>3829</v>
      </c>
      <c r="D2465" s="5" t="s">
        <v>154</v>
      </c>
      <c r="E2465" s="3" t="s">
        <v>3829</v>
      </c>
      <c r="F2465" s="6">
        <v>130</v>
      </c>
      <c r="G2465" s="6">
        <v>130</v>
      </c>
      <c r="H2465" s="6">
        <v>40</v>
      </c>
      <c r="I2465" s="7" t="s">
        <v>4316</v>
      </c>
      <c r="J2465" s="3" t="s">
        <v>4318</v>
      </c>
      <c r="K2465" s="8" t="s">
        <v>4768</v>
      </c>
      <c r="L2465" s="9" t="s">
        <v>3830</v>
      </c>
      <c r="M2465" s="1" t="s">
        <v>3831</v>
      </c>
    </row>
    <row r="2466" spans="1:13" x14ac:dyDescent="0.3">
      <c r="A2466" s="3">
        <v>12114005</v>
      </c>
      <c r="B2466" s="4" t="s">
        <v>3822</v>
      </c>
      <c r="C2466" s="5" t="s">
        <v>3829</v>
      </c>
      <c r="D2466" s="5" t="s">
        <v>392</v>
      </c>
      <c r="E2466" s="3" t="s">
        <v>3829</v>
      </c>
      <c r="F2466" s="6">
        <v>132</v>
      </c>
      <c r="G2466" s="6">
        <v>132</v>
      </c>
      <c r="H2466" s="6">
        <v>10</v>
      </c>
      <c r="I2466" s="7" t="s">
        <v>4316</v>
      </c>
      <c r="J2466" s="3" t="s">
        <v>4318</v>
      </c>
      <c r="K2466" s="8" t="s">
        <v>4769</v>
      </c>
      <c r="L2466" s="9" t="s">
        <v>3832</v>
      </c>
      <c r="M2466" s="1" t="s">
        <v>3833</v>
      </c>
    </row>
    <row r="2467" spans="1:13" x14ac:dyDescent="0.3">
      <c r="A2467" s="3">
        <v>7410001</v>
      </c>
      <c r="B2467" s="4" t="s">
        <v>3834</v>
      </c>
      <c r="C2467" s="5" t="s">
        <v>2739</v>
      </c>
      <c r="D2467" s="5" t="s">
        <v>96</v>
      </c>
      <c r="E2467" s="3" t="s">
        <v>2608</v>
      </c>
      <c r="F2467" s="6">
        <v>60.3</v>
      </c>
      <c r="G2467" s="6">
        <v>40.299999999999997</v>
      </c>
      <c r="H2467" s="6">
        <v>30.7</v>
      </c>
      <c r="I2467" s="7" t="s">
        <v>4315</v>
      </c>
      <c r="J2467" s="3" t="s">
        <v>4317</v>
      </c>
      <c r="K2467" s="8" t="s">
        <v>4609</v>
      </c>
      <c r="L2467" s="9" t="s">
        <v>3835</v>
      </c>
      <c r="M2467" s="1" t="s">
        <v>3836</v>
      </c>
    </row>
    <row r="2468" spans="1:13" x14ac:dyDescent="0.3">
      <c r="A2468" s="3">
        <v>7410002</v>
      </c>
      <c r="B2468" s="4" t="s">
        <v>3834</v>
      </c>
      <c r="C2468" s="5" t="s">
        <v>2725</v>
      </c>
      <c r="D2468" s="5" t="s">
        <v>96</v>
      </c>
      <c r="E2468" s="3" t="s">
        <v>2725</v>
      </c>
      <c r="F2468" s="6">
        <v>50.3</v>
      </c>
      <c r="G2468" s="6">
        <v>42.3</v>
      </c>
      <c r="H2468" s="6">
        <v>21.2</v>
      </c>
      <c r="I2468" s="7" t="s">
        <v>4315</v>
      </c>
      <c r="J2468" s="3" t="s">
        <v>4317</v>
      </c>
      <c r="K2468" s="8" t="s">
        <v>4491</v>
      </c>
      <c r="L2468" s="9" t="s">
        <v>3837</v>
      </c>
      <c r="M2468" s="1" t="s">
        <v>3838</v>
      </c>
    </row>
    <row r="2469" spans="1:13" x14ac:dyDescent="0.3">
      <c r="A2469" s="3">
        <v>10010001</v>
      </c>
      <c r="B2469" s="4" t="s">
        <v>3839</v>
      </c>
      <c r="C2469" s="5" t="s">
        <v>3840</v>
      </c>
      <c r="D2469" s="5" t="s">
        <v>96</v>
      </c>
      <c r="E2469" s="3" t="s">
        <v>14</v>
      </c>
      <c r="F2469" s="6">
        <v>20.7</v>
      </c>
      <c r="G2469" s="6">
        <v>20.7</v>
      </c>
      <c r="H2469" s="6">
        <v>10.4</v>
      </c>
      <c r="I2469" s="6" t="s">
        <v>4316</v>
      </c>
      <c r="J2469" s="6" t="s">
        <v>4318</v>
      </c>
      <c r="K2469" s="8" t="s">
        <v>4321</v>
      </c>
      <c r="L2469" s="9" t="s">
        <v>3841</v>
      </c>
      <c r="M2469" s="1" t="s">
        <v>3842</v>
      </c>
    </row>
    <row r="2470" spans="1:13" x14ac:dyDescent="0.3">
      <c r="A2470" s="3">
        <v>10010002</v>
      </c>
      <c r="B2470" s="4" t="s">
        <v>3839</v>
      </c>
      <c r="C2470" s="5" t="s">
        <v>3843</v>
      </c>
      <c r="D2470" s="5" t="s">
        <v>96</v>
      </c>
      <c r="E2470" s="3" t="s">
        <v>14</v>
      </c>
      <c r="F2470" s="6">
        <v>24.7</v>
      </c>
      <c r="G2470" s="6">
        <v>18.7</v>
      </c>
      <c r="H2470" s="6">
        <v>9.4</v>
      </c>
      <c r="I2470" s="6" t="s">
        <v>4316</v>
      </c>
      <c r="J2470" s="6" t="s">
        <v>4318</v>
      </c>
      <c r="K2470" s="8" t="s">
        <v>4580</v>
      </c>
      <c r="L2470" s="9" t="s">
        <v>3844</v>
      </c>
      <c r="M2470" s="1" t="s">
        <v>3845</v>
      </c>
    </row>
    <row r="2471" spans="1:13" x14ac:dyDescent="0.3">
      <c r="A2471" s="3">
        <v>10010003</v>
      </c>
      <c r="B2471" s="4" t="s">
        <v>3839</v>
      </c>
      <c r="C2471" s="5" t="s">
        <v>3846</v>
      </c>
      <c r="D2471" s="5" t="s">
        <v>96</v>
      </c>
      <c r="E2471" s="3" t="s">
        <v>14</v>
      </c>
      <c r="F2471" s="6">
        <v>30.7</v>
      </c>
      <c r="G2471" s="6">
        <v>20.7</v>
      </c>
      <c r="H2471" s="6">
        <v>10.4</v>
      </c>
      <c r="I2471" s="6" t="s">
        <v>4316</v>
      </c>
      <c r="J2471" s="6" t="s">
        <v>4318</v>
      </c>
      <c r="K2471" s="8" t="s">
        <v>4360</v>
      </c>
      <c r="L2471" s="9" t="s">
        <v>3847</v>
      </c>
      <c r="M2471" s="1" t="s">
        <v>3848</v>
      </c>
    </row>
    <row r="2472" spans="1:13" x14ac:dyDescent="0.3">
      <c r="A2472" s="3">
        <v>10010004</v>
      </c>
      <c r="B2472" s="4" t="s">
        <v>3839</v>
      </c>
      <c r="C2472" s="5" t="s">
        <v>3849</v>
      </c>
      <c r="D2472" s="5" t="s">
        <v>96</v>
      </c>
      <c r="E2472" s="3" t="s">
        <v>14</v>
      </c>
      <c r="F2472" s="6">
        <v>30.7</v>
      </c>
      <c r="G2472" s="6">
        <v>20.7</v>
      </c>
      <c r="H2472" s="6">
        <v>21.4</v>
      </c>
      <c r="I2472" s="6" t="s">
        <v>4316</v>
      </c>
      <c r="J2472" s="6" t="s">
        <v>4318</v>
      </c>
      <c r="K2472" s="8" t="s">
        <v>4469</v>
      </c>
      <c r="L2472" s="9" t="s">
        <v>3850</v>
      </c>
      <c r="M2472" s="1" t="s">
        <v>3851</v>
      </c>
    </row>
    <row r="2473" spans="1:13" x14ac:dyDescent="0.3">
      <c r="A2473" s="3">
        <v>10010005</v>
      </c>
      <c r="B2473" s="4" t="s">
        <v>3839</v>
      </c>
      <c r="C2473" s="5" t="s">
        <v>3852</v>
      </c>
      <c r="D2473" s="5" t="s">
        <v>96</v>
      </c>
      <c r="E2473" s="3" t="s">
        <v>14</v>
      </c>
      <c r="F2473" s="6">
        <v>31.7</v>
      </c>
      <c r="G2473" s="6">
        <v>21.7</v>
      </c>
      <c r="H2473" s="6">
        <v>16.399999999999999</v>
      </c>
      <c r="I2473" s="6" t="s">
        <v>4316</v>
      </c>
      <c r="J2473" s="6" t="s">
        <v>4318</v>
      </c>
      <c r="K2473" s="8" t="s">
        <v>4500</v>
      </c>
      <c r="L2473" s="9" t="s">
        <v>3853</v>
      </c>
      <c r="M2473" s="1" t="s">
        <v>3854</v>
      </c>
    </row>
    <row r="2474" spans="1:13" x14ac:dyDescent="0.3">
      <c r="A2474" s="3">
        <v>10010006</v>
      </c>
      <c r="B2474" s="4" t="s">
        <v>3839</v>
      </c>
      <c r="C2474" s="5" t="s">
        <v>3855</v>
      </c>
      <c r="D2474" s="5" t="s">
        <v>96</v>
      </c>
      <c r="E2474" s="3" t="s">
        <v>14</v>
      </c>
      <c r="F2474" s="6">
        <v>25.4</v>
      </c>
      <c r="G2474" s="6">
        <v>20.399999999999999</v>
      </c>
      <c r="H2474" s="6">
        <v>15.8</v>
      </c>
      <c r="I2474" s="6" t="s">
        <v>4315</v>
      </c>
      <c r="J2474" s="6" t="s">
        <v>4317</v>
      </c>
      <c r="K2474" s="8" t="s">
        <v>4360</v>
      </c>
      <c r="L2474" s="9" t="s">
        <v>3856</v>
      </c>
      <c r="M2474" s="1" t="s">
        <v>3857</v>
      </c>
    </row>
    <row r="2475" spans="1:13" x14ac:dyDescent="0.3">
      <c r="A2475" s="3">
        <v>10010007</v>
      </c>
      <c r="B2475" s="4" t="s">
        <v>3839</v>
      </c>
      <c r="C2475" s="5" t="s">
        <v>3858</v>
      </c>
      <c r="D2475" s="5" t="s">
        <v>96</v>
      </c>
      <c r="E2475" s="3" t="s">
        <v>14</v>
      </c>
      <c r="F2475" s="6">
        <v>20.399999999999999</v>
      </c>
      <c r="G2475" s="6">
        <v>20.399999999999999</v>
      </c>
      <c r="H2475" s="6">
        <v>10.8</v>
      </c>
      <c r="I2475" s="6" t="s">
        <v>4315</v>
      </c>
      <c r="J2475" s="6" t="s">
        <v>4317</v>
      </c>
      <c r="K2475" s="8" t="s">
        <v>4580</v>
      </c>
      <c r="L2475" s="9" t="s">
        <v>3859</v>
      </c>
      <c r="M2475" s="1" t="s">
        <v>3860</v>
      </c>
    </row>
    <row r="2476" spans="1:13" x14ac:dyDescent="0.3">
      <c r="A2476" s="3">
        <v>6910001</v>
      </c>
      <c r="B2476" s="4" t="s">
        <v>3861</v>
      </c>
      <c r="C2476" s="5" t="s">
        <v>3862</v>
      </c>
      <c r="D2476" s="5" t="s">
        <v>96</v>
      </c>
      <c r="E2476" s="3" t="s">
        <v>3862</v>
      </c>
      <c r="F2476" s="6">
        <v>125.8</v>
      </c>
      <c r="G2476" s="6">
        <v>66.8</v>
      </c>
      <c r="H2476" s="6">
        <v>9.1999999999999993</v>
      </c>
      <c r="I2476" s="7" t="s">
        <v>4585</v>
      </c>
      <c r="J2476" s="3" t="s">
        <v>4317</v>
      </c>
      <c r="K2476" s="8" t="s">
        <v>4715</v>
      </c>
      <c r="L2476" s="9" t="s">
        <v>3863</v>
      </c>
      <c r="M2476" s="1" t="s">
        <v>3864</v>
      </c>
    </row>
    <row r="2477" spans="1:13" x14ac:dyDescent="0.3">
      <c r="A2477" s="3">
        <v>6915002</v>
      </c>
      <c r="B2477" s="4" t="s">
        <v>3861</v>
      </c>
      <c r="C2477" s="5" t="s">
        <v>3865</v>
      </c>
      <c r="D2477" s="5" t="s">
        <v>697</v>
      </c>
      <c r="E2477" s="3" t="s">
        <v>3866</v>
      </c>
      <c r="F2477" s="6">
        <v>62</v>
      </c>
      <c r="G2477" s="6">
        <v>5</v>
      </c>
      <c r="H2477" s="6">
        <v>120</v>
      </c>
      <c r="I2477" s="7" t="s">
        <v>4315</v>
      </c>
      <c r="J2477" s="3" t="s">
        <v>4317</v>
      </c>
      <c r="K2477" s="8">
        <v>1.85</v>
      </c>
      <c r="L2477" s="9" t="s">
        <v>3867</v>
      </c>
      <c r="M2477" s="1" t="s">
        <v>3868</v>
      </c>
    </row>
    <row r="2478" spans="1:13" x14ac:dyDescent="0.3">
      <c r="A2478" s="3">
        <v>6410001</v>
      </c>
      <c r="B2478" s="4" t="s">
        <v>3869</v>
      </c>
      <c r="C2478" s="5" t="s">
        <v>3870</v>
      </c>
      <c r="D2478" s="5" t="s">
        <v>96</v>
      </c>
      <c r="E2478" s="3" t="s">
        <v>14</v>
      </c>
      <c r="F2478" s="6">
        <v>56.5</v>
      </c>
      <c r="G2478" s="6">
        <v>48.9</v>
      </c>
      <c r="H2478" s="6">
        <v>49</v>
      </c>
      <c r="I2478" s="7">
        <v>42</v>
      </c>
      <c r="J2478" s="3" t="s">
        <v>4318</v>
      </c>
      <c r="K2478" s="8">
        <v>2.14</v>
      </c>
      <c r="L2478" s="9" t="s">
        <v>3871</v>
      </c>
      <c r="M2478" s="1" t="s">
        <v>3872</v>
      </c>
    </row>
    <row r="2479" spans="1:13" x14ac:dyDescent="0.3">
      <c r="A2479" s="3">
        <v>6419002</v>
      </c>
      <c r="B2479" s="4" t="s">
        <v>3869</v>
      </c>
      <c r="C2479" s="5" t="s">
        <v>8056</v>
      </c>
      <c r="D2479" s="5" t="s">
        <v>74</v>
      </c>
      <c r="E2479" s="3" t="s">
        <v>8057</v>
      </c>
      <c r="F2479" s="6">
        <v>60</v>
      </c>
      <c r="G2479" s="6">
        <v>23.5</v>
      </c>
      <c r="H2479" s="6" t="s">
        <v>14</v>
      </c>
      <c r="I2479" s="7" t="s">
        <v>5963</v>
      </c>
      <c r="J2479" s="3" t="s">
        <v>4870</v>
      </c>
      <c r="K2479" s="8">
        <v>0.14000000000000001</v>
      </c>
      <c r="L2479" s="9" t="s">
        <v>3873</v>
      </c>
      <c r="M2479" s="1" t="s">
        <v>3874</v>
      </c>
    </row>
    <row r="2480" spans="1:13" x14ac:dyDescent="0.3">
      <c r="A2480" s="3">
        <v>6413003</v>
      </c>
      <c r="B2480" s="4" t="s">
        <v>3869</v>
      </c>
      <c r="C2480" s="5" t="s">
        <v>3875</v>
      </c>
      <c r="D2480" s="5" t="s">
        <v>2584</v>
      </c>
      <c r="E2480" s="3" t="s">
        <v>3876</v>
      </c>
      <c r="F2480" s="6">
        <v>64</v>
      </c>
      <c r="G2480" s="6">
        <v>60</v>
      </c>
      <c r="H2480" s="6">
        <v>7</v>
      </c>
      <c r="I2480" s="7">
        <v>32</v>
      </c>
      <c r="J2480" s="3" t="s">
        <v>4317</v>
      </c>
      <c r="K2480" s="8">
        <v>0.59</v>
      </c>
      <c r="L2480" s="9" t="s">
        <v>3877</v>
      </c>
      <c r="M2480" s="1" t="s">
        <v>3878</v>
      </c>
    </row>
    <row r="2481" spans="1:13" x14ac:dyDescent="0.3">
      <c r="A2481" s="3">
        <v>4019053</v>
      </c>
      <c r="B2481" s="4" t="s">
        <v>3869</v>
      </c>
      <c r="C2481" s="5" t="s">
        <v>3880</v>
      </c>
      <c r="D2481" s="5" t="s">
        <v>96</v>
      </c>
      <c r="E2481" s="3" t="s">
        <v>3881</v>
      </c>
      <c r="F2481" s="6">
        <v>59</v>
      </c>
      <c r="G2481" s="6">
        <v>57</v>
      </c>
      <c r="H2481" s="6">
        <v>49</v>
      </c>
      <c r="I2481" s="7">
        <v>42</v>
      </c>
      <c r="J2481" s="3" t="s">
        <v>4318</v>
      </c>
      <c r="K2481" s="8">
        <v>2.5099999999999998</v>
      </c>
      <c r="L2481" s="9" t="s">
        <v>3882</v>
      </c>
      <c r="M2481" s="1" t="s">
        <v>3883</v>
      </c>
    </row>
    <row r="2482" spans="1:13" x14ac:dyDescent="0.3">
      <c r="A2482" s="3">
        <v>4019054</v>
      </c>
      <c r="B2482" s="4" t="s">
        <v>3869</v>
      </c>
      <c r="C2482" s="5" t="s">
        <v>3884</v>
      </c>
      <c r="D2482" s="5" t="s">
        <v>96</v>
      </c>
      <c r="E2482" s="3" t="s">
        <v>3879</v>
      </c>
      <c r="F2482" s="6">
        <v>40</v>
      </c>
      <c r="G2482" s="6">
        <v>40</v>
      </c>
      <c r="H2482" s="6">
        <v>25</v>
      </c>
      <c r="I2482" s="7">
        <v>42</v>
      </c>
      <c r="J2482" s="3" t="s">
        <v>4318</v>
      </c>
      <c r="K2482" s="8">
        <v>1.07</v>
      </c>
      <c r="L2482" s="9" t="s">
        <v>3885</v>
      </c>
      <c r="M2482" s="1" t="s">
        <v>3886</v>
      </c>
    </row>
    <row r="2483" spans="1:13" x14ac:dyDescent="0.3">
      <c r="A2483" s="3">
        <v>4019055</v>
      </c>
      <c r="B2483" s="4" t="s">
        <v>3869</v>
      </c>
      <c r="C2483" s="5" t="s">
        <v>5956</v>
      </c>
      <c r="D2483" s="5" t="s">
        <v>96</v>
      </c>
      <c r="E2483" s="3" t="s">
        <v>5957</v>
      </c>
      <c r="F2483" s="6">
        <v>83.6</v>
      </c>
      <c r="G2483" s="6">
        <v>62</v>
      </c>
      <c r="H2483" s="6">
        <v>57.7</v>
      </c>
      <c r="I2483" s="7">
        <v>42</v>
      </c>
      <c r="J2483" s="3" t="s">
        <v>4318</v>
      </c>
      <c r="K2483" s="8">
        <v>3.57</v>
      </c>
      <c r="L2483" s="9" t="s">
        <v>5958</v>
      </c>
      <c r="M2483" s="1" t="s">
        <v>5961</v>
      </c>
    </row>
    <row r="2484" spans="1:13" x14ac:dyDescent="0.3">
      <c r="A2484" s="3">
        <v>4019056</v>
      </c>
      <c r="B2484" s="4" t="s">
        <v>3869</v>
      </c>
      <c r="C2484" s="5" t="s">
        <v>5960</v>
      </c>
      <c r="D2484" s="5" t="s">
        <v>23</v>
      </c>
      <c r="E2484" s="3" t="s">
        <v>14</v>
      </c>
      <c r="F2484" s="6">
        <v>61.8</v>
      </c>
      <c r="G2484" s="6">
        <v>58.3</v>
      </c>
      <c r="H2484" s="6">
        <v>38.799999999999997</v>
      </c>
      <c r="I2484" s="7">
        <v>42</v>
      </c>
      <c r="J2484" s="3" t="s">
        <v>4318</v>
      </c>
      <c r="K2484" s="8">
        <v>1.68</v>
      </c>
      <c r="L2484" s="9" t="s">
        <v>5959</v>
      </c>
      <c r="M2484" s="1" t="s">
        <v>5962</v>
      </c>
    </row>
    <row r="2485" spans="1:13" x14ac:dyDescent="0.3">
      <c r="A2485" s="3">
        <v>40240007</v>
      </c>
      <c r="B2485" s="4" t="s">
        <v>4949</v>
      </c>
      <c r="C2485" s="5" t="s">
        <v>7480</v>
      </c>
      <c r="D2485" s="5" t="s">
        <v>23</v>
      </c>
      <c r="E2485" s="3" t="s">
        <v>7481</v>
      </c>
      <c r="F2485" s="6">
        <v>124.5</v>
      </c>
      <c r="G2485" s="6">
        <v>117</v>
      </c>
      <c r="H2485" s="6">
        <v>48</v>
      </c>
      <c r="I2485" s="7">
        <v>71</v>
      </c>
      <c r="J2485" s="3" t="s">
        <v>4318</v>
      </c>
      <c r="K2485" s="8">
        <f>5.16/2</f>
        <v>2.58</v>
      </c>
      <c r="L2485" s="9" t="s">
        <v>7482</v>
      </c>
      <c r="M2485" s="1" t="s">
        <v>7485</v>
      </c>
    </row>
    <row r="2486" spans="1:13" x14ac:dyDescent="0.3">
      <c r="A2486" s="3">
        <v>402400088</v>
      </c>
      <c r="B2486" s="4" t="s">
        <v>4949</v>
      </c>
      <c r="C2486" s="5" t="s">
        <v>7480</v>
      </c>
      <c r="D2486" s="5" t="s">
        <v>13</v>
      </c>
      <c r="E2486" s="3" t="s">
        <v>7481</v>
      </c>
      <c r="F2486" s="6">
        <v>126</v>
      </c>
      <c r="G2486" s="6">
        <v>119</v>
      </c>
      <c r="H2486" s="6">
        <v>12</v>
      </c>
      <c r="I2486" s="7">
        <v>42</v>
      </c>
      <c r="J2486" s="3" t="s">
        <v>4318</v>
      </c>
      <c r="K2486" s="8">
        <v>2.15</v>
      </c>
      <c r="L2486" s="9" t="s">
        <v>7483</v>
      </c>
      <c r="M2486" s="1" t="s">
        <v>7486</v>
      </c>
    </row>
    <row r="2487" spans="1:13" x14ac:dyDescent="0.3">
      <c r="A2487" s="3">
        <v>40240009</v>
      </c>
      <c r="B2487" s="4" t="s">
        <v>4949</v>
      </c>
      <c r="C2487" s="5" t="s">
        <v>7480</v>
      </c>
      <c r="D2487" s="5" t="s">
        <v>3013</v>
      </c>
      <c r="E2487" s="3" t="s">
        <v>7481</v>
      </c>
      <c r="F2487" s="6">
        <v>8.6999999999999993</v>
      </c>
      <c r="G2487" s="6">
        <v>3.75</v>
      </c>
      <c r="H2487" s="6">
        <v>47</v>
      </c>
      <c r="I2487" s="7" t="s">
        <v>14</v>
      </c>
      <c r="J2487" s="3" t="s">
        <v>14</v>
      </c>
      <c r="K2487" s="8" t="s">
        <v>14</v>
      </c>
      <c r="L2487" s="9" t="s">
        <v>6045</v>
      </c>
      <c r="M2487" s="1" t="s">
        <v>7487</v>
      </c>
    </row>
    <row r="2488" spans="1:13" x14ac:dyDescent="0.3">
      <c r="A2488" s="3">
        <v>402400111</v>
      </c>
      <c r="B2488" s="4" t="s">
        <v>4949</v>
      </c>
      <c r="C2488" s="5" t="s">
        <v>7488</v>
      </c>
      <c r="D2488" s="5" t="s">
        <v>23</v>
      </c>
      <c r="E2488" s="3">
        <v>589</v>
      </c>
      <c r="F2488" s="6">
        <v>157.5</v>
      </c>
      <c r="G2488" s="6">
        <v>59</v>
      </c>
      <c r="H2488" s="6">
        <v>40</v>
      </c>
      <c r="I2488" s="7">
        <v>71</v>
      </c>
      <c r="J2488" s="3" t="s">
        <v>4318</v>
      </c>
      <c r="K2488" s="8">
        <v>1.57</v>
      </c>
      <c r="L2488" s="9" t="s">
        <v>6046</v>
      </c>
      <c r="M2488" s="1" t="s">
        <v>7491</v>
      </c>
    </row>
    <row r="2489" spans="1:13" x14ac:dyDescent="0.3">
      <c r="A2489" s="3">
        <v>40240012</v>
      </c>
      <c r="B2489" s="4" t="s">
        <v>4949</v>
      </c>
      <c r="C2489" s="5" t="s">
        <v>7488</v>
      </c>
      <c r="D2489" s="5" t="s">
        <v>13</v>
      </c>
      <c r="E2489" s="3">
        <v>589</v>
      </c>
      <c r="F2489" s="6">
        <v>162</v>
      </c>
      <c r="G2489" s="6">
        <v>123</v>
      </c>
      <c r="H2489" s="6">
        <v>10</v>
      </c>
      <c r="I2489" s="7">
        <v>42</v>
      </c>
      <c r="J2489" s="3" t="s">
        <v>4318</v>
      </c>
      <c r="K2489" s="8">
        <v>1.6</v>
      </c>
      <c r="L2489" s="9" t="s">
        <v>7484</v>
      </c>
      <c r="M2489" s="1" t="s">
        <v>7492</v>
      </c>
    </row>
    <row r="2490" spans="1:13" x14ac:dyDescent="0.3">
      <c r="A2490" s="3">
        <v>40240014</v>
      </c>
      <c r="B2490" s="4" t="s">
        <v>4949</v>
      </c>
      <c r="C2490" s="5" t="s">
        <v>7489</v>
      </c>
      <c r="D2490" s="5" t="s">
        <v>23</v>
      </c>
      <c r="E2490" s="3" t="s">
        <v>7234</v>
      </c>
      <c r="F2490" s="6">
        <v>157.5</v>
      </c>
      <c r="G2490" s="6">
        <v>121</v>
      </c>
      <c r="H2490" s="6">
        <v>40</v>
      </c>
      <c r="I2490" s="7">
        <v>71</v>
      </c>
      <c r="J2490" s="3" t="s">
        <v>4318</v>
      </c>
      <c r="K2490" s="8">
        <f>5.67/2</f>
        <v>2.835</v>
      </c>
      <c r="L2490" s="9" t="s">
        <v>7127</v>
      </c>
      <c r="M2490" s="1" t="s">
        <v>7493</v>
      </c>
    </row>
    <row r="2491" spans="1:13" x14ac:dyDescent="0.3">
      <c r="A2491" s="3">
        <v>40240015</v>
      </c>
      <c r="B2491" s="4" t="s">
        <v>4949</v>
      </c>
      <c r="C2491" s="5" t="s">
        <v>7489</v>
      </c>
      <c r="D2491" s="5" t="s">
        <v>13</v>
      </c>
      <c r="E2491" s="3" t="s">
        <v>7234</v>
      </c>
      <c r="F2491" s="6">
        <v>162</v>
      </c>
      <c r="G2491" s="6">
        <v>123</v>
      </c>
      <c r="H2491" s="6">
        <v>10</v>
      </c>
      <c r="I2491" s="7">
        <v>42</v>
      </c>
      <c r="J2491" s="3" t="s">
        <v>4318</v>
      </c>
      <c r="K2491" s="8">
        <v>2.6</v>
      </c>
      <c r="L2491" s="9" t="s">
        <v>7128</v>
      </c>
      <c r="M2491" s="1" t="s">
        <v>7494</v>
      </c>
    </row>
    <row r="2492" spans="1:13" x14ac:dyDescent="0.3">
      <c r="A2492" s="3">
        <v>40240016</v>
      </c>
      <c r="B2492" s="4" t="s">
        <v>4949</v>
      </c>
      <c r="C2492" s="5" t="s">
        <v>7490</v>
      </c>
      <c r="D2492" s="5" t="s">
        <v>7092</v>
      </c>
      <c r="E2492" s="3" t="s">
        <v>7234</v>
      </c>
      <c r="F2492" s="6">
        <v>120</v>
      </c>
      <c r="G2492" s="6">
        <v>26.5</v>
      </c>
      <c r="H2492" s="6" t="s">
        <v>14</v>
      </c>
      <c r="I2492" s="7">
        <v>42</v>
      </c>
      <c r="J2492" s="3" t="s">
        <v>4318</v>
      </c>
      <c r="K2492" s="8">
        <v>0.32</v>
      </c>
      <c r="L2492" s="9" t="s">
        <v>7129</v>
      </c>
      <c r="M2492" s="1" t="s">
        <v>7495</v>
      </c>
    </row>
    <row r="2493" spans="1:13" x14ac:dyDescent="0.3">
      <c r="A2493" s="3">
        <v>40240017</v>
      </c>
      <c r="B2493" s="4" t="s">
        <v>4949</v>
      </c>
      <c r="C2493" s="5" t="s">
        <v>7489</v>
      </c>
      <c r="D2493" s="5" t="s">
        <v>3013</v>
      </c>
      <c r="E2493" s="3" t="s">
        <v>7234</v>
      </c>
      <c r="F2493" s="6">
        <v>8.5</v>
      </c>
      <c r="G2493" s="6">
        <v>3.7</v>
      </c>
      <c r="H2493" s="6">
        <v>37</v>
      </c>
      <c r="I2493" s="7" t="s">
        <v>14</v>
      </c>
      <c r="J2493" s="3" t="s">
        <v>14</v>
      </c>
      <c r="K2493" s="8" t="s">
        <v>14</v>
      </c>
      <c r="L2493" s="9" t="s">
        <v>7139</v>
      </c>
      <c r="M2493" s="1" t="s">
        <v>7496</v>
      </c>
    </row>
    <row r="2494" spans="1:13" x14ac:dyDescent="0.3">
      <c r="A2494" s="3">
        <v>40240019</v>
      </c>
      <c r="B2494" s="4" t="s">
        <v>4949</v>
      </c>
      <c r="C2494" s="5" t="s">
        <v>7497</v>
      </c>
      <c r="D2494" s="5" t="s">
        <v>23</v>
      </c>
      <c r="E2494" s="3" t="s">
        <v>7233</v>
      </c>
      <c r="F2494" s="6">
        <v>157.5</v>
      </c>
      <c r="G2494" s="6">
        <v>121</v>
      </c>
      <c r="H2494" s="6">
        <v>40</v>
      </c>
      <c r="I2494" s="7">
        <v>71</v>
      </c>
      <c r="J2494" s="3" t="s">
        <v>4318</v>
      </c>
      <c r="K2494" s="8">
        <f>5.67/2</f>
        <v>2.835</v>
      </c>
      <c r="L2494" s="9" t="s">
        <v>7235</v>
      </c>
      <c r="M2494" s="1" t="s">
        <v>7498</v>
      </c>
    </row>
    <row r="2495" spans="1:13" x14ac:dyDescent="0.3">
      <c r="A2495" s="3">
        <v>40240020</v>
      </c>
      <c r="B2495" s="4" t="s">
        <v>4949</v>
      </c>
      <c r="C2495" s="5" t="s">
        <v>7497</v>
      </c>
      <c r="D2495" s="5" t="s">
        <v>13</v>
      </c>
      <c r="E2495" s="3" t="s">
        <v>7233</v>
      </c>
      <c r="F2495" s="6">
        <v>162</v>
      </c>
      <c r="G2495" s="6">
        <v>123</v>
      </c>
      <c r="H2495" s="6">
        <v>10</v>
      </c>
      <c r="I2495" s="7">
        <v>42</v>
      </c>
      <c r="J2495" s="3" t="s">
        <v>4318</v>
      </c>
      <c r="K2495" s="8">
        <v>2.6</v>
      </c>
      <c r="L2495" s="9" t="s">
        <v>7236</v>
      </c>
      <c r="M2495" s="1" t="s">
        <v>7499</v>
      </c>
    </row>
    <row r="2496" spans="1:13" x14ac:dyDescent="0.3">
      <c r="A2496" s="3">
        <v>40240021</v>
      </c>
      <c r="B2496" s="4" t="s">
        <v>4949</v>
      </c>
      <c r="C2496" s="5" t="s">
        <v>7698</v>
      </c>
      <c r="D2496" s="5" t="s">
        <v>74</v>
      </c>
      <c r="E2496" s="3" t="s">
        <v>14</v>
      </c>
      <c r="F2496" s="6">
        <v>111</v>
      </c>
      <c r="G2496" s="6">
        <v>104</v>
      </c>
      <c r="H2496" s="6" t="s">
        <v>14</v>
      </c>
      <c r="I2496" s="7">
        <v>32</v>
      </c>
      <c r="J2496" s="3" t="s">
        <v>4317</v>
      </c>
      <c r="K2496" s="8">
        <v>1.1499999999999999</v>
      </c>
      <c r="L2496" s="9" t="s">
        <v>7699</v>
      </c>
      <c r="M2496" s="1" t="s">
        <v>7700</v>
      </c>
    </row>
    <row r="2497" spans="1:13" x14ac:dyDescent="0.3">
      <c r="A2497" s="3">
        <v>40240013</v>
      </c>
      <c r="B2497" s="4" t="s">
        <v>4949</v>
      </c>
      <c r="C2497" s="5" t="s">
        <v>7901</v>
      </c>
      <c r="D2497" s="5" t="s">
        <v>96</v>
      </c>
      <c r="E2497" s="3" t="s">
        <v>7902</v>
      </c>
      <c r="F2497" s="6">
        <v>57.5</v>
      </c>
      <c r="G2497" s="6">
        <v>39.5</v>
      </c>
      <c r="H2497" s="6">
        <v>17.8</v>
      </c>
      <c r="I2497" s="7">
        <v>32</v>
      </c>
      <c r="J2497" s="3" t="s">
        <v>4317</v>
      </c>
      <c r="K2497" s="8">
        <v>1.1499999999999999</v>
      </c>
      <c r="L2497" s="9" t="s">
        <v>6047</v>
      </c>
      <c r="M2497" s="1" t="s">
        <v>7903</v>
      </c>
    </row>
    <row r="2498" spans="1:13" x14ac:dyDescent="0.3">
      <c r="A2498" s="3">
        <v>30240022</v>
      </c>
      <c r="B2498" s="4" t="s">
        <v>7863</v>
      </c>
      <c r="C2498" s="5" t="s">
        <v>7864</v>
      </c>
      <c r="D2498" s="5" t="s">
        <v>96</v>
      </c>
      <c r="E2498" s="3" t="s">
        <v>14</v>
      </c>
      <c r="F2498" s="6">
        <v>63.5</v>
      </c>
      <c r="G2498" s="6">
        <v>63.5</v>
      </c>
      <c r="H2498" s="6">
        <v>63.5</v>
      </c>
      <c r="I2498" s="7">
        <v>32</v>
      </c>
      <c r="J2498" s="3" t="s">
        <v>4317</v>
      </c>
      <c r="K2498" s="8">
        <v>3.3</v>
      </c>
      <c r="L2498" s="9" t="s">
        <v>7865</v>
      </c>
      <c r="M2498" s="1"/>
    </row>
    <row r="2499" spans="1:13" x14ac:dyDescent="0.3">
      <c r="A2499" s="3">
        <v>30240023</v>
      </c>
      <c r="B2499" s="4" t="s">
        <v>7863</v>
      </c>
      <c r="C2499" s="5" t="s">
        <v>7868</v>
      </c>
      <c r="D2499" s="5" t="s">
        <v>4792</v>
      </c>
      <c r="E2499" s="3" t="s">
        <v>14</v>
      </c>
      <c r="F2499" s="6">
        <v>111.5</v>
      </c>
      <c r="G2499" s="6">
        <v>92</v>
      </c>
      <c r="H2499" s="6">
        <v>32.700000000000003</v>
      </c>
      <c r="I2499" s="7">
        <v>51</v>
      </c>
      <c r="J2499" s="3" t="s">
        <v>4318</v>
      </c>
      <c r="K2499" s="8">
        <v>0.54</v>
      </c>
      <c r="L2499" s="9" t="s">
        <v>7869</v>
      </c>
      <c r="M2499" s="1" t="s">
        <v>7872</v>
      </c>
    </row>
    <row r="2500" spans="1:13" x14ac:dyDescent="0.3">
      <c r="A2500" s="3">
        <v>30240024</v>
      </c>
      <c r="B2500" s="4" t="s">
        <v>7863</v>
      </c>
      <c r="C2500" s="5" t="s">
        <v>7866</v>
      </c>
      <c r="D2500" s="5" t="s">
        <v>4792</v>
      </c>
      <c r="E2500" s="3" t="s">
        <v>14</v>
      </c>
      <c r="F2500" s="6">
        <v>111.5</v>
      </c>
      <c r="G2500" s="6">
        <v>92</v>
      </c>
      <c r="H2500" s="6">
        <v>31.4</v>
      </c>
      <c r="I2500" s="7">
        <v>51</v>
      </c>
      <c r="J2500" s="3" t="s">
        <v>4318</v>
      </c>
      <c r="K2500" s="8">
        <v>0.53</v>
      </c>
      <c r="L2500" s="9" t="s">
        <v>7870</v>
      </c>
      <c r="M2500" s="1" t="s">
        <v>7873</v>
      </c>
    </row>
    <row r="2501" spans="1:13" x14ac:dyDescent="0.3">
      <c r="A2501" s="3">
        <v>30240025</v>
      </c>
      <c r="B2501" s="4" t="s">
        <v>7863</v>
      </c>
      <c r="C2501" s="5" t="s">
        <v>7867</v>
      </c>
      <c r="D2501" s="5" t="s">
        <v>4792</v>
      </c>
      <c r="E2501" s="3" t="s">
        <v>14</v>
      </c>
      <c r="F2501" s="6">
        <v>111.5</v>
      </c>
      <c r="G2501" s="6">
        <v>92</v>
      </c>
      <c r="H2501" s="6">
        <v>25.2</v>
      </c>
      <c r="I2501" s="7">
        <v>51</v>
      </c>
      <c r="J2501" s="3" t="s">
        <v>4318</v>
      </c>
      <c r="K2501" s="8">
        <v>0.46</v>
      </c>
      <c r="L2501" s="9" t="s">
        <v>7871</v>
      </c>
      <c r="M2501" s="1" t="s">
        <v>7874</v>
      </c>
    </row>
    <row r="2502" spans="1:13" x14ac:dyDescent="0.3">
      <c r="A2502" s="3">
        <v>11011001</v>
      </c>
      <c r="B2502" s="4" t="s">
        <v>3887</v>
      </c>
      <c r="C2502" s="5" t="s">
        <v>3888</v>
      </c>
      <c r="D2502" s="5" t="s">
        <v>154</v>
      </c>
      <c r="E2502" s="3" t="s">
        <v>3888</v>
      </c>
      <c r="F2502" s="6">
        <v>54.7</v>
      </c>
      <c r="G2502" s="6">
        <v>54.7</v>
      </c>
      <c r="H2502" s="6">
        <v>139.69999999999999</v>
      </c>
      <c r="I2502" s="7" t="s">
        <v>4316</v>
      </c>
      <c r="J2502" s="3" t="s">
        <v>4318</v>
      </c>
      <c r="K2502" s="8" t="s">
        <v>4459</v>
      </c>
      <c r="L2502" s="9" t="s">
        <v>3889</v>
      </c>
      <c r="M2502" s="1" t="s">
        <v>3890</v>
      </c>
    </row>
    <row r="2503" spans="1:13" x14ac:dyDescent="0.3">
      <c r="A2503" s="3">
        <v>8827001</v>
      </c>
      <c r="B2503" s="4" t="s">
        <v>3891</v>
      </c>
      <c r="C2503" s="5" t="s">
        <v>3892</v>
      </c>
      <c r="D2503" s="5" t="s">
        <v>3893</v>
      </c>
      <c r="E2503" s="3" t="s">
        <v>3894</v>
      </c>
      <c r="F2503" s="6">
        <v>16.2</v>
      </c>
      <c r="G2503" s="6">
        <v>15.7</v>
      </c>
      <c r="H2503" s="6">
        <v>0</v>
      </c>
      <c r="I2503" s="7" t="s">
        <v>4770</v>
      </c>
      <c r="J2503" s="3" t="s">
        <v>14</v>
      </c>
      <c r="K2503" s="8" t="s">
        <v>4560</v>
      </c>
      <c r="L2503" s="9" t="s">
        <v>3895</v>
      </c>
      <c r="M2503" s="1" t="s">
        <v>3896</v>
      </c>
    </row>
    <row r="2504" spans="1:13" x14ac:dyDescent="0.3">
      <c r="A2504" s="3">
        <v>8827002</v>
      </c>
      <c r="B2504" s="4" t="s">
        <v>3891</v>
      </c>
      <c r="C2504" s="5" t="s">
        <v>3897</v>
      </c>
      <c r="D2504" s="5" t="s">
        <v>3893</v>
      </c>
      <c r="E2504" s="3" t="s">
        <v>3894</v>
      </c>
      <c r="F2504" s="6">
        <v>26.4</v>
      </c>
      <c r="G2504" s="6">
        <v>38.6</v>
      </c>
      <c r="H2504" s="6">
        <v>0</v>
      </c>
      <c r="I2504" s="7" t="s">
        <v>4770</v>
      </c>
      <c r="J2504" s="3" t="s">
        <v>14</v>
      </c>
      <c r="K2504" s="8" t="s">
        <v>4428</v>
      </c>
      <c r="L2504" s="9" t="s">
        <v>3898</v>
      </c>
      <c r="M2504" s="1" t="s">
        <v>3899</v>
      </c>
    </row>
    <row r="2505" spans="1:13" x14ac:dyDescent="0.3">
      <c r="A2505" s="3">
        <v>8010001</v>
      </c>
      <c r="B2505" s="4" t="s">
        <v>3900</v>
      </c>
      <c r="C2505" s="5" t="s">
        <v>3901</v>
      </c>
      <c r="D2505" s="5" t="s">
        <v>96</v>
      </c>
      <c r="E2505" s="3" t="s">
        <v>3901</v>
      </c>
      <c r="F2505" s="6">
        <v>49.4</v>
      </c>
      <c r="G2505" s="6">
        <v>19.399999999999999</v>
      </c>
      <c r="H2505" s="6">
        <v>11.8</v>
      </c>
      <c r="I2505" s="7" t="s">
        <v>4315</v>
      </c>
      <c r="J2505" s="3" t="s">
        <v>4317</v>
      </c>
      <c r="K2505" s="8" t="s">
        <v>4567</v>
      </c>
      <c r="L2505" s="9" t="s">
        <v>3902</v>
      </c>
      <c r="M2505" s="1" t="s">
        <v>3903</v>
      </c>
    </row>
    <row r="2506" spans="1:13" x14ac:dyDescent="0.3">
      <c r="A2506" s="3">
        <v>8010002</v>
      </c>
      <c r="B2506" s="4" t="s">
        <v>3900</v>
      </c>
      <c r="C2506" s="5" t="s">
        <v>3904</v>
      </c>
      <c r="D2506" s="5" t="s">
        <v>96</v>
      </c>
      <c r="E2506" s="3" t="s">
        <v>3904</v>
      </c>
      <c r="F2506" s="6">
        <v>30.4</v>
      </c>
      <c r="G2506" s="6">
        <v>24.4</v>
      </c>
      <c r="H2506" s="6">
        <v>11.8</v>
      </c>
      <c r="I2506" s="7" t="s">
        <v>4315</v>
      </c>
      <c r="J2506" s="3" t="s">
        <v>4317</v>
      </c>
      <c r="K2506" s="8" t="s">
        <v>4617</v>
      </c>
      <c r="L2506" s="9" t="s">
        <v>3905</v>
      </c>
      <c r="M2506" s="1" t="s">
        <v>3906</v>
      </c>
    </row>
    <row r="2507" spans="1:13" x14ac:dyDescent="0.3">
      <c r="A2507" s="3">
        <v>8010003</v>
      </c>
      <c r="B2507" s="4" t="s">
        <v>3900</v>
      </c>
      <c r="C2507" s="5" t="s">
        <v>3907</v>
      </c>
      <c r="D2507" s="5" t="s">
        <v>96</v>
      </c>
      <c r="E2507" s="3" t="s">
        <v>3907</v>
      </c>
      <c r="F2507" s="6">
        <v>35.4</v>
      </c>
      <c r="G2507" s="6">
        <v>30.4</v>
      </c>
      <c r="H2507" s="6">
        <v>11.8</v>
      </c>
      <c r="I2507" s="7" t="s">
        <v>4315</v>
      </c>
      <c r="J2507" s="3" t="s">
        <v>4317</v>
      </c>
      <c r="K2507" s="8" t="s">
        <v>4479</v>
      </c>
      <c r="L2507" s="9" t="s">
        <v>3908</v>
      </c>
      <c r="M2507" s="1" t="s">
        <v>3909</v>
      </c>
    </row>
    <row r="2508" spans="1:13" x14ac:dyDescent="0.3">
      <c r="A2508" s="3">
        <v>8010004</v>
      </c>
      <c r="B2508" s="4" t="s">
        <v>3900</v>
      </c>
      <c r="C2508" s="5" t="s">
        <v>3910</v>
      </c>
      <c r="D2508" s="5" t="s">
        <v>96</v>
      </c>
      <c r="E2508" s="3" t="s">
        <v>3910</v>
      </c>
      <c r="F2508" s="6">
        <v>35.4</v>
      </c>
      <c r="G2508" s="6">
        <v>34.4</v>
      </c>
      <c r="H2508" s="6">
        <v>11.8</v>
      </c>
      <c r="I2508" s="7" t="s">
        <v>4315</v>
      </c>
      <c r="J2508" s="3" t="s">
        <v>4317</v>
      </c>
      <c r="K2508" s="8" t="s">
        <v>4524</v>
      </c>
      <c r="L2508" s="9" t="s">
        <v>3911</v>
      </c>
      <c r="M2508" s="1" t="s">
        <v>3912</v>
      </c>
    </row>
    <row r="2509" spans="1:13" x14ac:dyDescent="0.3">
      <c r="A2509" s="3">
        <v>8010005</v>
      </c>
      <c r="B2509" s="4" t="s">
        <v>3900</v>
      </c>
      <c r="C2509" s="5" t="s">
        <v>3913</v>
      </c>
      <c r="D2509" s="5" t="s">
        <v>96</v>
      </c>
      <c r="E2509" s="3" t="s">
        <v>3913</v>
      </c>
      <c r="F2509" s="6">
        <v>42.4</v>
      </c>
      <c r="G2509" s="6">
        <v>14.4</v>
      </c>
      <c r="H2509" s="6">
        <v>18.8</v>
      </c>
      <c r="I2509" s="7" t="s">
        <v>4315</v>
      </c>
      <c r="J2509" s="3" t="s">
        <v>4317</v>
      </c>
      <c r="K2509" s="8" t="s">
        <v>4670</v>
      </c>
      <c r="L2509" s="9" t="s">
        <v>3914</v>
      </c>
      <c r="M2509" s="1" t="s">
        <v>3915</v>
      </c>
    </row>
    <row r="2510" spans="1:13" x14ac:dyDescent="0.3">
      <c r="A2510" s="3">
        <v>8010006</v>
      </c>
      <c r="B2510" s="4" t="s">
        <v>3900</v>
      </c>
      <c r="C2510" s="5" t="s">
        <v>3916</v>
      </c>
      <c r="D2510" s="5" t="s">
        <v>96</v>
      </c>
      <c r="E2510" s="3" t="s">
        <v>3916</v>
      </c>
      <c r="F2510" s="6">
        <v>42.4</v>
      </c>
      <c r="G2510" s="6">
        <v>14.4</v>
      </c>
      <c r="H2510" s="6">
        <v>11.8</v>
      </c>
      <c r="I2510" s="7" t="s">
        <v>4315</v>
      </c>
      <c r="J2510" s="3" t="s">
        <v>4317</v>
      </c>
      <c r="K2510" s="8" t="s">
        <v>4431</v>
      </c>
      <c r="L2510" s="9" t="s">
        <v>3917</v>
      </c>
      <c r="M2510" s="1" t="s">
        <v>3918</v>
      </c>
    </row>
    <row r="2511" spans="1:13" x14ac:dyDescent="0.3">
      <c r="A2511" s="3">
        <v>8019007</v>
      </c>
      <c r="B2511" s="4" t="s">
        <v>3900</v>
      </c>
      <c r="C2511" s="5" t="s">
        <v>3919</v>
      </c>
      <c r="D2511" s="5" t="s">
        <v>74</v>
      </c>
      <c r="E2511" s="3" t="s">
        <v>3919</v>
      </c>
      <c r="F2511" s="6">
        <v>48.5</v>
      </c>
      <c r="G2511" s="6">
        <v>18.5</v>
      </c>
      <c r="H2511" s="6">
        <v>0</v>
      </c>
      <c r="I2511" s="7" t="s">
        <v>4315</v>
      </c>
      <c r="J2511" s="3" t="s">
        <v>4317</v>
      </c>
      <c r="K2511" s="8" t="s">
        <v>4426</v>
      </c>
      <c r="L2511" s="9" t="s">
        <v>3920</v>
      </c>
      <c r="M2511" s="1" t="s">
        <v>3921</v>
      </c>
    </row>
    <row r="2512" spans="1:13" x14ac:dyDescent="0.3">
      <c r="A2512" s="3">
        <v>5519001</v>
      </c>
      <c r="B2512" s="4" t="s">
        <v>3922</v>
      </c>
      <c r="C2512" s="5" t="s">
        <v>3923</v>
      </c>
      <c r="D2512" s="5" t="s">
        <v>74</v>
      </c>
      <c r="E2512" s="3" t="s">
        <v>14</v>
      </c>
      <c r="F2512" s="6">
        <v>97</v>
      </c>
      <c r="G2512" s="6">
        <v>40</v>
      </c>
      <c r="H2512" s="6">
        <v>0</v>
      </c>
      <c r="I2512" s="7" t="s">
        <v>4315</v>
      </c>
      <c r="J2512" s="3" t="s">
        <v>4317</v>
      </c>
      <c r="K2512" s="8" t="s">
        <v>4601</v>
      </c>
      <c r="L2512" s="9" t="s">
        <v>3924</v>
      </c>
      <c r="M2512" s="1" t="s">
        <v>3925</v>
      </c>
    </row>
    <row r="2513" spans="1:13" x14ac:dyDescent="0.3">
      <c r="A2513" s="3">
        <v>12221001</v>
      </c>
      <c r="B2513" s="4" t="s">
        <v>6447</v>
      </c>
      <c r="C2513" s="5" t="s">
        <v>6471</v>
      </c>
      <c r="D2513" s="5" t="s">
        <v>23</v>
      </c>
      <c r="E2513" s="3" t="s">
        <v>6448</v>
      </c>
      <c r="F2513" s="6">
        <v>61.8</v>
      </c>
      <c r="G2513" s="6">
        <v>38.5</v>
      </c>
      <c r="H2513" s="6">
        <v>20.5</v>
      </c>
      <c r="I2513" s="7">
        <v>32</v>
      </c>
      <c r="J2513" s="3" t="s">
        <v>4317</v>
      </c>
      <c r="K2513" s="8">
        <v>0.82</v>
      </c>
      <c r="L2513" s="9" t="s">
        <v>6449</v>
      </c>
      <c r="M2513" s="1" t="s">
        <v>6456</v>
      </c>
    </row>
    <row r="2514" spans="1:13" x14ac:dyDescent="0.3">
      <c r="A2514" s="3">
        <v>12221002</v>
      </c>
      <c r="B2514" s="4" t="s">
        <v>6447</v>
      </c>
      <c r="C2514" s="5" t="s">
        <v>6457</v>
      </c>
      <c r="D2514" s="5" t="s">
        <v>90</v>
      </c>
      <c r="E2514" s="3" t="s">
        <v>6448</v>
      </c>
      <c r="F2514" s="6">
        <v>60.8</v>
      </c>
      <c r="G2514" s="6">
        <v>45.5</v>
      </c>
      <c r="H2514" s="6">
        <v>10</v>
      </c>
      <c r="I2514" s="7" t="s">
        <v>6324</v>
      </c>
      <c r="J2514" s="3" t="s">
        <v>4422</v>
      </c>
      <c r="K2514" s="8">
        <v>0.05</v>
      </c>
      <c r="L2514" s="9" t="s">
        <v>6450</v>
      </c>
      <c r="M2514" s="1" t="s">
        <v>6458</v>
      </c>
    </row>
    <row r="2515" spans="1:13" x14ac:dyDescent="0.3">
      <c r="A2515" s="3">
        <v>12221003</v>
      </c>
      <c r="B2515" s="4" t="s">
        <v>6447</v>
      </c>
      <c r="C2515" s="5" t="s">
        <v>6459</v>
      </c>
      <c r="D2515" s="5" t="s">
        <v>74</v>
      </c>
      <c r="E2515" s="3" t="s">
        <v>6448</v>
      </c>
      <c r="F2515" s="6">
        <v>60.8</v>
      </c>
      <c r="G2515" s="6">
        <v>37.5</v>
      </c>
      <c r="H2515" s="6" t="s">
        <v>14</v>
      </c>
      <c r="I2515" s="7" t="s">
        <v>6324</v>
      </c>
      <c r="J2515" s="3" t="s">
        <v>4422</v>
      </c>
      <c r="K2515" s="8">
        <v>0.23</v>
      </c>
      <c r="L2515" s="9" t="s">
        <v>6451</v>
      </c>
      <c r="M2515" s="1" t="s">
        <v>6460</v>
      </c>
    </row>
    <row r="2516" spans="1:13" x14ac:dyDescent="0.3">
      <c r="A2516" s="3">
        <v>12221004</v>
      </c>
      <c r="B2516" s="4" t="s">
        <v>6447</v>
      </c>
      <c r="C2516" s="5" t="s">
        <v>5438</v>
      </c>
      <c r="D2516" s="5" t="s">
        <v>13</v>
      </c>
      <c r="E2516" s="3" t="s">
        <v>6448</v>
      </c>
      <c r="F2516" s="6">
        <v>62.8</v>
      </c>
      <c r="G2516" s="6">
        <v>39.5</v>
      </c>
      <c r="H2516" s="6">
        <v>6</v>
      </c>
      <c r="I2516" s="7">
        <v>32</v>
      </c>
      <c r="J2516" s="3" t="s">
        <v>4317</v>
      </c>
      <c r="K2516" s="8">
        <v>0.39</v>
      </c>
      <c r="L2516" s="9" t="s">
        <v>6452</v>
      </c>
      <c r="M2516" s="1" t="s">
        <v>6461</v>
      </c>
    </row>
    <row r="2517" spans="1:13" x14ac:dyDescent="0.3">
      <c r="A2517" s="3">
        <v>12221005</v>
      </c>
      <c r="B2517" s="4" t="s">
        <v>6447</v>
      </c>
      <c r="C2517" s="5" t="s">
        <v>6464</v>
      </c>
      <c r="D2517" s="5" t="s">
        <v>23</v>
      </c>
      <c r="E2517" s="3" t="s">
        <v>6462</v>
      </c>
      <c r="F2517" s="6">
        <v>121</v>
      </c>
      <c r="G2517" s="6">
        <v>111.5</v>
      </c>
      <c r="H2517" s="6">
        <v>94</v>
      </c>
      <c r="I2517" s="7">
        <v>42</v>
      </c>
      <c r="J2517" s="3" t="s">
        <v>4318</v>
      </c>
      <c r="K2517" s="8">
        <v>7.06</v>
      </c>
      <c r="L2517" s="9" t="s">
        <v>6453</v>
      </c>
      <c r="M2517" s="1" t="s">
        <v>6463</v>
      </c>
    </row>
    <row r="2518" spans="1:13" x14ac:dyDescent="0.3">
      <c r="A2518" s="3">
        <v>12221006</v>
      </c>
      <c r="B2518" s="4" t="s">
        <v>6447</v>
      </c>
      <c r="C2518" s="5" t="s">
        <v>6465</v>
      </c>
      <c r="D2518" s="5" t="s">
        <v>4792</v>
      </c>
      <c r="E2518" s="3" t="s">
        <v>6466</v>
      </c>
      <c r="F2518" s="6">
        <v>120</v>
      </c>
      <c r="G2518" s="6">
        <v>110</v>
      </c>
      <c r="H2518" s="6">
        <v>93</v>
      </c>
      <c r="I2518" s="7">
        <v>32</v>
      </c>
      <c r="J2518" s="3" t="s">
        <v>4317</v>
      </c>
      <c r="K2518" s="8">
        <v>2.15</v>
      </c>
      <c r="L2518" s="9" t="s">
        <v>6454</v>
      </c>
      <c r="M2518" s="1" t="s">
        <v>6468</v>
      </c>
    </row>
    <row r="2519" spans="1:13" x14ac:dyDescent="0.3">
      <c r="A2519" s="3">
        <v>12221007</v>
      </c>
      <c r="B2519" s="4" t="s">
        <v>6447</v>
      </c>
      <c r="C2519" s="5" t="s">
        <v>6469</v>
      </c>
      <c r="D2519" s="5" t="s">
        <v>13</v>
      </c>
      <c r="E2519" s="3" t="s">
        <v>6467</v>
      </c>
      <c r="F2519" s="6">
        <v>123</v>
      </c>
      <c r="G2519" s="6">
        <v>113</v>
      </c>
      <c r="H2519" s="6">
        <v>10</v>
      </c>
      <c r="I2519" s="7">
        <v>32</v>
      </c>
      <c r="J2519" s="3" t="s">
        <v>4317</v>
      </c>
      <c r="K2519" s="8">
        <v>1.9</v>
      </c>
      <c r="L2519" s="9" t="s">
        <v>6455</v>
      </c>
      <c r="M2519" s="1" t="s">
        <v>6470</v>
      </c>
    </row>
    <row r="2520" spans="1:13" x14ac:dyDescent="0.3">
      <c r="A2520" s="3">
        <v>9010001</v>
      </c>
      <c r="B2520" s="4" t="s">
        <v>4848</v>
      </c>
      <c r="C2520" s="5" t="s">
        <v>4849</v>
      </c>
      <c r="D2520" s="5" t="s">
        <v>616</v>
      </c>
      <c r="E2520" s="3" t="s">
        <v>14</v>
      </c>
      <c r="F2520" s="6">
        <v>109.8</v>
      </c>
      <c r="G2520" s="6">
        <v>102.6</v>
      </c>
      <c r="H2520" s="6">
        <v>11.4</v>
      </c>
      <c r="I2520" s="7">
        <v>42</v>
      </c>
      <c r="J2520" s="3" t="s">
        <v>4318</v>
      </c>
      <c r="K2520" s="8"/>
      <c r="L2520" s="9" t="s">
        <v>4853</v>
      </c>
      <c r="M2520" s="1" t="s">
        <v>4857</v>
      </c>
    </row>
    <row r="2521" spans="1:13" x14ac:dyDescent="0.3">
      <c r="A2521" s="3">
        <v>9010002</v>
      </c>
      <c r="B2521" s="4" t="s">
        <v>4848</v>
      </c>
      <c r="C2521" s="5" t="s">
        <v>4850</v>
      </c>
      <c r="D2521" s="5" t="s">
        <v>616</v>
      </c>
      <c r="E2521" s="3" t="s">
        <v>14</v>
      </c>
      <c r="F2521" s="6">
        <v>88.3</v>
      </c>
      <c r="G2521" s="6">
        <v>71.8</v>
      </c>
      <c r="H2521" s="6">
        <v>12.1</v>
      </c>
      <c r="I2521" s="7">
        <v>42</v>
      </c>
      <c r="J2521" s="3" t="s">
        <v>4318</v>
      </c>
      <c r="K2521" s="8"/>
      <c r="L2521" s="9" t="s">
        <v>4854</v>
      </c>
      <c r="M2521" s="1" t="s">
        <v>4858</v>
      </c>
    </row>
    <row r="2522" spans="1:13" x14ac:dyDescent="0.3">
      <c r="A2522" s="3">
        <v>9010003</v>
      </c>
      <c r="B2522" s="4" t="s">
        <v>4848</v>
      </c>
      <c r="C2522" s="5" t="s">
        <v>4851</v>
      </c>
      <c r="D2522" s="5" t="s">
        <v>616</v>
      </c>
      <c r="E2522" s="3" t="s">
        <v>14</v>
      </c>
      <c r="F2522" s="6">
        <v>117.9</v>
      </c>
      <c r="G2522" s="6">
        <v>111.4</v>
      </c>
      <c r="H2522" s="6">
        <v>10.199999999999999</v>
      </c>
      <c r="I2522" s="7">
        <v>42</v>
      </c>
      <c r="J2522" s="3" t="s">
        <v>4318</v>
      </c>
      <c r="K2522" s="8"/>
      <c r="L2522" s="9" t="s">
        <v>4855</v>
      </c>
      <c r="M2522" s="1" t="s">
        <v>4859</v>
      </c>
    </row>
    <row r="2523" spans="1:13" x14ac:dyDescent="0.3">
      <c r="A2523" s="3">
        <v>9010004</v>
      </c>
      <c r="B2523" s="4" t="s">
        <v>4848</v>
      </c>
      <c r="C2523" s="5" t="s">
        <v>4852</v>
      </c>
      <c r="D2523" s="5" t="s">
        <v>616</v>
      </c>
      <c r="E2523" s="3" t="s">
        <v>14</v>
      </c>
      <c r="F2523" s="6">
        <v>121.7</v>
      </c>
      <c r="G2523" s="6">
        <v>111.4</v>
      </c>
      <c r="H2523" s="6">
        <v>10.199999999999999</v>
      </c>
      <c r="I2523" s="7">
        <v>42</v>
      </c>
      <c r="J2523" s="3" t="s">
        <v>4318</v>
      </c>
      <c r="K2523" s="8"/>
      <c r="L2523" s="9" t="s">
        <v>4856</v>
      </c>
      <c r="M2523" s="1" t="s">
        <v>4860</v>
      </c>
    </row>
    <row r="2524" spans="1:13" x14ac:dyDescent="0.3">
      <c r="A2524" s="3">
        <v>5610001</v>
      </c>
      <c r="B2524" s="4" t="s">
        <v>3926</v>
      </c>
      <c r="C2524" s="5" t="s">
        <v>7743</v>
      </c>
      <c r="D2524" s="5" t="s">
        <v>96</v>
      </c>
      <c r="E2524" s="3" t="s">
        <v>14</v>
      </c>
      <c r="F2524" s="6">
        <v>23.6</v>
      </c>
      <c r="G2524" s="6">
        <v>23.6</v>
      </c>
      <c r="H2524" s="6">
        <v>14.8</v>
      </c>
      <c r="I2524" s="7" t="s">
        <v>4315</v>
      </c>
      <c r="J2524" s="3" t="s">
        <v>4317</v>
      </c>
      <c r="K2524" s="8" t="s">
        <v>4482</v>
      </c>
      <c r="L2524" s="9" t="s">
        <v>3927</v>
      </c>
      <c r="M2524" s="1" t="s">
        <v>3928</v>
      </c>
    </row>
    <row r="2525" spans="1:13" x14ac:dyDescent="0.3">
      <c r="A2525" s="3">
        <v>5611002</v>
      </c>
      <c r="B2525" s="4" t="s">
        <v>3926</v>
      </c>
      <c r="C2525" s="5">
        <v>484024</v>
      </c>
      <c r="D2525" s="5" t="s">
        <v>154</v>
      </c>
      <c r="E2525" s="3" t="s">
        <v>3929</v>
      </c>
      <c r="F2525" s="6">
        <v>122</v>
      </c>
      <c r="G2525" s="6">
        <v>101.5</v>
      </c>
      <c r="H2525" s="6">
        <v>61</v>
      </c>
      <c r="I2525" s="7" t="s">
        <v>4345</v>
      </c>
      <c r="J2525" s="3" t="s">
        <v>4347</v>
      </c>
      <c r="K2525" s="8" t="s">
        <v>4771</v>
      </c>
      <c r="L2525" s="9" t="s">
        <v>3930</v>
      </c>
      <c r="M2525" s="1" t="s">
        <v>3931</v>
      </c>
    </row>
    <row r="2526" spans="1:13" x14ac:dyDescent="0.3">
      <c r="A2526" s="3">
        <v>5614003</v>
      </c>
      <c r="B2526" s="4" t="s">
        <v>3926</v>
      </c>
      <c r="C2526" s="5">
        <v>484024</v>
      </c>
      <c r="D2526" s="5" t="s">
        <v>392</v>
      </c>
      <c r="E2526" s="3" t="s">
        <v>3929</v>
      </c>
      <c r="F2526" s="6">
        <v>123.8</v>
      </c>
      <c r="G2526" s="6">
        <v>104.2</v>
      </c>
      <c r="H2526" s="6">
        <v>13.9</v>
      </c>
      <c r="I2526" s="7" t="s">
        <v>4315</v>
      </c>
      <c r="J2526" s="3" t="s">
        <v>4317</v>
      </c>
      <c r="K2526" s="8" t="s">
        <v>4463</v>
      </c>
      <c r="L2526" s="9" t="s">
        <v>3932</v>
      </c>
      <c r="M2526" s="1" t="s">
        <v>3933</v>
      </c>
    </row>
    <row r="2527" spans="1:13" x14ac:dyDescent="0.3">
      <c r="A2527" s="3">
        <v>5619004</v>
      </c>
      <c r="B2527" s="4" t="s">
        <v>3926</v>
      </c>
      <c r="C2527" s="5">
        <v>484024</v>
      </c>
      <c r="D2527" s="5" t="s">
        <v>74</v>
      </c>
      <c r="E2527" s="3" t="s">
        <v>3929</v>
      </c>
      <c r="F2527" s="6">
        <v>120</v>
      </c>
      <c r="G2527" s="6">
        <v>100</v>
      </c>
      <c r="H2527" s="6">
        <v>0</v>
      </c>
      <c r="I2527" s="7" t="s">
        <v>4316</v>
      </c>
      <c r="J2527" s="3" t="s">
        <v>4318</v>
      </c>
      <c r="K2527" s="8" t="s">
        <v>4494</v>
      </c>
      <c r="L2527" s="9" t="s">
        <v>3934</v>
      </c>
      <c r="M2527" s="1" t="s">
        <v>3935</v>
      </c>
    </row>
    <row r="2528" spans="1:13" x14ac:dyDescent="0.3">
      <c r="A2528" s="3">
        <v>5610005</v>
      </c>
      <c r="B2528" s="4" t="s">
        <v>3926</v>
      </c>
      <c r="C2528" s="5" t="s">
        <v>7744</v>
      </c>
      <c r="D2528" s="5" t="s">
        <v>96</v>
      </c>
      <c r="E2528" s="3" t="s">
        <v>14</v>
      </c>
      <c r="F2528" s="6">
        <v>50.5</v>
      </c>
      <c r="G2528" s="6">
        <v>29.2</v>
      </c>
      <c r="H2528" s="6">
        <v>23.4</v>
      </c>
      <c r="I2528" s="7" t="s">
        <v>4446</v>
      </c>
      <c r="J2528" s="3" t="s">
        <v>4318</v>
      </c>
      <c r="K2528" s="8" t="s">
        <v>4478</v>
      </c>
      <c r="L2528" s="9" t="s">
        <v>3936</v>
      </c>
      <c r="M2528" s="1" t="s">
        <v>3937</v>
      </c>
    </row>
    <row r="2529" spans="1:13" x14ac:dyDescent="0.3">
      <c r="A2529" s="3">
        <v>5610006</v>
      </c>
      <c r="B2529" s="4" t="s">
        <v>3926</v>
      </c>
      <c r="C2529" s="5" t="s">
        <v>3938</v>
      </c>
      <c r="D2529" s="5" t="s">
        <v>96</v>
      </c>
      <c r="E2529" s="3" t="s">
        <v>3938</v>
      </c>
      <c r="F2529" s="6">
        <v>59.9</v>
      </c>
      <c r="G2529" s="6">
        <v>40.4</v>
      </c>
      <c r="H2529" s="6">
        <v>30.3</v>
      </c>
      <c r="I2529" s="7" t="s">
        <v>4315</v>
      </c>
      <c r="J2529" s="3" t="s">
        <v>4317</v>
      </c>
      <c r="K2529" s="8" t="s">
        <v>4609</v>
      </c>
      <c r="L2529" s="9" t="s">
        <v>3939</v>
      </c>
      <c r="M2529" s="1" t="s">
        <v>3940</v>
      </c>
    </row>
    <row r="2530" spans="1:13" x14ac:dyDescent="0.3">
      <c r="A2530" s="3">
        <v>5620007</v>
      </c>
      <c r="B2530" s="4" t="s">
        <v>3926</v>
      </c>
      <c r="C2530" s="5" t="s">
        <v>7001</v>
      </c>
      <c r="D2530" s="5" t="s">
        <v>264</v>
      </c>
      <c r="E2530" s="3" t="s">
        <v>3938</v>
      </c>
      <c r="F2530" s="6">
        <v>59</v>
      </c>
      <c r="G2530" s="6">
        <v>4.5</v>
      </c>
      <c r="H2530" s="6">
        <v>0</v>
      </c>
      <c r="I2530" s="7" t="s">
        <v>4447</v>
      </c>
      <c r="J2530" s="3" t="s">
        <v>4317</v>
      </c>
      <c r="K2530" s="8" t="s">
        <v>4405</v>
      </c>
      <c r="L2530" s="9" t="s">
        <v>3941</v>
      </c>
      <c r="M2530" s="1" t="s">
        <v>3942</v>
      </c>
    </row>
    <row r="2531" spans="1:13" x14ac:dyDescent="0.3">
      <c r="A2531" s="3">
        <v>5621008</v>
      </c>
      <c r="B2531" s="4" t="s">
        <v>3926</v>
      </c>
      <c r="C2531" s="5" t="s">
        <v>7001</v>
      </c>
      <c r="D2531" s="5" t="s">
        <v>267</v>
      </c>
      <c r="E2531" s="3" t="s">
        <v>3938</v>
      </c>
      <c r="F2531" s="6">
        <v>39.5</v>
      </c>
      <c r="G2531" s="6">
        <v>4.5</v>
      </c>
      <c r="H2531" s="6">
        <v>0</v>
      </c>
      <c r="I2531" s="7" t="s">
        <v>4447</v>
      </c>
      <c r="J2531" s="3" t="s">
        <v>4317</v>
      </c>
      <c r="K2531" s="8" t="s">
        <v>4595</v>
      </c>
      <c r="L2531" s="9" t="s">
        <v>3943</v>
      </c>
      <c r="M2531" s="1" t="s">
        <v>3944</v>
      </c>
    </row>
    <row r="2532" spans="1:13" x14ac:dyDescent="0.3">
      <c r="A2532" s="3">
        <v>5619009</v>
      </c>
      <c r="B2532" s="4" t="s">
        <v>3926</v>
      </c>
      <c r="C2532" s="5" t="s">
        <v>3938</v>
      </c>
      <c r="D2532" s="5" t="s">
        <v>74</v>
      </c>
      <c r="E2532" s="3" t="s">
        <v>3938</v>
      </c>
      <c r="F2532" s="6">
        <v>59</v>
      </c>
      <c r="G2532" s="6">
        <v>39.5</v>
      </c>
      <c r="H2532" s="6">
        <v>0</v>
      </c>
      <c r="I2532" s="7" t="s">
        <v>4447</v>
      </c>
      <c r="J2532" s="3" t="s">
        <v>4317</v>
      </c>
      <c r="K2532" s="8" t="s">
        <v>4427</v>
      </c>
      <c r="L2532" s="9" t="s">
        <v>3945</v>
      </c>
      <c r="M2532" s="1" t="s">
        <v>3946</v>
      </c>
    </row>
    <row r="2533" spans="1:13" x14ac:dyDescent="0.3">
      <c r="A2533" s="3">
        <v>5610010</v>
      </c>
      <c r="B2533" s="4" t="s">
        <v>3926</v>
      </c>
      <c r="C2533" s="5" t="s">
        <v>3947</v>
      </c>
      <c r="D2533" s="5" t="s">
        <v>96</v>
      </c>
      <c r="E2533" s="3" t="s">
        <v>3948</v>
      </c>
      <c r="F2533" s="6">
        <v>59.9</v>
      </c>
      <c r="G2533" s="6">
        <v>40.4</v>
      </c>
      <c r="H2533" s="6">
        <v>30.3</v>
      </c>
      <c r="I2533" s="7" t="s">
        <v>4315</v>
      </c>
      <c r="J2533" s="3" t="s">
        <v>4317</v>
      </c>
      <c r="K2533" s="8" t="s">
        <v>4609</v>
      </c>
      <c r="L2533" s="9" t="s">
        <v>3949</v>
      </c>
      <c r="M2533" s="1" t="s">
        <v>3950</v>
      </c>
    </row>
    <row r="2534" spans="1:13" x14ac:dyDescent="0.3">
      <c r="A2534" s="3">
        <v>5620011</v>
      </c>
      <c r="B2534" s="4" t="s">
        <v>3926</v>
      </c>
      <c r="C2534" s="5" t="s">
        <v>3947</v>
      </c>
      <c r="D2534" s="5" t="s">
        <v>264</v>
      </c>
      <c r="E2534" s="3" t="s">
        <v>3948</v>
      </c>
      <c r="F2534" s="6">
        <v>59</v>
      </c>
      <c r="G2534" s="6">
        <v>9.5</v>
      </c>
      <c r="H2534" s="6">
        <v>0</v>
      </c>
      <c r="I2534" s="7" t="s">
        <v>4447</v>
      </c>
      <c r="J2534" s="3" t="s">
        <v>4317</v>
      </c>
      <c r="K2534" s="8" t="s">
        <v>4433</v>
      </c>
      <c r="L2534" s="9" t="s">
        <v>3951</v>
      </c>
      <c r="M2534" s="1" t="s">
        <v>3952</v>
      </c>
    </row>
    <row r="2535" spans="1:13" x14ac:dyDescent="0.3">
      <c r="A2535" s="3">
        <v>5621012</v>
      </c>
      <c r="B2535" s="4" t="s">
        <v>3926</v>
      </c>
      <c r="C2535" s="5" t="s">
        <v>3947</v>
      </c>
      <c r="D2535" s="5" t="s">
        <v>267</v>
      </c>
      <c r="E2535" s="3" t="s">
        <v>3948</v>
      </c>
      <c r="F2535" s="6">
        <v>39.5</v>
      </c>
      <c r="G2535" s="6">
        <v>9.5</v>
      </c>
      <c r="H2535" s="6">
        <v>0</v>
      </c>
      <c r="I2535" s="7" t="s">
        <v>4447</v>
      </c>
      <c r="J2535" s="3" t="s">
        <v>4317</v>
      </c>
      <c r="K2535" s="8" t="s">
        <v>4560</v>
      </c>
      <c r="L2535" s="9" t="s">
        <v>3953</v>
      </c>
      <c r="M2535" s="1" t="s">
        <v>3954</v>
      </c>
    </row>
    <row r="2536" spans="1:13" x14ac:dyDescent="0.3">
      <c r="A2536" s="3">
        <v>5619013</v>
      </c>
      <c r="B2536" s="4" t="s">
        <v>3926</v>
      </c>
      <c r="C2536" s="5" t="s">
        <v>3947</v>
      </c>
      <c r="D2536" s="5" t="s">
        <v>74</v>
      </c>
      <c r="E2536" s="3" t="s">
        <v>3948</v>
      </c>
      <c r="F2536" s="6">
        <v>59</v>
      </c>
      <c r="G2536" s="6">
        <v>39.5</v>
      </c>
      <c r="H2536" s="6">
        <v>0</v>
      </c>
      <c r="I2536" s="7" t="s">
        <v>4447</v>
      </c>
      <c r="J2536" s="3" t="s">
        <v>4317</v>
      </c>
      <c r="K2536" s="8" t="s">
        <v>4427</v>
      </c>
      <c r="L2536" s="9" t="s">
        <v>3955</v>
      </c>
      <c r="M2536" s="1" t="s">
        <v>3956</v>
      </c>
    </row>
    <row r="2537" spans="1:13" x14ac:dyDescent="0.3">
      <c r="A2537" s="3">
        <v>5619014</v>
      </c>
      <c r="B2537" s="4" t="s">
        <v>3926</v>
      </c>
      <c r="C2537" s="5" t="s">
        <v>3957</v>
      </c>
      <c r="D2537" s="5" t="s">
        <v>96</v>
      </c>
      <c r="E2537" s="3" t="s">
        <v>3957</v>
      </c>
      <c r="F2537" s="6">
        <v>55.5</v>
      </c>
      <c r="G2537" s="6">
        <v>48.5</v>
      </c>
      <c r="H2537" s="6">
        <v>32.5</v>
      </c>
      <c r="I2537" s="7">
        <v>32</v>
      </c>
      <c r="J2537" s="3" t="s">
        <v>4317</v>
      </c>
      <c r="K2537" s="8">
        <v>1.73</v>
      </c>
      <c r="L2537" s="9" t="s">
        <v>3958</v>
      </c>
      <c r="M2537" s="1" t="s">
        <v>3959</v>
      </c>
    </row>
    <row r="2538" spans="1:13" x14ac:dyDescent="0.3">
      <c r="A2538" s="3">
        <v>5619015</v>
      </c>
      <c r="B2538" s="4" t="s">
        <v>3926</v>
      </c>
      <c r="C2538" s="5" t="s">
        <v>3960</v>
      </c>
      <c r="D2538" s="5" t="s">
        <v>90</v>
      </c>
      <c r="E2538" s="3" t="s">
        <v>3957</v>
      </c>
      <c r="F2538" s="6">
        <v>54.5</v>
      </c>
      <c r="G2538" s="6">
        <v>47.5</v>
      </c>
      <c r="H2538" s="6">
        <v>15.5</v>
      </c>
      <c r="I2538" s="7">
        <v>32</v>
      </c>
      <c r="J2538" s="3" t="s">
        <v>4317</v>
      </c>
      <c r="K2538" s="8">
        <v>0.08</v>
      </c>
      <c r="L2538" s="9" t="s">
        <v>3961</v>
      </c>
      <c r="M2538" s="1" t="s">
        <v>3962</v>
      </c>
    </row>
    <row r="2539" spans="1:13" x14ac:dyDescent="0.3">
      <c r="A2539" s="3">
        <v>5619016</v>
      </c>
      <c r="B2539" s="4" t="s">
        <v>3926</v>
      </c>
      <c r="C2539" s="5" t="s">
        <v>3963</v>
      </c>
      <c r="D2539" s="5" t="s">
        <v>74</v>
      </c>
      <c r="E2539" s="3" t="s">
        <v>3957</v>
      </c>
      <c r="F2539" s="6">
        <v>54.5</v>
      </c>
      <c r="G2539" s="6">
        <v>47</v>
      </c>
      <c r="H2539" s="6"/>
      <c r="I2539" s="7">
        <v>32</v>
      </c>
      <c r="J2539" s="3" t="s">
        <v>4317</v>
      </c>
      <c r="K2539" s="8">
        <v>0.26</v>
      </c>
      <c r="L2539" s="9" t="s">
        <v>3964</v>
      </c>
      <c r="M2539" s="1" t="s">
        <v>3965</v>
      </c>
    </row>
    <row r="2540" spans="1:13" x14ac:dyDescent="0.3">
      <c r="A2540" s="3">
        <v>7110001</v>
      </c>
      <c r="B2540" s="4" t="s">
        <v>3966</v>
      </c>
      <c r="C2540" s="5" t="s">
        <v>3967</v>
      </c>
      <c r="D2540" s="5" t="s">
        <v>96</v>
      </c>
      <c r="E2540" s="3" t="s">
        <v>14</v>
      </c>
      <c r="F2540" s="6">
        <v>42</v>
      </c>
      <c r="G2540" s="6">
        <v>40</v>
      </c>
      <c r="H2540" s="6">
        <v>20</v>
      </c>
      <c r="I2540" s="7" t="s">
        <v>4316</v>
      </c>
      <c r="J2540" s="3" t="s">
        <v>4318</v>
      </c>
      <c r="K2540" s="8" t="s">
        <v>4597</v>
      </c>
      <c r="L2540" s="9" t="s">
        <v>3968</v>
      </c>
      <c r="M2540" s="1" t="s">
        <v>3969</v>
      </c>
    </row>
    <row r="2541" spans="1:13" x14ac:dyDescent="0.3">
      <c r="A2541" s="3">
        <v>7119002</v>
      </c>
      <c r="B2541" s="4" t="s">
        <v>3966</v>
      </c>
      <c r="C2541" s="5" t="s">
        <v>3970</v>
      </c>
      <c r="D2541" s="5" t="s">
        <v>74</v>
      </c>
      <c r="E2541" s="3" t="s">
        <v>3971</v>
      </c>
      <c r="F2541" s="6">
        <v>55</v>
      </c>
      <c r="G2541" s="6">
        <v>33.5</v>
      </c>
      <c r="H2541" s="6">
        <v>0</v>
      </c>
      <c r="I2541" s="7" t="s">
        <v>4344</v>
      </c>
      <c r="J2541" s="3" t="s">
        <v>4377</v>
      </c>
      <c r="K2541" s="8" t="s">
        <v>4424</v>
      </c>
      <c r="L2541" s="9" t="s">
        <v>3972</v>
      </c>
      <c r="M2541" s="1" t="s">
        <v>3973</v>
      </c>
    </row>
    <row r="2542" spans="1:13" x14ac:dyDescent="0.3">
      <c r="A2542" s="3">
        <v>7119003</v>
      </c>
      <c r="B2542" s="4" t="s">
        <v>3966</v>
      </c>
      <c r="C2542" s="5" t="s">
        <v>3266</v>
      </c>
      <c r="D2542" s="5" t="s">
        <v>74</v>
      </c>
      <c r="E2542" s="3" t="s">
        <v>3266</v>
      </c>
      <c r="F2542" s="6">
        <v>55</v>
      </c>
      <c r="G2542" s="6">
        <v>33.5</v>
      </c>
      <c r="H2542" s="6">
        <v>0</v>
      </c>
      <c r="I2542" s="7" t="s">
        <v>4315</v>
      </c>
      <c r="J2542" s="3" t="s">
        <v>4317</v>
      </c>
      <c r="K2542" s="8" t="s">
        <v>4424</v>
      </c>
      <c r="L2542" s="9" t="s">
        <v>3974</v>
      </c>
      <c r="M2542" s="1" t="s">
        <v>3975</v>
      </c>
    </row>
    <row r="2543" spans="1:13" x14ac:dyDescent="0.3">
      <c r="A2543" s="3">
        <v>7120004</v>
      </c>
      <c r="B2543" s="4" t="s">
        <v>3966</v>
      </c>
      <c r="C2543" s="5" t="s">
        <v>3266</v>
      </c>
      <c r="D2543" s="5" t="s">
        <v>264</v>
      </c>
      <c r="E2543" s="3" t="s">
        <v>3266</v>
      </c>
      <c r="F2543" s="6">
        <v>55</v>
      </c>
      <c r="G2543" s="6">
        <v>33.5</v>
      </c>
      <c r="H2543" s="6">
        <v>0</v>
      </c>
      <c r="I2543" s="7" t="s">
        <v>4315</v>
      </c>
      <c r="J2543" s="3" t="s">
        <v>4317</v>
      </c>
      <c r="K2543" s="8" t="s">
        <v>4424</v>
      </c>
      <c r="L2543" s="9" t="s">
        <v>3976</v>
      </c>
      <c r="M2543" s="1" t="s">
        <v>3977</v>
      </c>
    </row>
    <row r="2544" spans="1:13" x14ac:dyDescent="0.3">
      <c r="A2544" s="3">
        <v>7121005</v>
      </c>
      <c r="B2544" s="4" t="s">
        <v>3966</v>
      </c>
      <c r="C2544" s="5" t="s">
        <v>3266</v>
      </c>
      <c r="D2544" s="5" t="s">
        <v>267</v>
      </c>
      <c r="E2544" s="3" t="s">
        <v>3266</v>
      </c>
      <c r="F2544" s="6">
        <v>55</v>
      </c>
      <c r="G2544" s="6">
        <v>33.5</v>
      </c>
      <c r="H2544" s="6">
        <v>0</v>
      </c>
      <c r="I2544" s="7" t="s">
        <v>4315</v>
      </c>
      <c r="J2544" s="3" t="s">
        <v>4317</v>
      </c>
      <c r="K2544" s="8" t="s">
        <v>4424</v>
      </c>
      <c r="L2544" s="9" t="s">
        <v>3978</v>
      </c>
      <c r="M2544" s="1" t="s">
        <v>3979</v>
      </c>
    </row>
    <row r="2545" spans="1:13" x14ac:dyDescent="0.3">
      <c r="A2545" s="3">
        <v>7116006</v>
      </c>
      <c r="B2545" s="4" t="s">
        <v>3966</v>
      </c>
      <c r="C2545" s="5" t="s">
        <v>3266</v>
      </c>
      <c r="D2545" s="5" t="s">
        <v>105</v>
      </c>
      <c r="E2545" s="3" t="s">
        <v>3266</v>
      </c>
      <c r="F2545" s="6">
        <v>74.5</v>
      </c>
      <c r="G2545" s="6">
        <v>70</v>
      </c>
      <c r="H2545" s="6">
        <v>70</v>
      </c>
      <c r="I2545" s="7" t="s">
        <v>4316</v>
      </c>
      <c r="J2545" s="3" t="s">
        <v>4318</v>
      </c>
      <c r="K2545" s="8" t="s">
        <v>4395</v>
      </c>
      <c r="L2545" s="9" t="s">
        <v>3980</v>
      </c>
      <c r="M2545" s="1" t="s">
        <v>3981</v>
      </c>
    </row>
    <row r="2546" spans="1:13" x14ac:dyDescent="0.3">
      <c r="A2546" s="3">
        <v>7114007</v>
      </c>
      <c r="B2546" s="4" t="s">
        <v>3966</v>
      </c>
      <c r="C2546" s="5" t="s">
        <v>3266</v>
      </c>
      <c r="D2546" s="5" t="s">
        <v>392</v>
      </c>
      <c r="E2546" s="3" t="s">
        <v>3266</v>
      </c>
      <c r="F2546" s="6">
        <v>76</v>
      </c>
      <c r="G2546" s="6">
        <v>72</v>
      </c>
      <c r="H2546" s="6">
        <v>12</v>
      </c>
      <c r="I2546" s="7" t="s">
        <v>4316</v>
      </c>
      <c r="J2546" s="3" t="s">
        <v>4318</v>
      </c>
      <c r="K2546" s="8" t="s">
        <v>4351</v>
      </c>
      <c r="L2546" s="9" t="s">
        <v>3982</v>
      </c>
      <c r="M2546" s="1" t="s">
        <v>3983</v>
      </c>
    </row>
    <row r="2547" spans="1:13" x14ac:dyDescent="0.3">
      <c r="A2547" s="3">
        <v>7116008</v>
      </c>
      <c r="B2547" s="4" t="s">
        <v>3966</v>
      </c>
      <c r="C2547" s="5" t="s">
        <v>3984</v>
      </c>
      <c r="D2547" s="5" t="s">
        <v>105</v>
      </c>
      <c r="E2547" s="3" t="s">
        <v>3985</v>
      </c>
      <c r="F2547" s="6">
        <v>115</v>
      </c>
      <c r="G2547" s="6">
        <v>95</v>
      </c>
      <c r="H2547" s="6">
        <v>84.5</v>
      </c>
      <c r="I2547" s="7" t="s">
        <v>4316</v>
      </c>
      <c r="J2547" s="3" t="s">
        <v>4318</v>
      </c>
      <c r="K2547" s="8" t="s">
        <v>4772</v>
      </c>
      <c r="L2547" s="9" t="s">
        <v>3986</v>
      </c>
      <c r="M2547" s="1" t="s">
        <v>3987</v>
      </c>
    </row>
    <row r="2548" spans="1:13" x14ac:dyDescent="0.3">
      <c r="A2548" s="3">
        <v>7120009</v>
      </c>
      <c r="B2548" s="4" t="s">
        <v>3966</v>
      </c>
      <c r="C2548" s="5" t="s">
        <v>3984</v>
      </c>
      <c r="D2548" s="5" t="s">
        <v>264</v>
      </c>
      <c r="E2548" s="3" t="s">
        <v>3985</v>
      </c>
      <c r="F2548" s="6">
        <v>94</v>
      </c>
      <c r="G2548" s="6">
        <v>16.2</v>
      </c>
      <c r="H2548" s="6">
        <v>0</v>
      </c>
      <c r="I2548" s="7" t="s">
        <v>4315</v>
      </c>
      <c r="J2548" s="3" t="s">
        <v>4317</v>
      </c>
      <c r="K2548" s="8" t="s">
        <v>4476</v>
      </c>
      <c r="L2548" s="9" t="s">
        <v>3988</v>
      </c>
      <c r="M2548" s="1" t="s">
        <v>3989</v>
      </c>
    </row>
    <row r="2549" spans="1:13" x14ac:dyDescent="0.3">
      <c r="A2549" s="3">
        <v>7121010</v>
      </c>
      <c r="B2549" s="4" t="s">
        <v>3966</v>
      </c>
      <c r="C2549" s="5" t="s">
        <v>3984</v>
      </c>
      <c r="D2549" s="5" t="s">
        <v>267</v>
      </c>
      <c r="E2549" s="3" t="s">
        <v>3985</v>
      </c>
      <c r="F2549" s="6">
        <v>113.9</v>
      </c>
      <c r="G2549" s="6">
        <v>16.2</v>
      </c>
      <c r="H2549" s="6">
        <v>0</v>
      </c>
      <c r="I2549" s="7" t="s">
        <v>4315</v>
      </c>
      <c r="J2549" s="3" t="s">
        <v>4317</v>
      </c>
      <c r="K2549" s="8" t="s">
        <v>4773</v>
      </c>
      <c r="L2549" s="9" t="s">
        <v>3990</v>
      </c>
      <c r="M2549" s="1" t="s">
        <v>3991</v>
      </c>
    </row>
    <row r="2550" spans="1:13" x14ac:dyDescent="0.3">
      <c r="A2550" s="3">
        <v>7119011</v>
      </c>
      <c r="B2550" s="4" t="s">
        <v>3966</v>
      </c>
      <c r="C2550" s="5" t="s">
        <v>3984</v>
      </c>
      <c r="D2550" s="5" t="s">
        <v>74</v>
      </c>
      <c r="E2550" s="3" t="s">
        <v>3985</v>
      </c>
      <c r="F2550" s="6">
        <v>113</v>
      </c>
      <c r="G2550" s="6">
        <v>93</v>
      </c>
      <c r="H2550" s="6">
        <v>0</v>
      </c>
      <c r="I2550" s="7" t="s">
        <v>4316</v>
      </c>
      <c r="J2550" s="3" t="s">
        <v>4318</v>
      </c>
      <c r="K2550" s="8" t="s">
        <v>4326</v>
      </c>
      <c r="L2550" s="9" t="s">
        <v>3992</v>
      </c>
      <c r="M2550" s="24" t="s">
        <v>3993</v>
      </c>
    </row>
    <row r="2551" spans="1:13" x14ac:dyDescent="0.3">
      <c r="A2551" s="3">
        <v>7114012</v>
      </c>
      <c r="B2551" s="4" t="s">
        <v>3966</v>
      </c>
      <c r="C2551" s="5" t="s">
        <v>3984</v>
      </c>
      <c r="D2551" s="5" t="s">
        <v>392</v>
      </c>
      <c r="E2551" s="3" t="s">
        <v>3985</v>
      </c>
      <c r="F2551" s="6">
        <v>117</v>
      </c>
      <c r="G2551" s="6">
        <v>97</v>
      </c>
      <c r="H2551" s="6">
        <v>12</v>
      </c>
      <c r="I2551" s="7" t="s">
        <v>4316</v>
      </c>
      <c r="J2551" s="3" t="s">
        <v>4318</v>
      </c>
      <c r="K2551" s="8" t="s">
        <v>4613</v>
      </c>
      <c r="L2551" s="9" t="s">
        <v>3994</v>
      </c>
      <c r="M2551" s="1" t="s">
        <v>3995</v>
      </c>
    </row>
    <row r="2552" spans="1:13" x14ac:dyDescent="0.3">
      <c r="A2552" s="3">
        <v>7130013</v>
      </c>
      <c r="B2552" s="4" t="s">
        <v>3966</v>
      </c>
      <c r="C2552" s="5" t="s">
        <v>3984</v>
      </c>
      <c r="D2552" s="5" t="s">
        <v>3996</v>
      </c>
      <c r="E2552" s="3" t="s">
        <v>3985</v>
      </c>
      <c r="F2552" s="6">
        <v>120</v>
      </c>
      <c r="G2552" s="6">
        <v>100</v>
      </c>
      <c r="H2552" s="6">
        <v>0</v>
      </c>
      <c r="I2552" s="7" t="s">
        <v>14</v>
      </c>
      <c r="J2552" s="3" t="s">
        <v>14</v>
      </c>
      <c r="K2552" s="8" t="s">
        <v>4494</v>
      </c>
      <c r="L2552" s="9" t="s">
        <v>3997</v>
      </c>
      <c r="M2552" s="1" t="s">
        <v>3998</v>
      </c>
    </row>
    <row r="2553" spans="1:13" x14ac:dyDescent="0.3">
      <c r="A2553" s="3">
        <v>9116001</v>
      </c>
      <c r="B2553" s="4" t="s">
        <v>3999</v>
      </c>
      <c r="C2553" s="5" t="s">
        <v>4000</v>
      </c>
      <c r="D2553" s="5" t="s">
        <v>105</v>
      </c>
      <c r="E2553" s="3" t="s">
        <v>4001</v>
      </c>
      <c r="F2553" s="6">
        <v>114</v>
      </c>
      <c r="G2553" s="6">
        <v>114</v>
      </c>
      <c r="H2553" s="6">
        <v>66</v>
      </c>
      <c r="I2553" s="3" t="s">
        <v>4345</v>
      </c>
      <c r="J2553" s="3" t="s">
        <v>4347</v>
      </c>
      <c r="K2553" s="8" t="s">
        <v>4353</v>
      </c>
      <c r="L2553" s="9" t="s">
        <v>4002</v>
      </c>
      <c r="M2553" s="1" t="s">
        <v>4003</v>
      </c>
    </row>
    <row r="2554" spans="1:13" x14ac:dyDescent="0.3">
      <c r="A2554" s="3">
        <v>9114002</v>
      </c>
      <c r="B2554" s="4" t="s">
        <v>3999</v>
      </c>
      <c r="C2554" s="5" t="s">
        <v>4004</v>
      </c>
      <c r="D2554" s="5" t="s">
        <v>392</v>
      </c>
      <c r="E2554" s="3" t="s">
        <v>4001</v>
      </c>
      <c r="F2554" s="6">
        <v>116.5</v>
      </c>
      <c r="G2554" s="6">
        <v>116.5</v>
      </c>
      <c r="H2554" s="6">
        <v>10</v>
      </c>
      <c r="I2554" s="3" t="s">
        <v>4316</v>
      </c>
      <c r="J2554" s="3" t="s">
        <v>4318</v>
      </c>
      <c r="K2554" s="8" t="s">
        <v>4608</v>
      </c>
      <c r="L2554" s="9" t="s">
        <v>4005</v>
      </c>
      <c r="M2554" s="1" t="s">
        <v>4006</v>
      </c>
    </row>
    <row r="2555" spans="1:13" x14ac:dyDescent="0.3">
      <c r="A2555" s="3">
        <v>9119003</v>
      </c>
      <c r="B2555" s="4" t="s">
        <v>3999</v>
      </c>
      <c r="C2555" s="5" t="s">
        <v>4007</v>
      </c>
      <c r="D2555" s="5" t="s">
        <v>74</v>
      </c>
      <c r="E2555" s="3" t="s">
        <v>4001</v>
      </c>
      <c r="F2555" s="6">
        <v>111.5</v>
      </c>
      <c r="G2555" s="6">
        <v>111.5</v>
      </c>
      <c r="H2555" s="6">
        <v>0</v>
      </c>
      <c r="I2555" s="3" t="s">
        <v>4447</v>
      </c>
      <c r="J2555" s="3" t="s">
        <v>4317</v>
      </c>
      <c r="K2555" s="8" t="s">
        <v>4514</v>
      </c>
      <c r="L2555" s="9" t="s">
        <v>4008</v>
      </c>
      <c r="M2555" s="1" t="s">
        <v>4009</v>
      </c>
    </row>
    <row r="2556" spans="1:13" x14ac:dyDescent="0.3">
      <c r="A2556" s="3">
        <v>9116004</v>
      </c>
      <c r="B2556" s="4" t="s">
        <v>3999</v>
      </c>
      <c r="C2556" s="5" t="s">
        <v>4010</v>
      </c>
      <c r="D2556" s="5" t="s">
        <v>105</v>
      </c>
      <c r="E2556" s="3" t="s">
        <v>4001</v>
      </c>
      <c r="F2556" s="6">
        <v>114</v>
      </c>
      <c r="G2556" s="6">
        <v>100.5</v>
      </c>
      <c r="H2556" s="6">
        <v>66</v>
      </c>
      <c r="I2556" s="3" t="s">
        <v>4345</v>
      </c>
      <c r="J2556" s="3" t="s">
        <v>4347</v>
      </c>
      <c r="K2556" s="8" t="s">
        <v>4643</v>
      </c>
      <c r="L2556" s="9" t="s">
        <v>4011</v>
      </c>
      <c r="M2556" s="1" t="s">
        <v>4012</v>
      </c>
    </row>
    <row r="2557" spans="1:13" x14ac:dyDescent="0.3">
      <c r="A2557" s="3">
        <v>9114005</v>
      </c>
      <c r="B2557" s="4" t="s">
        <v>3999</v>
      </c>
      <c r="C2557" s="5" t="s">
        <v>4013</v>
      </c>
      <c r="D2557" s="5" t="s">
        <v>392</v>
      </c>
      <c r="E2557" s="3" t="s">
        <v>4014</v>
      </c>
      <c r="F2557" s="6">
        <v>116.5</v>
      </c>
      <c r="G2557" s="6">
        <v>103</v>
      </c>
      <c r="H2557" s="6">
        <v>10</v>
      </c>
      <c r="I2557" s="3" t="s">
        <v>4316</v>
      </c>
      <c r="J2557" s="3" t="s">
        <v>4318</v>
      </c>
      <c r="K2557" s="8" t="s">
        <v>4686</v>
      </c>
      <c r="L2557" s="9" t="s">
        <v>4015</v>
      </c>
      <c r="M2557" s="1" t="s">
        <v>4016</v>
      </c>
    </row>
    <row r="2558" spans="1:13" x14ac:dyDescent="0.3">
      <c r="A2558" s="3">
        <v>9119006</v>
      </c>
      <c r="B2558" s="4" t="s">
        <v>3999</v>
      </c>
      <c r="C2558" s="5" t="s">
        <v>4017</v>
      </c>
      <c r="D2558" s="5" t="s">
        <v>74</v>
      </c>
      <c r="E2558" s="3" t="s">
        <v>4014</v>
      </c>
      <c r="F2558" s="6">
        <v>111.5</v>
      </c>
      <c r="G2558" s="6">
        <v>98</v>
      </c>
      <c r="H2558" s="6">
        <v>0</v>
      </c>
      <c r="I2558" s="3" t="s">
        <v>4447</v>
      </c>
      <c r="J2558" s="3" t="s">
        <v>4317</v>
      </c>
      <c r="K2558" s="8" t="s">
        <v>4571</v>
      </c>
      <c r="L2558" s="9" t="s">
        <v>4018</v>
      </c>
      <c r="M2558" s="1" t="s">
        <v>4019</v>
      </c>
    </row>
    <row r="2559" spans="1:13" x14ac:dyDescent="0.3">
      <c r="A2559" s="3">
        <v>9110007</v>
      </c>
      <c r="B2559" s="4" t="s">
        <v>3999</v>
      </c>
      <c r="C2559" s="5" t="s">
        <v>4020</v>
      </c>
      <c r="D2559" s="5" t="s">
        <v>96</v>
      </c>
      <c r="E2559" s="3" t="s">
        <v>4021</v>
      </c>
      <c r="F2559" s="6">
        <v>34.200000000000003</v>
      </c>
      <c r="G2559" s="6">
        <v>26.7</v>
      </c>
      <c r="H2559" s="6">
        <v>14.4</v>
      </c>
      <c r="I2559" s="3" t="s">
        <v>4446</v>
      </c>
      <c r="J2559" s="3" t="s">
        <v>4318</v>
      </c>
      <c r="K2559" s="8" t="s">
        <v>4526</v>
      </c>
      <c r="L2559" s="9" t="s">
        <v>4022</v>
      </c>
      <c r="M2559" s="1" t="s">
        <v>4023</v>
      </c>
    </row>
    <row r="2560" spans="1:13" x14ac:dyDescent="0.3">
      <c r="A2560" s="3">
        <v>9110008</v>
      </c>
      <c r="B2560" s="4" t="s">
        <v>3999</v>
      </c>
      <c r="C2560" s="5" t="s">
        <v>4024</v>
      </c>
      <c r="D2560" s="5" t="s">
        <v>96</v>
      </c>
      <c r="E2560" s="3" t="s">
        <v>4025</v>
      </c>
      <c r="F2560" s="6">
        <v>103.2</v>
      </c>
      <c r="G2560" s="6">
        <v>36.700000000000003</v>
      </c>
      <c r="H2560" s="6">
        <v>36.4</v>
      </c>
      <c r="I2560" s="3" t="s">
        <v>4446</v>
      </c>
      <c r="J2560" s="3" t="s">
        <v>4318</v>
      </c>
      <c r="K2560" s="8" t="s">
        <v>4723</v>
      </c>
      <c r="L2560" s="9" t="s">
        <v>4026</v>
      </c>
      <c r="M2560" s="1" t="s">
        <v>4027</v>
      </c>
    </row>
    <row r="2561" spans="1:13" x14ac:dyDescent="0.3">
      <c r="A2561" s="3">
        <v>9110009</v>
      </c>
      <c r="B2561" s="4" t="s">
        <v>3999</v>
      </c>
      <c r="C2561" s="5" t="s">
        <v>4028</v>
      </c>
      <c r="D2561" s="5" t="s">
        <v>96</v>
      </c>
      <c r="E2561" s="3" t="s">
        <v>4029</v>
      </c>
      <c r="F2561" s="6">
        <v>53.4</v>
      </c>
      <c r="G2561" s="6">
        <v>28.4</v>
      </c>
      <c r="H2561" s="6">
        <v>24.8</v>
      </c>
      <c r="I2561" s="3" t="s">
        <v>4748</v>
      </c>
      <c r="J2561" s="3" t="s">
        <v>4317</v>
      </c>
      <c r="K2561" s="8" t="s">
        <v>4476</v>
      </c>
      <c r="L2561" s="9" t="s">
        <v>4030</v>
      </c>
      <c r="M2561" s="1" t="s">
        <v>4031</v>
      </c>
    </row>
    <row r="2562" spans="1:13" x14ac:dyDescent="0.3">
      <c r="A2562" s="3">
        <v>9110010</v>
      </c>
      <c r="B2562" s="4" t="s">
        <v>3999</v>
      </c>
      <c r="C2562" s="5" t="s">
        <v>4032</v>
      </c>
      <c r="D2562" s="5" t="s">
        <v>96</v>
      </c>
      <c r="E2562" s="3" t="s">
        <v>4033</v>
      </c>
      <c r="F2562" s="6">
        <v>54.7</v>
      </c>
      <c r="G2562" s="6">
        <v>45.7</v>
      </c>
      <c r="H2562" s="6">
        <v>20.399999999999999</v>
      </c>
      <c r="I2562" s="3" t="s">
        <v>4446</v>
      </c>
      <c r="J2562" s="3" t="s">
        <v>4318</v>
      </c>
      <c r="K2562" s="8" t="s">
        <v>4689</v>
      </c>
      <c r="L2562" s="9" t="s">
        <v>4034</v>
      </c>
      <c r="M2562" s="1" t="s">
        <v>4035</v>
      </c>
    </row>
    <row r="2563" spans="1:13" x14ac:dyDescent="0.3">
      <c r="A2563" s="3">
        <v>9110011</v>
      </c>
      <c r="B2563" s="4" t="s">
        <v>3999</v>
      </c>
      <c r="C2563" s="5" t="s">
        <v>4036</v>
      </c>
      <c r="D2563" s="5" t="s">
        <v>96</v>
      </c>
      <c r="E2563" s="3" t="s">
        <v>4037</v>
      </c>
      <c r="F2563" s="6">
        <v>57.7</v>
      </c>
      <c r="G2563" s="6">
        <v>44.7</v>
      </c>
      <c r="H2563" s="6">
        <v>20.399999999999999</v>
      </c>
      <c r="I2563" s="3" t="s">
        <v>4446</v>
      </c>
      <c r="J2563" s="3" t="s">
        <v>4318</v>
      </c>
      <c r="K2563" s="8" t="s">
        <v>4518</v>
      </c>
      <c r="L2563" s="9" t="s">
        <v>4038</v>
      </c>
      <c r="M2563" s="1" t="s">
        <v>4039</v>
      </c>
    </row>
    <row r="2564" spans="1:13" x14ac:dyDescent="0.3">
      <c r="A2564" s="3">
        <v>4210001</v>
      </c>
      <c r="B2564" s="4" t="s">
        <v>4040</v>
      </c>
      <c r="C2564" s="5" t="s">
        <v>3494</v>
      </c>
      <c r="D2564" s="5" t="s">
        <v>96</v>
      </c>
      <c r="E2564" s="3" t="s">
        <v>14</v>
      </c>
      <c r="F2564" s="6">
        <v>84</v>
      </c>
      <c r="G2564" s="6">
        <v>67</v>
      </c>
      <c r="H2564" s="6">
        <v>70</v>
      </c>
      <c r="I2564" s="7" t="s">
        <v>4316</v>
      </c>
      <c r="J2564" s="3" t="s">
        <v>4318</v>
      </c>
      <c r="K2564" s="8" t="s">
        <v>4615</v>
      </c>
      <c r="L2564" s="9" t="s">
        <v>4041</v>
      </c>
      <c r="M2564" s="1" t="s">
        <v>4042</v>
      </c>
    </row>
    <row r="2565" spans="1:13" x14ac:dyDescent="0.3">
      <c r="A2565" s="3">
        <v>4210002</v>
      </c>
      <c r="B2565" s="4" t="s">
        <v>4040</v>
      </c>
      <c r="C2565" s="5" t="s">
        <v>4043</v>
      </c>
      <c r="D2565" s="5" t="s">
        <v>96</v>
      </c>
      <c r="E2565" s="3" t="s">
        <v>14</v>
      </c>
      <c r="F2565" s="6">
        <v>59.6</v>
      </c>
      <c r="G2565" s="6">
        <v>59.4</v>
      </c>
      <c r="H2565" s="6">
        <v>31.5</v>
      </c>
      <c r="I2565" s="7" t="s">
        <v>4316</v>
      </c>
      <c r="J2565" s="3" t="s">
        <v>4318</v>
      </c>
      <c r="K2565" s="8" t="s">
        <v>4744</v>
      </c>
      <c r="L2565" s="9" t="s">
        <v>4044</v>
      </c>
      <c r="M2565" s="1" t="s">
        <v>4045</v>
      </c>
    </row>
    <row r="2566" spans="1:13" x14ac:dyDescent="0.3">
      <c r="A2566" s="3">
        <v>4212003</v>
      </c>
      <c r="B2566" s="4" t="s">
        <v>4040</v>
      </c>
      <c r="C2566" s="5" t="s">
        <v>4046</v>
      </c>
      <c r="D2566" s="5" t="s">
        <v>2654</v>
      </c>
      <c r="E2566" s="3" t="s">
        <v>14</v>
      </c>
      <c r="F2566" s="6">
        <v>146.80000000000001</v>
      </c>
      <c r="G2566" s="6">
        <v>83.3</v>
      </c>
      <c r="H2566" s="6">
        <v>12.7</v>
      </c>
      <c r="I2566" s="7" t="s">
        <v>4316</v>
      </c>
      <c r="J2566" s="3" t="s">
        <v>4318</v>
      </c>
      <c r="K2566" s="8" t="s">
        <v>4411</v>
      </c>
      <c r="L2566" s="9" t="s">
        <v>4047</v>
      </c>
      <c r="M2566" s="1" t="s">
        <v>4048</v>
      </c>
    </row>
    <row r="2567" spans="1:13" x14ac:dyDescent="0.3">
      <c r="A2567" s="3">
        <v>4210004</v>
      </c>
      <c r="B2567" s="4" t="s">
        <v>4040</v>
      </c>
      <c r="C2567" s="5" t="s">
        <v>4049</v>
      </c>
      <c r="D2567" s="5" t="s">
        <v>96</v>
      </c>
      <c r="E2567" s="3" t="s">
        <v>14</v>
      </c>
      <c r="F2567" s="6">
        <v>20.8</v>
      </c>
      <c r="G2567" s="6">
        <v>13.5</v>
      </c>
      <c r="H2567" s="6">
        <v>8.5</v>
      </c>
      <c r="I2567" s="7" t="s">
        <v>4315</v>
      </c>
      <c r="J2567" s="3" t="s">
        <v>4317</v>
      </c>
      <c r="K2567" s="8" t="s">
        <v>4433</v>
      </c>
      <c r="L2567" s="9" t="s">
        <v>4050</v>
      </c>
      <c r="M2567" s="1" t="s">
        <v>4051</v>
      </c>
    </row>
    <row r="2568" spans="1:13" x14ac:dyDescent="0.3">
      <c r="A2568" s="3">
        <v>4213005</v>
      </c>
      <c r="B2568" s="4" t="s">
        <v>4040</v>
      </c>
      <c r="C2568" s="5" t="s">
        <v>2725</v>
      </c>
      <c r="D2568" s="5" t="s">
        <v>491</v>
      </c>
      <c r="E2568" s="3" t="s">
        <v>14</v>
      </c>
      <c r="F2568" s="6">
        <v>38.4</v>
      </c>
      <c r="G2568" s="6">
        <v>38.4</v>
      </c>
      <c r="H2568" s="6">
        <v>10.4</v>
      </c>
      <c r="I2568" s="7" t="s">
        <v>4315</v>
      </c>
      <c r="J2568" s="3" t="s">
        <v>4317</v>
      </c>
      <c r="K2568" s="8" t="s">
        <v>4554</v>
      </c>
      <c r="L2568" s="9" t="s">
        <v>4052</v>
      </c>
      <c r="M2568" s="1" t="s">
        <v>4053</v>
      </c>
    </row>
    <row r="2569" spans="1:13" x14ac:dyDescent="0.3">
      <c r="A2569" s="3">
        <v>4213006</v>
      </c>
      <c r="B2569" s="4" t="s">
        <v>4040</v>
      </c>
      <c r="C2569" s="5" t="s">
        <v>4054</v>
      </c>
      <c r="D2569" s="5" t="s">
        <v>491</v>
      </c>
      <c r="E2569" s="3" t="s">
        <v>14</v>
      </c>
      <c r="F2569" s="6">
        <v>30.9</v>
      </c>
      <c r="G2569" s="6">
        <v>20.399999999999999</v>
      </c>
      <c r="H2569" s="6">
        <v>9.4</v>
      </c>
      <c r="I2569" s="7" t="s">
        <v>4315</v>
      </c>
      <c r="J2569" s="3" t="s">
        <v>4317</v>
      </c>
      <c r="K2569" s="8" t="s">
        <v>4391</v>
      </c>
      <c r="L2569" s="9" t="s">
        <v>4055</v>
      </c>
      <c r="M2569" s="1" t="s">
        <v>4056</v>
      </c>
    </row>
    <row r="2570" spans="1:13" x14ac:dyDescent="0.3">
      <c r="A2570" s="3">
        <v>4213007</v>
      </c>
      <c r="B2570" s="4" t="s">
        <v>4040</v>
      </c>
      <c r="C2570" s="5" t="s">
        <v>4057</v>
      </c>
      <c r="D2570" s="5" t="s">
        <v>491</v>
      </c>
      <c r="E2570" s="3" t="s">
        <v>14</v>
      </c>
      <c r="F2570" s="6">
        <v>76.400000000000006</v>
      </c>
      <c r="G2570" s="6">
        <v>41.4</v>
      </c>
      <c r="H2570" s="6">
        <v>9.9</v>
      </c>
      <c r="I2570" s="7" t="s">
        <v>4315</v>
      </c>
      <c r="J2570" s="3" t="s">
        <v>4317</v>
      </c>
      <c r="K2570" s="8" t="s">
        <v>4480</v>
      </c>
      <c r="L2570" s="9" t="s">
        <v>4058</v>
      </c>
      <c r="M2570" s="1" t="s">
        <v>4059</v>
      </c>
    </row>
    <row r="2571" spans="1:13" x14ac:dyDescent="0.3">
      <c r="A2571" s="3">
        <v>4213008</v>
      </c>
      <c r="B2571" s="4" t="s">
        <v>4040</v>
      </c>
      <c r="C2571" s="5" t="s">
        <v>2739</v>
      </c>
      <c r="D2571" s="5" t="s">
        <v>491</v>
      </c>
      <c r="E2571" s="3" t="s">
        <v>14</v>
      </c>
      <c r="F2571" s="6">
        <v>79.900000000000006</v>
      </c>
      <c r="G2571" s="6">
        <v>50.9</v>
      </c>
      <c r="H2571" s="6">
        <v>12.9</v>
      </c>
      <c r="I2571" s="7" t="s">
        <v>4315</v>
      </c>
      <c r="J2571" s="3" t="s">
        <v>4317</v>
      </c>
      <c r="K2571" s="8" t="s">
        <v>4682</v>
      </c>
      <c r="L2571" s="9" t="s">
        <v>4060</v>
      </c>
      <c r="M2571" s="1" t="s">
        <v>4061</v>
      </c>
    </row>
    <row r="2572" spans="1:13" x14ac:dyDescent="0.3">
      <c r="A2572" s="3">
        <v>4213009</v>
      </c>
      <c r="B2572" s="4" t="s">
        <v>4040</v>
      </c>
      <c r="C2572" s="5" t="s">
        <v>4062</v>
      </c>
      <c r="D2572" s="5" t="s">
        <v>491</v>
      </c>
      <c r="E2572" s="3" t="s">
        <v>14</v>
      </c>
      <c r="F2572" s="6">
        <v>36.4</v>
      </c>
      <c r="G2572" s="6">
        <v>36.4</v>
      </c>
      <c r="H2572" s="6">
        <v>8.1</v>
      </c>
      <c r="I2572" s="7" t="s">
        <v>4315</v>
      </c>
      <c r="J2572" s="3" t="s">
        <v>4317</v>
      </c>
      <c r="K2572" s="8" t="s">
        <v>4389</v>
      </c>
      <c r="L2572" s="9" t="s">
        <v>4063</v>
      </c>
      <c r="M2572" s="1" t="s">
        <v>4064</v>
      </c>
    </row>
    <row r="2573" spans="1:13" x14ac:dyDescent="0.3">
      <c r="A2573" s="3">
        <v>4212010</v>
      </c>
      <c r="B2573" s="4" t="s">
        <v>4040</v>
      </c>
      <c r="C2573" s="5" t="s">
        <v>4065</v>
      </c>
      <c r="D2573" s="5" t="s">
        <v>2654</v>
      </c>
      <c r="E2573" s="3" t="s">
        <v>14</v>
      </c>
      <c r="F2573" s="6">
        <v>293.10000000000002</v>
      </c>
      <c r="G2573" s="6">
        <v>26.4</v>
      </c>
      <c r="H2573" s="6">
        <v>15.7</v>
      </c>
      <c r="I2573" s="7" t="s">
        <v>4316</v>
      </c>
      <c r="J2573" s="3" t="s">
        <v>4318</v>
      </c>
      <c r="K2573" s="8" t="s">
        <v>4493</v>
      </c>
      <c r="L2573" s="9" t="s">
        <v>4066</v>
      </c>
      <c r="M2573" s="1" t="s">
        <v>4067</v>
      </c>
    </row>
    <row r="2574" spans="1:13" x14ac:dyDescent="0.3">
      <c r="A2574" s="3">
        <v>4214011</v>
      </c>
      <c r="B2574" s="4" t="s">
        <v>4040</v>
      </c>
      <c r="C2574" s="5" t="s">
        <v>4068</v>
      </c>
      <c r="D2574" s="5" t="s">
        <v>392</v>
      </c>
      <c r="E2574" s="3" t="s">
        <v>14</v>
      </c>
      <c r="F2574" s="6">
        <v>294.5</v>
      </c>
      <c r="G2574" s="6">
        <v>29</v>
      </c>
      <c r="H2574" s="6">
        <v>16.2</v>
      </c>
      <c r="I2574" s="7" t="s">
        <v>4316</v>
      </c>
      <c r="J2574" s="3" t="s">
        <v>4318</v>
      </c>
      <c r="K2574" s="8" t="s">
        <v>4694</v>
      </c>
      <c r="L2574" s="9" t="s">
        <v>4069</v>
      </c>
      <c r="M2574" s="1" t="s">
        <v>4070</v>
      </c>
    </row>
    <row r="2575" spans="1:13" x14ac:dyDescent="0.3">
      <c r="A2575" s="3">
        <v>4210012</v>
      </c>
      <c r="B2575" s="4" t="s">
        <v>4040</v>
      </c>
      <c r="C2575" s="5" t="s">
        <v>4071</v>
      </c>
      <c r="D2575" s="5" t="s">
        <v>96</v>
      </c>
      <c r="E2575" s="3" t="s">
        <v>14</v>
      </c>
      <c r="F2575" s="6">
        <v>82.3</v>
      </c>
      <c r="G2575" s="6">
        <v>53.9</v>
      </c>
      <c r="H2575" s="6">
        <v>13.7</v>
      </c>
      <c r="I2575" s="7" t="s">
        <v>4316</v>
      </c>
      <c r="J2575" s="3" t="s">
        <v>4318</v>
      </c>
      <c r="K2575" s="8" t="s">
        <v>4703</v>
      </c>
      <c r="L2575" s="9" t="s">
        <v>4072</v>
      </c>
      <c r="M2575" s="1" t="s">
        <v>4073</v>
      </c>
    </row>
    <row r="2576" spans="1:13" x14ac:dyDescent="0.3">
      <c r="A2576" s="3">
        <v>4214013</v>
      </c>
      <c r="B2576" s="4" t="s">
        <v>4040</v>
      </c>
      <c r="C2576" s="5" t="s">
        <v>4074</v>
      </c>
      <c r="D2576" s="5" t="s">
        <v>392</v>
      </c>
      <c r="E2576" s="3" t="s">
        <v>14</v>
      </c>
      <c r="F2576" s="6">
        <v>29.9</v>
      </c>
      <c r="G2576" s="6">
        <v>13.4</v>
      </c>
      <c r="H2576" s="6">
        <v>5.8</v>
      </c>
      <c r="I2576" s="7" t="s">
        <v>4315</v>
      </c>
      <c r="J2576" s="3" t="s">
        <v>4317</v>
      </c>
      <c r="K2576" s="8" t="s">
        <v>4430</v>
      </c>
      <c r="L2576" s="9" t="s">
        <v>4075</v>
      </c>
      <c r="M2576" s="24" t="s">
        <v>4076</v>
      </c>
    </row>
    <row r="2577" spans="1:13" x14ac:dyDescent="0.3">
      <c r="A2577" s="3">
        <v>4214014</v>
      </c>
      <c r="B2577" s="4" t="s">
        <v>4040</v>
      </c>
      <c r="C2577" s="5" t="s">
        <v>4077</v>
      </c>
      <c r="D2577" s="5" t="s">
        <v>392</v>
      </c>
      <c r="E2577" s="3" t="s">
        <v>14</v>
      </c>
      <c r="F2577" s="6">
        <v>16.8</v>
      </c>
      <c r="G2577" s="6">
        <v>15</v>
      </c>
      <c r="H2577" s="6">
        <v>6.8</v>
      </c>
      <c r="I2577" s="7" t="s">
        <v>4315</v>
      </c>
      <c r="J2577" s="3" t="s">
        <v>4317</v>
      </c>
      <c r="K2577" s="8" t="s">
        <v>4575</v>
      </c>
      <c r="L2577" s="9" t="s">
        <v>4078</v>
      </c>
      <c r="M2577" s="1" t="s">
        <v>4079</v>
      </c>
    </row>
    <row r="2578" spans="1:13" x14ac:dyDescent="0.3">
      <c r="A2578" s="3">
        <v>4210015</v>
      </c>
      <c r="B2578" s="4" t="s">
        <v>4040</v>
      </c>
      <c r="C2578" s="5" t="s">
        <v>4080</v>
      </c>
      <c r="D2578" s="5" t="s">
        <v>96</v>
      </c>
      <c r="E2578" s="3" t="s">
        <v>14</v>
      </c>
      <c r="F2578" s="6">
        <v>81.8</v>
      </c>
      <c r="G2578" s="6">
        <v>53.8</v>
      </c>
      <c r="H2578" s="6">
        <v>38.6</v>
      </c>
      <c r="I2578" s="7" t="s">
        <v>4315</v>
      </c>
      <c r="J2578" s="3" t="s">
        <v>4317</v>
      </c>
      <c r="K2578" s="8" t="s">
        <v>4753</v>
      </c>
      <c r="L2578" s="9" t="s">
        <v>4081</v>
      </c>
      <c r="M2578" s="1" t="s">
        <v>4082</v>
      </c>
    </row>
    <row r="2579" spans="1:13" x14ac:dyDescent="0.3">
      <c r="A2579" s="3">
        <v>4213016</v>
      </c>
      <c r="B2579" s="4" t="s">
        <v>4040</v>
      </c>
      <c r="C2579" s="5" t="s">
        <v>4083</v>
      </c>
      <c r="D2579" s="5" t="s">
        <v>491</v>
      </c>
      <c r="E2579" s="3" t="s">
        <v>14</v>
      </c>
      <c r="F2579" s="6">
        <v>51.4</v>
      </c>
      <c r="G2579" s="6">
        <v>53.9</v>
      </c>
      <c r="H2579" s="6">
        <v>12.9</v>
      </c>
      <c r="I2579" s="7" t="s">
        <v>4315</v>
      </c>
      <c r="J2579" s="3" t="s">
        <v>4317</v>
      </c>
      <c r="K2579" s="8" t="s">
        <v>4547</v>
      </c>
      <c r="L2579" s="9" t="s">
        <v>4084</v>
      </c>
      <c r="M2579" s="1" t="s">
        <v>4085</v>
      </c>
    </row>
    <row r="2580" spans="1:13" x14ac:dyDescent="0.3">
      <c r="A2580" s="3">
        <v>4210017</v>
      </c>
      <c r="B2580" s="4" t="s">
        <v>4040</v>
      </c>
      <c r="C2580" s="5" t="s">
        <v>4086</v>
      </c>
      <c r="D2580" s="5" t="s">
        <v>96</v>
      </c>
      <c r="E2580" s="3" t="s">
        <v>14</v>
      </c>
      <c r="F2580" s="6">
        <v>51.8</v>
      </c>
      <c r="G2580" s="6">
        <v>51.8</v>
      </c>
      <c r="H2580" s="6">
        <v>50.5</v>
      </c>
      <c r="I2580" s="7" t="s">
        <v>4316</v>
      </c>
      <c r="J2580" s="3" t="s">
        <v>4318</v>
      </c>
      <c r="K2580" s="8" t="s">
        <v>4543</v>
      </c>
      <c r="L2580" s="9" t="s">
        <v>4087</v>
      </c>
      <c r="M2580" s="1" t="s">
        <v>4088</v>
      </c>
    </row>
    <row r="2581" spans="1:13" x14ac:dyDescent="0.3">
      <c r="A2581" s="3">
        <v>4210018</v>
      </c>
      <c r="B2581" s="4" t="s">
        <v>4040</v>
      </c>
      <c r="C2581" s="5" t="s">
        <v>4089</v>
      </c>
      <c r="D2581" s="5" t="s">
        <v>96</v>
      </c>
      <c r="E2581" s="3" t="s">
        <v>14</v>
      </c>
      <c r="F2581" s="6">
        <v>59.4</v>
      </c>
      <c r="G2581" s="6">
        <v>59</v>
      </c>
      <c r="H2581" s="6">
        <v>51.8</v>
      </c>
      <c r="I2581" s="7" t="s">
        <v>4316</v>
      </c>
      <c r="J2581" s="3" t="s">
        <v>4318</v>
      </c>
      <c r="K2581" s="8" t="s">
        <v>4774</v>
      </c>
      <c r="L2581" s="9" t="s">
        <v>4090</v>
      </c>
      <c r="M2581" s="1" t="s">
        <v>4091</v>
      </c>
    </row>
    <row r="2582" spans="1:13" x14ac:dyDescent="0.3">
      <c r="A2582" s="3">
        <v>4210019</v>
      </c>
      <c r="B2582" s="4" t="s">
        <v>4040</v>
      </c>
      <c r="C2582" s="5" t="s">
        <v>4092</v>
      </c>
      <c r="D2582" s="5" t="s">
        <v>96</v>
      </c>
      <c r="E2582" s="3" t="s">
        <v>14</v>
      </c>
      <c r="F2582" s="6">
        <v>95</v>
      </c>
      <c r="G2582" s="6">
        <v>41.6</v>
      </c>
      <c r="H2582" s="6">
        <v>64.5</v>
      </c>
      <c r="I2582" s="7" t="s">
        <v>4316</v>
      </c>
      <c r="J2582" s="3" t="s">
        <v>4318</v>
      </c>
      <c r="K2582" s="8" t="s">
        <v>4715</v>
      </c>
      <c r="L2582" s="9" t="s">
        <v>4093</v>
      </c>
      <c r="M2582" s="1" t="s">
        <v>4094</v>
      </c>
    </row>
    <row r="2583" spans="1:13" x14ac:dyDescent="0.3">
      <c r="A2583" s="3">
        <v>4210020</v>
      </c>
      <c r="B2583" s="4" t="s">
        <v>4040</v>
      </c>
      <c r="C2583" s="5" t="s">
        <v>4095</v>
      </c>
      <c r="D2583" s="5" t="s">
        <v>96</v>
      </c>
      <c r="E2583" s="3" t="s">
        <v>14</v>
      </c>
      <c r="F2583" s="6">
        <v>84.8</v>
      </c>
      <c r="G2583" s="6">
        <v>54.3</v>
      </c>
      <c r="H2583" s="6">
        <v>32.5</v>
      </c>
      <c r="I2583" s="7" t="s">
        <v>4316</v>
      </c>
      <c r="J2583" s="3" t="s">
        <v>4318</v>
      </c>
      <c r="K2583" s="8" t="s">
        <v>4390</v>
      </c>
      <c r="L2583" s="9" t="s">
        <v>4096</v>
      </c>
      <c r="M2583" s="1" t="s">
        <v>4097</v>
      </c>
    </row>
    <row r="2584" spans="1:13" x14ac:dyDescent="0.3">
      <c r="A2584" s="3">
        <v>4210021</v>
      </c>
      <c r="B2584" s="4" t="s">
        <v>4040</v>
      </c>
      <c r="C2584" s="5" t="s">
        <v>4098</v>
      </c>
      <c r="D2584" s="5" t="s">
        <v>96</v>
      </c>
      <c r="E2584" s="3" t="s">
        <v>14</v>
      </c>
      <c r="F2584" s="6">
        <v>42.9</v>
      </c>
      <c r="G2584" s="6">
        <v>42.9</v>
      </c>
      <c r="H2584" s="6">
        <v>22.6</v>
      </c>
      <c r="I2584" s="7" t="s">
        <v>4316</v>
      </c>
      <c r="J2584" s="3" t="s">
        <v>4318</v>
      </c>
      <c r="K2584" s="8" t="s">
        <v>4435</v>
      </c>
      <c r="L2584" s="9" t="s">
        <v>4099</v>
      </c>
      <c r="M2584" s="1" t="s">
        <v>4100</v>
      </c>
    </row>
    <row r="2585" spans="1:13" x14ac:dyDescent="0.3">
      <c r="A2585" s="3">
        <v>4210022</v>
      </c>
      <c r="B2585" s="4" t="s">
        <v>4040</v>
      </c>
      <c r="C2585" s="5" t="s">
        <v>4101</v>
      </c>
      <c r="D2585" s="5" t="s">
        <v>96</v>
      </c>
      <c r="E2585" s="3" t="s">
        <v>14</v>
      </c>
      <c r="F2585" s="6">
        <v>42.9</v>
      </c>
      <c r="G2585" s="6">
        <v>42.9</v>
      </c>
      <c r="H2585" s="6">
        <v>48</v>
      </c>
      <c r="I2585" s="7" t="s">
        <v>4316</v>
      </c>
      <c r="J2585" s="3" t="s">
        <v>4318</v>
      </c>
      <c r="K2585" s="8" t="s">
        <v>4592</v>
      </c>
      <c r="L2585" s="9" t="s">
        <v>4102</v>
      </c>
      <c r="M2585" s="1" t="s">
        <v>4103</v>
      </c>
    </row>
    <row r="2586" spans="1:13" x14ac:dyDescent="0.3">
      <c r="A2586" s="3">
        <v>4213023</v>
      </c>
      <c r="B2586" s="4" t="s">
        <v>4040</v>
      </c>
      <c r="C2586" s="5" t="s">
        <v>4104</v>
      </c>
      <c r="D2586" s="5" t="s">
        <v>491</v>
      </c>
      <c r="E2586" s="3" t="s">
        <v>14</v>
      </c>
      <c r="F2586" s="6">
        <v>52.9</v>
      </c>
      <c r="G2586" s="6">
        <v>53.9</v>
      </c>
      <c r="H2586" s="6">
        <v>8.9</v>
      </c>
      <c r="I2586" s="7" t="s">
        <v>4315</v>
      </c>
      <c r="J2586" s="3" t="s">
        <v>4317</v>
      </c>
      <c r="K2586" s="8" t="s">
        <v>4519</v>
      </c>
      <c r="L2586" s="9" t="s">
        <v>4105</v>
      </c>
      <c r="M2586" s="1" t="s">
        <v>4106</v>
      </c>
    </row>
    <row r="2587" spans="1:13" x14ac:dyDescent="0.3">
      <c r="A2587" s="3">
        <v>4210024</v>
      </c>
      <c r="B2587" s="4" t="s">
        <v>4040</v>
      </c>
      <c r="C2587" s="5" t="s">
        <v>4107</v>
      </c>
      <c r="D2587" s="5" t="s">
        <v>96</v>
      </c>
      <c r="E2587" s="3" t="s">
        <v>14</v>
      </c>
      <c r="F2587" s="6">
        <v>42</v>
      </c>
      <c r="G2587" s="6">
        <v>42</v>
      </c>
      <c r="H2587" s="6">
        <v>31.9</v>
      </c>
      <c r="I2587" s="7" t="s">
        <v>4446</v>
      </c>
      <c r="J2587" s="3" t="s">
        <v>4318</v>
      </c>
      <c r="K2587" s="8" t="s">
        <v>4671</v>
      </c>
      <c r="L2587" s="9" t="s">
        <v>4108</v>
      </c>
      <c r="M2587" s="1" t="s">
        <v>4109</v>
      </c>
    </row>
    <row r="2588" spans="1:13" x14ac:dyDescent="0.3">
      <c r="A2588" s="3">
        <v>4219025</v>
      </c>
      <c r="B2588" s="4" t="s">
        <v>4040</v>
      </c>
      <c r="C2588" s="5" t="s">
        <v>4110</v>
      </c>
      <c r="D2588" s="5" t="s">
        <v>74</v>
      </c>
      <c r="E2588" s="3" t="s">
        <v>14</v>
      </c>
      <c r="F2588" s="6">
        <v>38.1</v>
      </c>
      <c r="G2588" s="6">
        <v>30.5</v>
      </c>
      <c r="H2588" s="6">
        <v>2.5</v>
      </c>
      <c r="I2588" s="7" t="s">
        <v>4731</v>
      </c>
      <c r="J2588" s="3" t="s">
        <v>14</v>
      </c>
      <c r="K2588" s="8" t="s">
        <v>4606</v>
      </c>
      <c r="L2588" s="9" t="s">
        <v>4111</v>
      </c>
      <c r="M2588" s="1" t="s">
        <v>4112</v>
      </c>
    </row>
    <row r="2589" spans="1:13" x14ac:dyDescent="0.3">
      <c r="A2589" s="3">
        <v>4219026</v>
      </c>
      <c r="B2589" s="4" t="s">
        <v>4040</v>
      </c>
      <c r="C2589" s="5" t="s">
        <v>4113</v>
      </c>
      <c r="D2589" s="5" t="s">
        <v>74</v>
      </c>
      <c r="E2589" s="3" t="s">
        <v>14</v>
      </c>
      <c r="F2589" s="6">
        <v>35.6</v>
      </c>
      <c r="G2589" s="6">
        <v>35.6</v>
      </c>
      <c r="H2589" s="6">
        <v>2.5</v>
      </c>
      <c r="I2589" s="7" t="s">
        <v>4731</v>
      </c>
      <c r="J2589" s="3" t="s">
        <v>14</v>
      </c>
      <c r="K2589" s="8" t="s">
        <v>4563</v>
      </c>
      <c r="L2589" s="9" t="s">
        <v>4114</v>
      </c>
      <c r="M2589" s="1" t="s">
        <v>4115</v>
      </c>
    </row>
    <row r="2590" spans="1:13" x14ac:dyDescent="0.3">
      <c r="A2590" s="3">
        <v>4311005</v>
      </c>
      <c r="B2590" s="4" t="s">
        <v>4116</v>
      </c>
      <c r="C2590" s="5" t="s">
        <v>4117</v>
      </c>
      <c r="D2590" s="5" t="s">
        <v>154</v>
      </c>
      <c r="E2590" s="3" t="s">
        <v>14</v>
      </c>
      <c r="F2590" s="6">
        <v>55.1</v>
      </c>
      <c r="G2590" s="6">
        <v>52.5</v>
      </c>
      <c r="H2590" s="6">
        <v>21.4</v>
      </c>
      <c r="I2590" s="7" t="s">
        <v>4473</v>
      </c>
      <c r="J2590" s="3" t="s">
        <v>4317</v>
      </c>
      <c r="K2590" s="8" t="s">
        <v>4326</v>
      </c>
      <c r="L2590" s="9" t="s">
        <v>4118</v>
      </c>
      <c r="M2590" s="1" t="s">
        <v>4119</v>
      </c>
    </row>
    <row r="2591" spans="1:13" x14ac:dyDescent="0.3">
      <c r="A2591" s="3">
        <v>4320013</v>
      </c>
      <c r="B2591" s="4" t="s">
        <v>4116</v>
      </c>
      <c r="C2591" s="5" t="s">
        <v>4120</v>
      </c>
      <c r="D2591" s="5" t="s">
        <v>264</v>
      </c>
      <c r="E2591" s="3" t="s">
        <v>14</v>
      </c>
      <c r="F2591" s="6">
        <v>35.200000000000003</v>
      </c>
      <c r="G2591" s="6">
        <v>8.6999999999999993</v>
      </c>
      <c r="H2591" s="6">
        <v>0</v>
      </c>
      <c r="I2591" s="7" t="s">
        <v>4315</v>
      </c>
      <c r="J2591" s="3" t="s">
        <v>4317</v>
      </c>
      <c r="K2591" s="8" t="s">
        <v>4426</v>
      </c>
      <c r="L2591" s="9" t="s">
        <v>4121</v>
      </c>
      <c r="M2591" s="1" t="s">
        <v>4122</v>
      </c>
    </row>
    <row r="2592" spans="1:13" x14ac:dyDescent="0.3">
      <c r="A2592" s="3">
        <v>4321014</v>
      </c>
      <c r="B2592" s="4" t="s">
        <v>4116</v>
      </c>
      <c r="C2592" s="5" t="s">
        <v>4120</v>
      </c>
      <c r="D2592" s="5" t="s">
        <v>267</v>
      </c>
      <c r="E2592" s="3" t="s">
        <v>14</v>
      </c>
      <c r="F2592" s="6">
        <v>55</v>
      </c>
      <c r="G2592" s="6">
        <v>8.6999999999999993</v>
      </c>
      <c r="H2592" s="6">
        <v>0</v>
      </c>
      <c r="I2592" s="7" t="s">
        <v>4315</v>
      </c>
      <c r="J2592" s="3" t="s">
        <v>4317</v>
      </c>
      <c r="K2592" s="8" t="s">
        <v>4465</v>
      </c>
      <c r="L2592" s="9" t="s">
        <v>4123</v>
      </c>
      <c r="M2592" s="1" t="s">
        <v>4124</v>
      </c>
    </row>
    <row r="2593" spans="1:13" x14ac:dyDescent="0.3">
      <c r="A2593" s="3">
        <v>4311017</v>
      </c>
      <c r="B2593" s="4" t="s">
        <v>4116</v>
      </c>
      <c r="C2593" s="5">
        <v>331035</v>
      </c>
      <c r="D2593" s="5" t="s">
        <v>154</v>
      </c>
      <c r="E2593" s="3" t="s">
        <v>14</v>
      </c>
      <c r="F2593" s="6">
        <v>123.7</v>
      </c>
      <c r="G2593" s="6">
        <v>115.7</v>
      </c>
      <c r="H2593" s="6">
        <v>34.700000000000003</v>
      </c>
      <c r="I2593" s="7" t="s">
        <v>4446</v>
      </c>
      <c r="J2593" s="3" t="s">
        <v>4318</v>
      </c>
      <c r="K2593" s="8" t="s">
        <v>4372</v>
      </c>
      <c r="L2593" s="9" t="s">
        <v>4125</v>
      </c>
      <c r="M2593" s="1" t="s">
        <v>4126</v>
      </c>
    </row>
    <row r="2594" spans="1:13" x14ac:dyDescent="0.3">
      <c r="A2594" s="3">
        <v>4328018</v>
      </c>
      <c r="B2594" s="4" t="s">
        <v>4116</v>
      </c>
      <c r="C2594" s="5">
        <v>331035</v>
      </c>
      <c r="D2594" s="5" t="s">
        <v>552</v>
      </c>
      <c r="E2594" s="3" t="s">
        <v>14</v>
      </c>
      <c r="F2594" s="6" t="s">
        <v>14</v>
      </c>
      <c r="G2594" s="6" t="s">
        <v>14</v>
      </c>
      <c r="H2594" s="6" t="s">
        <v>14</v>
      </c>
      <c r="I2594" s="7" t="s">
        <v>14</v>
      </c>
      <c r="J2594" s="3" t="s">
        <v>14</v>
      </c>
      <c r="K2594" s="8" t="s">
        <v>14</v>
      </c>
      <c r="L2594" s="9" t="s">
        <v>4127</v>
      </c>
      <c r="M2594" s="1" t="s">
        <v>4128</v>
      </c>
    </row>
    <row r="2595" spans="1:13" x14ac:dyDescent="0.3">
      <c r="A2595" s="3">
        <v>4314019</v>
      </c>
      <c r="B2595" s="4" t="s">
        <v>4116</v>
      </c>
      <c r="C2595" s="5">
        <v>331035</v>
      </c>
      <c r="D2595" s="5" t="s">
        <v>392</v>
      </c>
      <c r="E2595" s="3" t="s">
        <v>14</v>
      </c>
      <c r="F2595" s="6">
        <v>124.7</v>
      </c>
      <c r="G2595" s="6">
        <v>116.7</v>
      </c>
      <c r="H2595" s="6">
        <v>10.7</v>
      </c>
      <c r="I2595" s="7" t="s">
        <v>4316</v>
      </c>
      <c r="J2595" s="3" t="s">
        <v>4318</v>
      </c>
      <c r="K2595" s="8" t="s">
        <v>4397</v>
      </c>
      <c r="L2595" s="9" t="s">
        <v>4129</v>
      </c>
      <c r="M2595" s="1" t="s">
        <v>4130</v>
      </c>
    </row>
    <row r="2596" spans="1:13" x14ac:dyDescent="0.3">
      <c r="A2596" s="3">
        <v>4311020</v>
      </c>
      <c r="B2596" s="4" t="s">
        <v>4116</v>
      </c>
      <c r="C2596" s="5">
        <v>331150</v>
      </c>
      <c r="D2596" s="5" t="s">
        <v>154</v>
      </c>
      <c r="E2596" s="3" t="s">
        <v>14</v>
      </c>
      <c r="F2596" s="6">
        <v>125.7</v>
      </c>
      <c r="G2596" s="6">
        <v>83.7</v>
      </c>
      <c r="H2596" s="6">
        <v>53.7</v>
      </c>
      <c r="I2596" s="7" t="s">
        <v>4446</v>
      </c>
      <c r="J2596" s="3" t="s">
        <v>4318</v>
      </c>
      <c r="K2596" s="8" t="s">
        <v>4775</v>
      </c>
      <c r="L2596" s="9" t="s">
        <v>4131</v>
      </c>
      <c r="M2596" s="1" t="s">
        <v>4132</v>
      </c>
    </row>
    <row r="2597" spans="1:13" x14ac:dyDescent="0.3">
      <c r="A2597" s="3">
        <v>4314021</v>
      </c>
      <c r="B2597" s="4" t="s">
        <v>4116</v>
      </c>
      <c r="C2597" s="5">
        <v>331150</v>
      </c>
      <c r="D2597" s="5" t="s">
        <v>392</v>
      </c>
      <c r="E2597" s="3" t="s">
        <v>14</v>
      </c>
      <c r="F2597" s="6">
        <v>126.7</v>
      </c>
      <c r="G2597" s="6">
        <v>84.7</v>
      </c>
      <c r="H2597" s="6">
        <v>10.7</v>
      </c>
      <c r="I2597" s="7" t="s">
        <v>4316</v>
      </c>
      <c r="J2597" s="3" t="s">
        <v>4318</v>
      </c>
      <c r="K2597" s="8" t="s">
        <v>4437</v>
      </c>
      <c r="L2597" s="9" t="s">
        <v>4133</v>
      </c>
      <c r="M2597" s="1" t="s">
        <v>4134</v>
      </c>
    </row>
    <row r="2598" spans="1:13" x14ac:dyDescent="0.3">
      <c r="A2598" s="3">
        <v>4311022</v>
      </c>
      <c r="B2598" s="4" t="s">
        <v>4116</v>
      </c>
      <c r="C2598" s="5" t="s">
        <v>4135</v>
      </c>
      <c r="D2598" s="5" t="s">
        <v>154</v>
      </c>
      <c r="E2598" s="3" t="s">
        <v>14</v>
      </c>
      <c r="F2598" s="6">
        <v>109.7</v>
      </c>
      <c r="G2598" s="6">
        <v>104.7</v>
      </c>
      <c r="H2598" s="6">
        <v>77.7</v>
      </c>
      <c r="I2598" s="7" t="s">
        <v>4316</v>
      </c>
      <c r="J2598" s="3" t="s">
        <v>4318</v>
      </c>
      <c r="K2598" s="8" t="s">
        <v>4776</v>
      </c>
      <c r="L2598" s="9" t="s">
        <v>4136</v>
      </c>
      <c r="M2598" s="1" t="s">
        <v>4137</v>
      </c>
    </row>
    <row r="2599" spans="1:13" x14ac:dyDescent="0.3">
      <c r="A2599" s="3">
        <v>4328023</v>
      </c>
      <c r="B2599" s="4" t="s">
        <v>4116</v>
      </c>
      <c r="C2599" s="5" t="s">
        <v>4135</v>
      </c>
      <c r="D2599" s="5" t="s">
        <v>552</v>
      </c>
      <c r="E2599" s="3" t="s">
        <v>14</v>
      </c>
      <c r="F2599" s="6" t="s">
        <v>14</v>
      </c>
      <c r="G2599" s="6" t="s">
        <v>14</v>
      </c>
      <c r="H2599" s="6" t="s">
        <v>14</v>
      </c>
      <c r="I2599" s="7" t="s">
        <v>14</v>
      </c>
      <c r="J2599" s="3" t="s">
        <v>14</v>
      </c>
      <c r="K2599" s="8" t="s">
        <v>14</v>
      </c>
      <c r="L2599" s="9" t="s">
        <v>4138</v>
      </c>
      <c r="M2599" s="1" t="s">
        <v>4139</v>
      </c>
    </row>
    <row r="2600" spans="1:13" x14ac:dyDescent="0.3">
      <c r="A2600" s="3">
        <v>4314024</v>
      </c>
      <c r="B2600" s="4" t="s">
        <v>4116</v>
      </c>
      <c r="C2600" s="5" t="s">
        <v>4135</v>
      </c>
      <c r="D2600" s="5" t="s">
        <v>392</v>
      </c>
      <c r="E2600" s="3" t="s">
        <v>14</v>
      </c>
      <c r="F2600" s="6">
        <v>110.7</v>
      </c>
      <c r="G2600" s="6">
        <v>105.7</v>
      </c>
      <c r="H2600" s="6">
        <v>10.7</v>
      </c>
      <c r="I2600" s="7" t="s">
        <v>4316</v>
      </c>
      <c r="J2600" s="3" t="s">
        <v>4318</v>
      </c>
      <c r="K2600" s="8" t="s">
        <v>4686</v>
      </c>
      <c r="L2600" s="9" t="s">
        <v>4140</v>
      </c>
      <c r="M2600" s="1" t="s">
        <v>4141</v>
      </c>
    </row>
    <row r="2601" spans="1:13" x14ac:dyDescent="0.3">
      <c r="A2601" s="3">
        <v>4310025</v>
      </c>
      <c r="B2601" s="4" t="s">
        <v>4116</v>
      </c>
      <c r="C2601" s="5" t="s">
        <v>4142</v>
      </c>
      <c r="D2601" s="5" t="s">
        <v>96</v>
      </c>
      <c r="E2601" s="3" t="s">
        <v>14</v>
      </c>
      <c r="F2601" s="6">
        <v>136.4</v>
      </c>
      <c r="G2601" s="6">
        <v>47.4</v>
      </c>
      <c r="H2601" s="6">
        <v>24.9</v>
      </c>
      <c r="I2601" s="7" t="s">
        <v>4316</v>
      </c>
      <c r="J2601" s="3" t="s">
        <v>4318</v>
      </c>
      <c r="K2601" s="8" t="s">
        <v>4777</v>
      </c>
      <c r="L2601" s="9" t="s">
        <v>4143</v>
      </c>
      <c r="M2601" s="1" t="s">
        <v>4144</v>
      </c>
    </row>
    <row r="2602" spans="1:13" x14ac:dyDescent="0.3">
      <c r="A2602" s="3">
        <v>4320026</v>
      </c>
      <c r="B2602" s="4" t="s">
        <v>4116</v>
      </c>
      <c r="C2602" s="5">
        <v>19</v>
      </c>
      <c r="D2602" s="5" t="s">
        <v>264</v>
      </c>
      <c r="E2602" s="3">
        <v>19</v>
      </c>
      <c r="F2602" s="6">
        <v>32.6</v>
      </c>
      <c r="G2602" s="6">
        <v>8.3000000000000007</v>
      </c>
      <c r="H2602" s="6">
        <v>0</v>
      </c>
      <c r="I2602" s="7" t="s">
        <v>4645</v>
      </c>
      <c r="J2602" s="3" t="s">
        <v>4423</v>
      </c>
      <c r="K2602" s="8" t="s">
        <v>4490</v>
      </c>
      <c r="L2602" s="9" t="s">
        <v>4145</v>
      </c>
      <c r="M2602" s="24" t="s">
        <v>4146</v>
      </c>
    </row>
    <row r="2603" spans="1:13" x14ac:dyDescent="0.3">
      <c r="A2603" s="3">
        <v>4321027</v>
      </c>
      <c r="B2603" s="4" t="s">
        <v>4116</v>
      </c>
      <c r="C2603" s="5">
        <v>19</v>
      </c>
      <c r="D2603" s="5" t="s">
        <v>267</v>
      </c>
      <c r="E2603" s="3">
        <v>19</v>
      </c>
      <c r="F2603" s="6">
        <v>54.3</v>
      </c>
      <c r="G2603" s="6">
        <v>8.3000000000000007</v>
      </c>
      <c r="H2603" s="6">
        <v>0</v>
      </c>
      <c r="I2603" s="7" t="s">
        <v>4645</v>
      </c>
      <c r="J2603" s="3" t="s">
        <v>4423</v>
      </c>
      <c r="K2603" s="8" t="s">
        <v>4575</v>
      </c>
      <c r="L2603" s="9" t="s">
        <v>4147</v>
      </c>
      <c r="M2603" s="24" t="s">
        <v>4148</v>
      </c>
    </row>
    <row r="2604" spans="1:13" x14ac:dyDescent="0.3">
      <c r="A2604" s="3">
        <v>4320028</v>
      </c>
      <c r="B2604" s="4" t="s">
        <v>4116</v>
      </c>
      <c r="C2604" s="5">
        <v>1189002</v>
      </c>
      <c r="D2604" s="5" t="s">
        <v>264</v>
      </c>
      <c r="E2604" s="3" t="s">
        <v>4149</v>
      </c>
      <c r="F2604" s="6">
        <v>60</v>
      </c>
      <c r="G2604" s="6">
        <v>37.5</v>
      </c>
      <c r="H2604" s="6">
        <v>0</v>
      </c>
      <c r="I2604" s="7" t="s">
        <v>4315</v>
      </c>
      <c r="J2604" s="3" t="s">
        <v>4317</v>
      </c>
      <c r="K2604" s="8" t="s">
        <v>4427</v>
      </c>
      <c r="L2604" s="9" t="s">
        <v>4150</v>
      </c>
      <c r="M2604" s="1" t="s">
        <v>4151</v>
      </c>
    </row>
    <row r="2605" spans="1:13" x14ac:dyDescent="0.3">
      <c r="A2605" s="3">
        <v>4321029</v>
      </c>
      <c r="B2605" s="4" t="s">
        <v>4116</v>
      </c>
      <c r="C2605" s="5">
        <v>1189002</v>
      </c>
      <c r="D2605" s="5" t="s">
        <v>267</v>
      </c>
      <c r="E2605" s="3" t="s">
        <v>4149</v>
      </c>
      <c r="F2605" s="6">
        <v>45</v>
      </c>
      <c r="G2605" s="6">
        <v>37.5</v>
      </c>
      <c r="H2605" s="6">
        <v>0</v>
      </c>
      <c r="I2605" s="7" t="s">
        <v>4315</v>
      </c>
      <c r="J2605" s="3" t="s">
        <v>4317</v>
      </c>
      <c r="K2605" s="8" t="s">
        <v>4524</v>
      </c>
      <c r="L2605" s="9" t="s">
        <v>4152</v>
      </c>
      <c r="M2605" s="1" t="s">
        <v>4153</v>
      </c>
    </row>
    <row r="2606" spans="1:13" x14ac:dyDescent="0.3">
      <c r="A2606" s="3">
        <v>4320030</v>
      </c>
      <c r="B2606" s="4" t="s">
        <v>4116</v>
      </c>
      <c r="C2606" s="5">
        <v>1188104</v>
      </c>
      <c r="D2606" s="5" t="s">
        <v>264</v>
      </c>
      <c r="E2606" s="3" t="s">
        <v>4154</v>
      </c>
      <c r="F2606" s="6">
        <v>60</v>
      </c>
      <c r="G2606" s="6">
        <v>37.5</v>
      </c>
      <c r="H2606" s="6">
        <v>0</v>
      </c>
      <c r="I2606" s="7" t="s">
        <v>4315</v>
      </c>
      <c r="J2606" s="3" t="s">
        <v>4317</v>
      </c>
      <c r="K2606" s="8" t="s">
        <v>4524</v>
      </c>
      <c r="L2606" s="9" t="s">
        <v>4155</v>
      </c>
      <c r="M2606" s="1" t="s">
        <v>4156</v>
      </c>
    </row>
    <row r="2607" spans="1:13" x14ac:dyDescent="0.3">
      <c r="A2607" s="3">
        <v>4321031</v>
      </c>
      <c r="B2607" s="4" t="s">
        <v>4116</v>
      </c>
      <c r="C2607" s="5">
        <v>1188104</v>
      </c>
      <c r="D2607" s="5" t="s">
        <v>267</v>
      </c>
      <c r="E2607" s="3" t="s">
        <v>4154</v>
      </c>
      <c r="F2607" s="6">
        <v>45</v>
      </c>
      <c r="G2607" s="6">
        <v>37.5</v>
      </c>
      <c r="H2607" s="6">
        <v>0</v>
      </c>
      <c r="I2607" s="7" t="s">
        <v>4315</v>
      </c>
      <c r="J2607" s="3" t="s">
        <v>4317</v>
      </c>
      <c r="K2607" s="8" t="s">
        <v>4524</v>
      </c>
      <c r="L2607" s="9" t="s">
        <v>4157</v>
      </c>
      <c r="M2607" s="1" t="s">
        <v>4158</v>
      </c>
    </row>
    <row r="2608" spans="1:13" x14ac:dyDescent="0.3">
      <c r="A2608" s="3">
        <v>4310032</v>
      </c>
      <c r="B2608" s="4" t="s">
        <v>4116</v>
      </c>
      <c r="C2608" s="5">
        <v>1188103</v>
      </c>
      <c r="D2608" s="5" t="s">
        <v>96</v>
      </c>
      <c r="E2608" s="3" t="s">
        <v>4159</v>
      </c>
      <c r="F2608" s="6">
        <v>60.9</v>
      </c>
      <c r="G2608" s="6">
        <v>45.7</v>
      </c>
      <c r="H2608" s="6">
        <v>38.5</v>
      </c>
      <c r="I2608" s="7" t="s">
        <v>4315</v>
      </c>
      <c r="J2608" s="3" t="s">
        <v>4317</v>
      </c>
      <c r="K2608" s="8" t="s">
        <v>4551</v>
      </c>
      <c r="L2608" s="9" t="s">
        <v>4160</v>
      </c>
      <c r="M2608" s="1" t="s">
        <v>4161</v>
      </c>
    </row>
    <row r="2609" spans="1:13" x14ac:dyDescent="0.3">
      <c r="A2609" s="3">
        <v>7813001</v>
      </c>
      <c r="B2609" s="4" t="s">
        <v>5414</v>
      </c>
      <c r="C2609" s="5" t="s">
        <v>3048</v>
      </c>
      <c r="D2609" s="5" t="s">
        <v>491</v>
      </c>
      <c r="E2609" s="3" t="s">
        <v>3048</v>
      </c>
      <c r="F2609" s="6">
        <v>18</v>
      </c>
      <c r="G2609" s="6">
        <v>10</v>
      </c>
      <c r="H2609" s="6">
        <v>38</v>
      </c>
      <c r="I2609" s="7" t="s">
        <v>4315</v>
      </c>
      <c r="J2609" s="3" t="s">
        <v>4317</v>
      </c>
      <c r="K2609" s="8" t="s">
        <v>4450</v>
      </c>
      <c r="L2609" s="9" t="s">
        <v>4162</v>
      </c>
      <c r="M2609" s="1" t="s">
        <v>4163</v>
      </c>
    </row>
    <row r="2610" spans="1:13" x14ac:dyDescent="0.3">
      <c r="A2610" s="3">
        <v>7813002</v>
      </c>
      <c r="B2610" s="4" t="s">
        <v>5414</v>
      </c>
      <c r="C2610" s="5" t="s">
        <v>3051</v>
      </c>
      <c r="D2610" s="5" t="s">
        <v>491</v>
      </c>
      <c r="E2610" s="3" t="s">
        <v>3051</v>
      </c>
      <c r="F2610" s="6">
        <v>25.5</v>
      </c>
      <c r="G2610" s="6">
        <v>10</v>
      </c>
      <c r="H2610" s="6">
        <v>35</v>
      </c>
      <c r="I2610" s="7" t="s">
        <v>4315</v>
      </c>
      <c r="J2610" s="3" t="s">
        <v>4317</v>
      </c>
      <c r="K2610" s="8" t="s">
        <v>4617</v>
      </c>
      <c r="L2610" s="9" t="s">
        <v>4164</v>
      </c>
      <c r="M2610" s="1" t="s">
        <v>4165</v>
      </c>
    </row>
    <row r="2611" spans="1:13" x14ac:dyDescent="0.3">
      <c r="A2611" s="3">
        <v>7813007</v>
      </c>
      <c r="B2611" s="4" t="s">
        <v>5414</v>
      </c>
      <c r="C2611" s="5" t="s">
        <v>4166</v>
      </c>
      <c r="D2611" s="5" t="s">
        <v>491</v>
      </c>
      <c r="E2611" s="3" t="s">
        <v>4166</v>
      </c>
      <c r="F2611" s="6">
        <v>34</v>
      </c>
      <c r="G2611" s="6">
        <v>20</v>
      </c>
      <c r="H2611" s="6">
        <v>35</v>
      </c>
      <c r="I2611" s="7" t="s">
        <v>4315</v>
      </c>
      <c r="J2611" s="3" t="s">
        <v>4317</v>
      </c>
      <c r="K2611" s="8" t="s">
        <v>4389</v>
      </c>
      <c r="L2611" s="9" t="s">
        <v>4167</v>
      </c>
      <c r="M2611" s="1" t="s">
        <v>4168</v>
      </c>
    </row>
    <row r="2612" spans="1:13" x14ac:dyDescent="0.3">
      <c r="A2612" s="3">
        <v>7820008</v>
      </c>
      <c r="B2612" s="4" t="s">
        <v>5414</v>
      </c>
      <c r="C2612" s="5" t="s">
        <v>4169</v>
      </c>
      <c r="D2612" s="5" t="s">
        <v>264</v>
      </c>
      <c r="E2612" s="3" t="s">
        <v>4169</v>
      </c>
      <c r="F2612" s="6">
        <v>33</v>
      </c>
      <c r="G2612" s="6">
        <v>19</v>
      </c>
      <c r="H2612" s="6">
        <v>34</v>
      </c>
      <c r="I2612" s="7" t="s">
        <v>4315</v>
      </c>
      <c r="J2612" s="3" t="s">
        <v>4317</v>
      </c>
      <c r="K2612" s="8">
        <v>0.11</v>
      </c>
      <c r="L2612" s="9" t="s">
        <v>4170</v>
      </c>
      <c r="M2612" s="1" t="s">
        <v>4171</v>
      </c>
    </row>
    <row r="2613" spans="1:13" x14ac:dyDescent="0.3">
      <c r="A2613" s="3">
        <v>7821009</v>
      </c>
      <c r="B2613" s="4" t="s">
        <v>5414</v>
      </c>
      <c r="C2613" s="5" t="s">
        <v>4169</v>
      </c>
      <c r="D2613" s="5" t="s">
        <v>267</v>
      </c>
      <c r="E2613" s="3" t="s">
        <v>4169</v>
      </c>
      <c r="F2613" s="6">
        <v>33</v>
      </c>
      <c r="G2613" s="6">
        <v>19</v>
      </c>
      <c r="H2613" s="6">
        <v>34</v>
      </c>
      <c r="I2613" s="7" t="s">
        <v>4315</v>
      </c>
      <c r="J2613" s="3" t="s">
        <v>4317</v>
      </c>
      <c r="K2613" s="8">
        <v>0.06</v>
      </c>
      <c r="L2613" s="9" t="s">
        <v>4172</v>
      </c>
      <c r="M2613" s="1" t="s">
        <v>4173</v>
      </c>
    </row>
    <row r="2614" spans="1:13" x14ac:dyDescent="0.3">
      <c r="A2614" s="3">
        <v>9820001</v>
      </c>
      <c r="B2614" s="4" t="s">
        <v>4174</v>
      </c>
      <c r="C2614" s="5" t="s">
        <v>4175</v>
      </c>
      <c r="D2614" s="5" t="s">
        <v>264</v>
      </c>
      <c r="E2614" s="3" t="s">
        <v>4176</v>
      </c>
      <c r="F2614" s="6">
        <v>54.4</v>
      </c>
      <c r="G2614" s="6">
        <v>15</v>
      </c>
      <c r="H2614" s="6">
        <v>0</v>
      </c>
      <c r="I2614" s="7" t="s">
        <v>4344</v>
      </c>
      <c r="J2614" s="3" t="s">
        <v>4377</v>
      </c>
      <c r="K2614" s="8" t="s">
        <v>4340</v>
      </c>
      <c r="L2614" s="9" t="s">
        <v>4177</v>
      </c>
      <c r="M2614" s="1" t="s">
        <v>4178</v>
      </c>
    </row>
    <row r="2615" spans="1:13" x14ac:dyDescent="0.3">
      <c r="A2615" s="3">
        <v>9821002</v>
      </c>
      <c r="B2615" s="4" t="s">
        <v>4174</v>
      </c>
      <c r="C2615" s="5" t="s">
        <v>4175</v>
      </c>
      <c r="D2615" s="5" t="s">
        <v>267</v>
      </c>
      <c r="E2615" s="3" t="s">
        <v>4176</v>
      </c>
      <c r="F2615" s="6">
        <v>52.4</v>
      </c>
      <c r="G2615" s="6">
        <v>15</v>
      </c>
      <c r="H2615" s="6">
        <v>0</v>
      </c>
      <c r="I2615" s="7" t="s">
        <v>4344</v>
      </c>
      <c r="J2615" s="3" t="s">
        <v>4377</v>
      </c>
      <c r="K2615" s="8" t="s">
        <v>4778</v>
      </c>
      <c r="L2615" s="9" t="s">
        <v>4179</v>
      </c>
      <c r="M2615" s="1" t="s">
        <v>4180</v>
      </c>
    </row>
    <row r="2616" spans="1:13" x14ac:dyDescent="0.3">
      <c r="A2616" s="3">
        <v>9822003</v>
      </c>
      <c r="B2616" s="4" t="s">
        <v>4174</v>
      </c>
      <c r="C2616" s="5" t="s">
        <v>4175</v>
      </c>
      <c r="D2616" s="5" t="s">
        <v>399</v>
      </c>
      <c r="E2616" s="3" t="s">
        <v>4176</v>
      </c>
      <c r="F2616" s="6">
        <v>78.599999999999994</v>
      </c>
      <c r="G2616" s="6">
        <v>54.4</v>
      </c>
      <c r="H2616" s="6">
        <v>0</v>
      </c>
      <c r="I2616" s="7" t="s">
        <v>4344</v>
      </c>
      <c r="J2616" s="3" t="s">
        <v>4377</v>
      </c>
      <c r="K2616" s="8" t="s">
        <v>4442</v>
      </c>
      <c r="L2616" s="9" t="s">
        <v>4181</v>
      </c>
      <c r="M2616" s="1" t="s">
        <v>4182</v>
      </c>
    </row>
    <row r="2617" spans="1:13" x14ac:dyDescent="0.3">
      <c r="A2617" s="3">
        <v>9820004</v>
      </c>
      <c r="B2617" s="4" t="s">
        <v>4174</v>
      </c>
      <c r="C2617" s="5" t="s">
        <v>4183</v>
      </c>
      <c r="D2617" s="5" t="s">
        <v>264</v>
      </c>
      <c r="E2617" s="3" t="s">
        <v>857</v>
      </c>
      <c r="F2617" s="6">
        <v>54.4</v>
      </c>
      <c r="G2617" s="6">
        <v>10</v>
      </c>
      <c r="H2617" s="6">
        <v>0</v>
      </c>
      <c r="I2617" s="7" t="s">
        <v>4447</v>
      </c>
      <c r="J2617" s="3" t="s">
        <v>4317</v>
      </c>
      <c r="K2617" s="8" t="s">
        <v>4357</v>
      </c>
      <c r="L2617" s="9" t="s">
        <v>4184</v>
      </c>
      <c r="M2617" s="1" t="s">
        <v>4185</v>
      </c>
    </row>
    <row r="2618" spans="1:13" x14ac:dyDescent="0.3">
      <c r="A2618" s="3">
        <v>9821005</v>
      </c>
      <c r="B2618" s="4" t="s">
        <v>4174</v>
      </c>
      <c r="C2618" s="5" t="s">
        <v>4183</v>
      </c>
      <c r="D2618" s="5" t="s">
        <v>267</v>
      </c>
      <c r="E2618" s="3" t="s">
        <v>857</v>
      </c>
      <c r="F2618" s="6">
        <v>33</v>
      </c>
      <c r="G2618" s="6">
        <v>10</v>
      </c>
      <c r="H2618" s="6">
        <v>0</v>
      </c>
      <c r="I2618" s="7" t="s">
        <v>4447</v>
      </c>
      <c r="J2618" s="3" t="s">
        <v>4317</v>
      </c>
      <c r="K2618" s="8" t="s">
        <v>4427</v>
      </c>
      <c r="L2618" s="9" t="s">
        <v>4186</v>
      </c>
      <c r="M2618" s="1" t="s">
        <v>4187</v>
      </c>
    </row>
    <row r="2619" spans="1:13" x14ac:dyDescent="0.3">
      <c r="A2619" s="3">
        <v>9822006</v>
      </c>
      <c r="B2619" s="4" t="s">
        <v>4174</v>
      </c>
      <c r="C2619" s="5" t="s">
        <v>4183</v>
      </c>
      <c r="D2619" s="5" t="s">
        <v>399</v>
      </c>
      <c r="E2619" s="3" t="s">
        <v>857</v>
      </c>
      <c r="F2619" s="6">
        <v>72.599999999999994</v>
      </c>
      <c r="G2619" s="6">
        <v>33</v>
      </c>
      <c r="H2619" s="6">
        <v>0</v>
      </c>
      <c r="I2619" s="7" t="s">
        <v>4447</v>
      </c>
      <c r="J2619" s="3" t="s">
        <v>4317</v>
      </c>
      <c r="K2619" s="8" t="s">
        <v>4503</v>
      </c>
      <c r="L2619" s="9" t="s">
        <v>4188</v>
      </c>
      <c r="M2619" s="1" t="s">
        <v>4189</v>
      </c>
    </row>
    <row r="2620" spans="1:13" x14ac:dyDescent="0.3">
      <c r="A2620" s="3">
        <v>9810007</v>
      </c>
      <c r="B2620" s="4" t="s">
        <v>4174</v>
      </c>
      <c r="C2620" s="5" t="s">
        <v>4190</v>
      </c>
      <c r="D2620" s="5" t="s">
        <v>96</v>
      </c>
      <c r="E2620" s="3" t="s">
        <v>4190</v>
      </c>
      <c r="F2620" s="6">
        <v>60.9</v>
      </c>
      <c r="G2620" s="6">
        <v>38.4</v>
      </c>
      <c r="H2620" s="6">
        <v>21.3</v>
      </c>
      <c r="I2620" s="7" t="s">
        <v>4315</v>
      </c>
      <c r="J2620" s="3" t="s">
        <v>4317</v>
      </c>
      <c r="K2620" s="8" t="s">
        <v>4544</v>
      </c>
      <c r="L2620" s="9" t="s">
        <v>4191</v>
      </c>
      <c r="M2620" s="1" t="s">
        <v>4192</v>
      </c>
    </row>
    <row r="2621" spans="1:13" x14ac:dyDescent="0.3">
      <c r="A2621" s="3">
        <v>9820008</v>
      </c>
      <c r="B2621" s="4" t="s">
        <v>4174</v>
      </c>
      <c r="C2621" s="5" t="s">
        <v>4190</v>
      </c>
      <c r="D2621" s="5" t="s">
        <v>264</v>
      </c>
      <c r="E2621" s="3" t="s">
        <v>4190</v>
      </c>
      <c r="F2621" s="6">
        <v>60</v>
      </c>
      <c r="G2621" s="6">
        <v>20</v>
      </c>
      <c r="H2621" s="6">
        <v>0</v>
      </c>
      <c r="I2621" s="7" t="s">
        <v>4315</v>
      </c>
      <c r="J2621" s="3" t="s">
        <v>4317</v>
      </c>
      <c r="K2621" s="8" t="s">
        <v>4366</v>
      </c>
      <c r="L2621" s="9" t="s">
        <v>4193</v>
      </c>
      <c r="M2621" s="1" t="s">
        <v>4194</v>
      </c>
    </row>
    <row r="2622" spans="1:13" x14ac:dyDescent="0.3">
      <c r="A2622" s="3">
        <v>9821009</v>
      </c>
      <c r="B2622" s="4" t="s">
        <v>4174</v>
      </c>
      <c r="C2622" s="5" t="s">
        <v>4190</v>
      </c>
      <c r="D2622" s="5" t="s">
        <v>267</v>
      </c>
      <c r="E2622" s="3" t="s">
        <v>4190</v>
      </c>
      <c r="F2622" s="6">
        <v>37.5</v>
      </c>
      <c r="G2622" s="6">
        <v>20</v>
      </c>
      <c r="H2622" s="6">
        <v>0</v>
      </c>
      <c r="I2622" s="7" t="s">
        <v>4315</v>
      </c>
      <c r="J2622" s="3" t="s">
        <v>4317</v>
      </c>
      <c r="K2622" s="8" t="s">
        <v>4366</v>
      </c>
      <c r="L2622" s="9" t="s">
        <v>4195</v>
      </c>
      <c r="M2622" s="1" t="s">
        <v>4196</v>
      </c>
    </row>
    <row r="2623" spans="1:13" x14ac:dyDescent="0.3">
      <c r="A2623" s="3">
        <v>9817020</v>
      </c>
      <c r="B2623" s="4" t="s">
        <v>4174</v>
      </c>
      <c r="C2623" s="5" t="s">
        <v>4197</v>
      </c>
      <c r="D2623" s="5" t="s">
        <v>167</v>
      </c>
      <c r="E2623" s="3" t="s">
        <v>4197</v>
      </c>
      <c r="F2623" s="6">
        <v>136.69999999999999</v>
      </c>
      <c r="G2623" s="6">
        <v>104.7</v>
      </c>
      <c r="H2623" s="6">
        <v>74.7</v>
      </c>
      <c r="I2623" s="7" t="s">
        <v>4316</v>
      </c>
      <c r="J2623" s="3" t="s">
        <v>4318</v>
      </c>
      <c r="K2623" s="8" t="s">
        <v>4495</v>
      </c>
      <c r="L2623" s="9" t="s">
        <v>4198</v>
      </c>
      <c r="M2623" s="1" t="s">
        <v>4199</v>
      </c>
    </row>
    <row r="2624" spans="1:13" x14ac:dyDescent="0.3">
      <c r="A2624" s="3">
        <v>9820021</v>
      </c>
      <c r="B2624" s="4" t="s">
        <v>4174</v>
      </c>
      <c r="C2624" s="5" t="s">
        <v>4197</v>
      </c>
      <c r="D2624" s="5" t="s">
        <v>264</v>
      </c>
      <c r="E2624" s="3" t="s">
        <v>4197</v>
      </c>
      <c r="F2624" s="6">
        <v>137</v>
      </c>
      <c r="G2624" s="6">
        <v>73</v>
      </c>
      <c r="H2624" s="6">
        <v>0</v>
      </c>
      <c r="I2624" s="7" t="s">
        <v>4315</v>
      </c>
      <c r="J2624" s="3" t="s">
        <v>4317</v>
      </c>
      <c r="K2624" s="8" t="s">
        <v>4779</v>
      </c>
      <c r="L2624" s="9" t="s">
        <v>4200</v>
      </c>
      <c r="M2624" s="1" t="s">
        <v>4201</v>
      </c>
    </row>
    <row r="2625" spans="1:13" x14ac:dyDescent="0.3">
      <c r="A2625" s="3">
        <v>9819022</v>
      </c>
      <c r="B2625" s="4" t="s">
        <v>4174</v>
      </c>
      <c r="C2625" s="5" t="s">
        <v>4197</v>
      </c>
      <c r="D2625" s="5" t="s">
        <v>74</v>
      </c>
      <c r="E2625" s="3" t="s">
        <v>4197</v>
      </c>
      <c r="F2625" s="6">
        <v>135</v>
      </c>
      <c r="G2625" s="6">
        <v>102</v>
      </c>
      <c r="H2625" s="6">
        <v>0</v>
      </c>
      <c r="I2625" s="7" t="s">
        <v>4316</v>
      </c>
      <c r="J2625" s="3" t="s">
        <v>4318</v>
      </c>
      <c r="K2625" s="8" t="s">
        <v>4659</v>
      </c>
      <c r="L2625" s="9" t="s">
        <v>4202</v>
      </c>
      <c r="M2625" s="1" t="s">
        <v>4203</v>
      </c>
    </row>
    <row r="2626" spans="1:13" x14ac:dyDescent="0.3">
      <c r="A2626" s="3">
        <v>9814023</v>
      </c>
      <c r="B2626" s="4" t="s">
        <v>4174</v>
      </c>
      <c r="C2626" s="5" t="s">
        <v>4197</v>
      </c>
      <c r="D2626" s="5" t="s">
        <v>392</v>
      </c>
      <c r="E2626" s="3" t="s">
        <v>4197</v>
      </c>
      <c r="F2626" s="6">
        <v>138.4</v>
      </c>
      <c r="G2626" s="6">
        <v>106.5</v>
      </c>
      <c r="H2626" s="6">
        <v>10.7</v>
      </c>
      <c r="I2626" s="7" t="s">
        <v>4316</v>
      </c>
      <c r="J2626" s="3" t="s">
        <v>4318</v>
      </c>
      <c r="K2626" s="8" t="s">
        <v>4516</v>
      </c>
      <c r="L2626" s="9" t="s">
        <v>4204</v>
      </c>
      <c r="M2626" s="1" t="s">
        <v>4205</v>
      </c>
    </row>
    <row r="2627" spans="1:13" x14ac:dyDescent="0.3">
      <c r="A2627" s="3">
        <v>9817024</v>
      </c>
      <c r="B2627" s="4" t="s">
        <v>4174</v>
      </c>
      <c r="C2627" s="5" t="s">
        <v>4206</v>
      </c>
      <c r="D2627" s="5" t="s">
        <v>167</v>
      </c>
      <c r="E2627" s="3" t="s">
        <v>4206</v>
      </c>
      <c r="F2627" s="6">
        <v>121.7</v>
      </c>
      <c r="G2627" s="6">
        <v>114.7</v>
      </c>
      <c r="H2627" s="6">
        <v>84.7</v>
      </c>
      <c r="I2627" s="7" t="s">
        <v>4316</v>
      </c>
      <c r="J2627" s="3" t="s">
        <v>4318</v>
      </c>
      <c r="K2627" s="8" t="s">
        <v>4780</v>
      </c>
      <c r="L2627" s="9" t="s">
        <v>4207</v>
      </c>
      <c r="M2627" s="1" t="s">
        <v>4208</v>
      </c>
    </row>
    <row r="2628" spans="1:13" x14ac:dyDescent="0.3">
      <c r="A2628" s="3">
        <v>9820025</v>
      </c>
      <c r="B2628" s="4" t="s">
        <v>4174</v>
      </c>
      <c r="C2628" s="5" t="s">
        <v>4206</v>
      </c>
      <c r="D2628" s="5" t="s">
        <v>74</v>
      </c>
      <c r="E2628" s="3" t="s">
        <v>4206</v>
      </c>
      <c r="F2628" s="6">
        <v>120</v>
      </c>
      <c r="G2628" s="6">
        <v>113</v>
      </c>
      <c r="H2628" s="6">
        <v>0</v>
      </c>
      <c r="I2628" s="7" t="s">
        <v>4316</v>
      </c>
      <c r="J2628" s="3" t="s">
        <v>4318</v>
      </c>
      <c r="K2628" s="8" t="s">
        <v>4480</v>
      </c>
      <c r="L2628" s="9" t="s">
        <v>4209</v>
      </c>
      <c r="M2628" s="1" t="s">
        <v>4210</v>
      </c>
    </row>
    <row r="2629" spans="1:13" x14ac:dyDescent="0.3">
      <c r="A2629" s="3">
        <v>9821026</v>
      </c>
      <c r="B2629" s="4" t="s">
        <v>4174</v>
      </c>
      <c r="C2629" s="5" t="s">
        <v>4206</v>
      </c>
      <c r="D2629" s="5" t="s">
        <v>264</v>
      </c>
      <c r="E2629" s="3" t="s">
        <v>4206</v>
      </c>
      <c r="F2629" s="6">
        <v>120</v>
      </c>
      <c r="G2629" s="6">
        <v>83</v>
      </c>
      <c r="H2629" s="6">
        <v>0</v>
      </c>
      <c r="I2629" s="7" t="s">
        <v>4316</v>
      </c>
      <c r="J2629" s="3" t="s">
        <v>4318</v>
      </c>
      <c r="K2629" s="8" t="s">
        <v>4691</v>
      </c>
      <c r="L2629" s="9" t="s">
        <v>4211</v>
      </c>
      <c r="M2629" s="1" t="s">
        <v>4212</v>
      </c>
    </row>
    <row r="2630" spans="1:13" x14ac:dyDescent="0.3">
      <c r="A2630" s="3">
        <v>9819027</v>
      </c>
      <c r="B2630" s="4" t="s">
        <v>4174</v>
      </c>
      <c r="C2630" s="5" t="s">
        <v>4206</v>
      </c>
      <c r="D2630" s="5" t="s">
        <v>267</v>
      </c>
      <c r="E2630" s="3" t="s">
        <v>4206</v>
      </c>
      <c r="F2630" s="6">
        <v>113</v>
      </c>
      <c r="G2630" s="6">
        <v>83</v>
      </c>
      <c r="H2630" s="6">
        <v>0</v>
      </c>
      <c r="I2630" s="7" t="s">
        <v>4316</v>
      </c>
      <c r="J2630" s="3" t="s">
        <v>4318</v>
      </c>
      <c r="K2630" s="8" t="s">
        <v>4781</v>
      </c>
      <c r="L2630" s="9" t="s">
        <v>4213</v>
      </c>
      <c r="M2630" s="1" t="s">
        <v>4214</v>
      </c>
    </row>
    <row r="2631" spans="1:13" x14ac:dyDescent="0.3">
      <c r="A2631" s="3">
        <v>9814028</v>
      </c>
      <c r="B2631" s="4" t="s">
        <v>4174</v>
      </c>
      <c r="C2631" s="5" t="s">
        <v>4206</v>
      </c>
      <c r="D2631" s="5" t="s">
        <v>392</v>
      </c>
      <c r="E2631" s="3" t="s">
        <v>4206</v>
      </c>
      <c r="F2631" s="6">
        <v>124.4</v>
      </c>
      <c r="G2631" s="6">
        <v>117.5</v>
      </c>
      <c r="H2631" s="6">
        <v>10.7</v>
      </c>
      <c r="I2631" s="7" t="s">
        <v>4316</v>
      </c>
      <c r="J2631" s="3" t="s">
        <v>4318</v>
      </c>
      <c r="K2631" s="8" t="s">
        <v>4455</v>
      </c>
      <c r="L2631" s="9" t="s">
        <v>4215</v>
      </c>
      <c r="M2631" s="1" t="s">
        <v>4216</v>
      </c>
    </row>
    <row r="2632" spans="1:13" x14ac:dyDescent="0.3">
      <c r="A2632" s="3">
        <v>9815029</v>
      </c>
      <c r="B2632" s="4" t="s">
        <v>4174</v>
      </c>
      <c r="C2632" s="5" t="s">
        <v>4217</v>
      </c>
      <c r="D2632" s="5" t="s">
        <v>78</v>
      </c>
      <c r="E2632" s="3" t="s">
        <v>4217</v>
      </c>
      <c r="F2632" s="6">
        <v>98</v>
      </c>
      <c r="G2632" s="6">
        <v>13.5</v>
      </c>
      <c r="H2632" s="6">
        <v>82.5</v>
      </c>
      <c r="I2632" s="7" t="s">
        <v>4316</v>
      </c>
      <c r="J2632" s="3" t="s">
        <v>4318</v>
      </c>
      <c r="K2632" s="8" t="s">
        <v>4412</v>
      </c>
      <c r="L2632" s="9" t="s">
        <v>4218</v>
      </c>
      <c r="M2632" s="1" t="s">
        <v>4219</v>
      </c>
    </row>
    <row r="2633" spans="1:13" x14ac:dyDescent="0.3">
      <c r="A2633" s="3">
        <v>9811030</v>
      </c>
      <c r="B2633" s="4" t="s">
        <v>4174</v>
      </c>
      <c r="C2633" s="5" t="s">
        <v>5110</v>
      </c>
      <c r="D2633" s="5" t="s">
        <v>23</v>
      </c>
      <c r="E2633" s="3" t="s">
        <v>4220</v>
      </c>
      <c r="F2633" s="6">
        <v>61</v>
      </c>
      <c r="G2633" s="6">
        <v>47</v>
      </c>
      <c r="H2633" s="6">
        <v>24.5</v>
      </c>
      <c r="I2633" s="7">
        <v>42</v>
      </c>
      <c r="J2633" s="3" t="s">
        <v>4318</v>
      </c>
      <c r="K2633" s="8">
        <v>0.55000000000000004</v>
      </c>
      <c r="L2633" s="9" t="s">
        <v>4221</v>
      </c>
      <c r="M2633" s="1" t="s">
        <v>5152</v>
      </c>
    </row>
    <row r="2634" spans="1:13" x14ac:dyDescent="0.3">
      <c r="A2634" s="3">
        <v>9820031</v>
      </c>
      <c r="B2634" s="4" t="s">
        <v>4174</v>
      </c>
      <c r="C2634" s="5" t="s">
        <v>5110</v>
      </c>
      <c r="D2634" s="5" t="s">
        <v>4792</v>
      </c>
      <c r="E2634" s="3" t="s">
        <v>4220</v>
      </c>
      <c r="F2634" s="6">
        <v>46</v>
      </c>
      <c r="G2634" s="6">
        <v>65</v>
      </c>
      <c r="H2634" s="6">
        <v>10.5</v>
      </c>
      <c r="I2634" s="7">
        <v>32</v>
      </c>
      <c r="J2634" s="3" t="s">
        <v>4317</v>
      </c>
      <c r="K2634" s="8">
        <v>7.0000000000000007E-2</v>
      </c>
      <c r="L2634" s="9" t="s">
        <v>4222</v>
      </c>
      <c r="M2634" s="1" t="s">
        <v>5153</v>
      </c>
    </row>
    <row r="2635" spans="1:13" x14ac:dyDescent="0.3">
      <c r="A2635" s="3">
        <v>9821032</v>
      </c>
      <c r="B2635" s="4" t="s">
        <v>4174</v>
      </c>
      <c r="C2635" s="5" t="s">
        <v>5110</v>
      </c>
      <c r="D2635" s="5" t="s">
        <v>74</v>
      </c>
      <c r="E2635" s="3" t="s">
        <v>4220</v>
      </c>
      <c r="F2635" s="6">
        <v>60.5</v>
      </c>
      <c r="G2635" s="6">
        <v>46</v>
      </c>
      <c r="H2635" s="6" t="s">
        <v>14</v>
      </c>
      <c r="I2635" s="7">
        <v>32</v>
      </c>
      <c r="J2635" s="3" t="s">
        <v>4317</v>
      </c>
      <c r="K2635" s="8">
        <v>0.28000000000000003</v>
      </c>
      <c r="L2635" s="9" t="s">
        <v>4223</v>
      </c>
      <c r="M2635" s="1" t="s">
        <v>5154</v>
      </c>
    </row>
    <row r="2636" spans="1:13" x14ac:dyDescent="0.3">
      <c r="A2636" s="3">
        <v>9819033</v>
      </c>
      <c r="B2636" s="4" t="s">
        <v>4174</v>
      </c>
      <c r="C2636" s="5" t="s">
        <v>5110</v>
      </c>
      <c r="D2636" s="5" t="s">
        <v>13</v>
      </c>
      <c r="E2636" s="3" t="s">
        <v>4220</v>
      </c>
      <c r="F2636" s="6">
        <v>62.5</v>
      </c>
      <c r="G2636" s="6">
        <v>48</v>
      </c>
      <c r="H2636" s="6">
        <v>8</v>
      </c>
      <c r="I2636" s="3">
        <v>32</v>
      </c>
      <c r="J2636" s="3" t="s">
        <v>4317</v>
      </c>
      <c r="K2636" s="8">
        <v>0.5</v>
      </c>
      <c r="L2636" s="9" t="s">
        <v>4224</v>
      </c>
      <c r="M2636" s="1" t="s">
        <v>5155</v>
      </c>
    </row>
    <row r="2637" spans="1:13" x14ac:dyDescent="0.3">
      <c r="A2637" s="3">
        <v>9814034</v>
      </c>
      <c r="B2637" s="4" t="s">
        <v>4174</v>
      </c>
      <c r="C2637" s="5" t="s">
        <v>5223</v>
      </c>
      <c r="D2637" s="5" t="s">
        <v>552</v>
      </c>
      <c r="E2637" s="3" t="s">
        <v>14</v>
      </c>
      <c r="F2637" s="6">
        <v>7.5</v>
      </c>
      <c r="G2637" s="6">
        <v>7.5</v>
      </c>
      <c r="H2637" s="6">
        <v>83</v>
      </c>
      <c r="I2637" s="7" t="s">
        <v>14</v>
      </c>
      <c r="J2637" s="3" t="s">
        <v>14</v>
      </c>
      <c r="K2637" s="8" t="s">
        <v>14</v>
      </c>
      <c r="L2637" s="9" t="s">
        <v>4225</v>
      </c>
      <c r="M2637" s="1" t="s">
        <v>5224</v>
      </c>
    </row>
    <row r="2638" spans="1:13" x14ac:dyDescent="0.3">
      <c r="A2638" s="3">
        <v>9811035</v>
      </c>
      <c r="B2638" s="4" t="s">
        <v>4174</v>
      </c>
      <c r="C2638" s="5" t="s">
        <v>4226</v>
      </c>
      <c r="D2638" s="5" t="s">
        <v>154</v>
      </c>
      <c r="E2638" s="3" t="s">
        <v>4220</v>
      </c>
      <c r="F2638" s="6">
        <v>75</v>
      </c>
      <c r="G2638" s="6">
        <v>47</v>
      </c>
      <c r="H2638" s="6">
        <v>26.5</v>
      </c>
      <c r="I2638" s="7" t="s">
        <v>4316</v>
      </c>
      <c r="J2638" s="3" t="s">
        <v>4318</v>
      </c>
      <c r="K2638" s="8" t="s">
        <v>4586</v>
      </c>
      <c r="L2638" s="9" t="s">
        <v>4227</v>
      </c>
      <c r="M2638" s="1" t="s">
        <v>4228</v>
      </c>
    </row>
    <row r="2639" spans="1:13" x14ac:dyDescent="0.3">
      <c r="A2639" s="3">
        <v>9820036</v>
      </c>
      <c r="B2639" s="4" t="s">
        <v>4174</v>
      </c>
      <c r="C2639" s="5" t="s">
        <v>4226</v>
      </c>
      <c r="D2639" s="5" t="s">
        <v>264</v>
      </c>
      <c r="E2639" s="3" t="s">
        <v>4220</v>
      </c>
      <c r="F2639" s="6">
        <v>46</v>
      </c>
      <c r="G2639" s="6">
        <v>12.5</v>
      </c>
      <c r="H2639" s="6">
        <v>0</v>
      </c>
      <c r="I2639" s="7" t="s">
        <v>4315</v>
      </c>
      <c r="J2639" s="3" t="s">
        <v>4317</v>
      </c>
      <c r="K2639" s="8" t="s">
        <v>4501</v>
      </c>
      <c r="L2639" s="9" t="s">
        <v>4229</v>
      </c>
      <c r="M2639" s="1" t="s">
        <v>4230</v>
      </c>
    </row>
    <row r="2640" spans="1:13" x14ac:dyDescent="0.3">
      <c r="A2640" s="3">
        <v>9821037</v>
      </c>
      <c r="B2640" s="4" t="s">
        <v>4174</v>
      </c>
      <c r="C2640" s="5" t="s">
        <v>4226</v>
      </c>
      <c r="D2640" s="5" t="s">
        <v>267</v>
      </c>
      <c r="E2640" s="3" t="s">
        <v>4220</v>
      </c>
      <c r="F2640" s="6">
        <v>79</v>
      </c>
      <c r="G2640" s="6">
        <v>12.5</v>
      </c>
      <c r="H2640" s="6">
        <v>0</v>
      </c>
      <c r="I2640" s="7" t="s">
        <v>4315</v>
      </c>
      <c r="J2640" s="3" t="s">
        <v>4317</v>
      </c>
      <c r="K2640" s="8" t="s">
        <v>4670</v>
      </c>
      <c r="L2640" s="9" t="s">
        <v>4231</v>
      </c>
      <c r="M2640" s="1" t="s">
        <v>4232</v>
      </c>
    </row>
    <row r="2641" spans="1:13" x14ac:dyDescent="0.3">
      <c r="A2641" s="3">
        <v>981938</v>
      </c>
      <c r="B2641" s="4" t="s">
        <v>4174</v>
      </c>
      <c r="C2641" s="5" t="s">
        <v>4226</v>
      </c>
      <c r="D2641" s="5" t="s">
        <v>74</v>
      </c>
      <c r="E2641" s="3" t="s">
        <v>4220</v>
      </c>
      <c r="F2641" s="6">
        <v>73</v>
      </c>
      <c r="G2641" s="6">
        <v>46</v>
      </c>
      <c r="H2641" s="6">
        <v>0</v>
      </c>
      <c r="I2641" s="7" t="s">
        <v>4315</v>
      </c>
      <c r="J2641" s="3" t="s">
        <v>4317</v>
      </c>
      <c r="K2641" s="8" t="s">
        <v>4450</v>
      </c>
      <c r="L2641" s="9" t="s">
        <v>4233</v>
      </c>
      <c r="M2641" s="1" t="s">
        <v>4234</v>
      </c>
    </row>
    <row r="2642" spans="1:13" x14ac:dyDescent="0.3">
      <c r="A2642" s="3">
        <v>9814039</v>
      </c>
      <c r="B2642" s="4" t="s">
        <v>4174</v>
      </c>
      <c r="C2642" s="5" t="s">
        <v>4226</v>
      </c>
      <c r="D2642" s="5" t="s">
        <v>392</v>
      </c>
      <c r="E2642" s="3" t="s">
        <v>4220</v>
      </c>
      <c r="F2642" s="6">
        <v>76</v>
      </c>
      <c r="G2642" s="6">
        <v>48</v>
      </c>
      <c r="H2642" s="6">
        <v>8</v>
      </c>
      <c r="I2642" s="7" t="s">
        <v>4315</v>
      </c>
      <c r="J2642" s="3" t="s">
        <v>4317</v>
      </c>
      <c r="K2642" s="8" t="s">
        <v>4358</v>
      </c>
      <c r="L2642" s="9" t="s">
        <v>4235</v>
      </c>
      <c r="M2642" s="1" t="s">
        <v>4236</v>
      </c>
    </row>
    <row r="2643" spans="1:13" x14ac:dyDescent="0.3">
      <c r="A2643" s="3">
        <v>9813040</v>
      </c>
      <c r="B2643" s="4" t="s">
        <v>4174</v>
      </c>
      <c r="C2643" s="5" t="s">
        <v>4237</v>
      </c>
      <c r="D2643" s="5" t="s">
        <v>491</v>
      </c>
      <c r="E2643" s="3" t="s">
        <v>4238</v>
      </c>
      <c r="F2643" s="6">
        <v>99.5</v>
      </c>
      <c r="G2643" s="6">
        <v>73.5</v>
      </c>
      <c r="H2643" s="6">
        <v>21</v>
      </c>
      <c r="I2643" s="7" t="s">
        <v>4315</v>
      </c>
      <c r="J2643" s="3" t="s">
        <v>4317</v>
      </c>
      <c r="K2643" s="8" t="s">
        <v>4649</v>
      </c>
      <c r="L2643" s="9" t="s">
        <v>4239</v>
      </c>
      <c r="M2643" s="1" t="s">
        <v>4240</v>
      </c>
    </row>
    <row r="2644" spans="1:13" x14ac:dyDescent="0.3">
      <c r="A2644" s="3">
        <v>9820041</v>
      </c>
      <c r="B2644" s="4" t="s">
        <v>4174</v>
      </c>
      <c r="C2644" s="5" t="s">
        <v>4237</v>
      </c>
      <c r="D2644" s="5" t="s">
        <v>264</v>
      </c>
      <c r="E2644" s="3" t="s">
        <v>4238</v>
      </c>
      <c r="F2644" s="6">
        <v>73</v>
      </c>
      <c r="G2644" s="6">
        <v>10</v>
      </c>
      <c r="H2644" s="6">
        <v>0</v>
      </c>
      <c r="I2644" s="7" t="s">
        <v>4315</v>
      </c>
      <c r="J2644" s="3" t="s">
        <v>4317</v>
      </c>
      <c r="K2644" s="8" t="s">
        <v>4452</v>
      </c>
      <c r="L2644" s="9" t="s">
        <v>4241</v>
      </c>
      <c r="M2644" s="1" t="s">
        <v>4242</v>
      </c>
    </row>
    <row r="2645" spans="1:13" x14ac:dyDescent="0.3">
      <c r="A2645" s="3">
        <v>9821042</v>
      </c>
      <c r="B2645" s="4" t="s">
        <v>4174</v>
      </c>
      <c r="C2645" s="5" t="s">
        <v>4237</v>
      </c>
      <c r="D2645" s="5" t="s">
        <v>267</v>
      </c>
      <c r="E2645" s="3" t="s">
        <v>4238</v>
      </c>
      <c r="F2645" s="6">
        <v>98</v>
      </c>
      <c r="G2645" s="6">
        <v>10</v>
      </c>
      <c r="H2645" s="6">
        <v>0</v>
      </c>
      <c r="I2645" s="7" t="s">
        <v>4315</v>
      </c>
      <c r="J2645" s="3" t="s">
        <v>4317</v>
      </c>
      <c r="K2645" s="8" t="s">
        <v>4465</v>
      </c>
      <c r="L2645" s="9" t="s">
        <v>4243</v>
      </c>
      <c r="M2645" s="1" t="s">
        <v>4244</v>
      </c>
    </row>
    <row r="2646" spans="1:13" x14ac:dyDescent="0.3">
      <c r="A2646" s="3">
        <v>9819043</v>
      </c>
      <c r="B2646" s="4" t="s">
        <v>4174</v>
      </c>
      <c r="C2646" s="5" t="s">
        <v>4237</v>
      </c>
      <c r="D2646" s="5" t="s">
        <v>74</v>
      </c>
      <c r="E2646" s="3" t="s">
        <v>4238</v>
      </c>
      <c r="F2646" s="6">
        <v>98</v>
      </c>
      <c r="G2646" s="6">
        <v>73</v>
      </c>
      <c r="H2646" s="6">
        <v>0</v>
      </c>
      <c r="I2646" s="7" t="s">
        <v>4315</v>
      </c>
      <c r="J2646" s="3" t="s">
        <v>4317</v>
      </c>
      <c r="K2646" s="8" t="s">
        <v>4590</v>
      </c>
      <c r="L2646" s="9" t="s">
        <v>4245</v>
      </c>
      <c r="M2646" s="1" t="s">
        <v>4246</v>
      </c>
    </row>
    <row r="2647" spans="1:13" x14ac:dyDescent="0.3">
      <c r="A2647" s="3">
        <v>9819044</v>
      </c>
      <c r="B2647" s="4" t="s">
        <v>4174</v>
      </c>
      <c r="C2647" s="5" t="s">
        <v>4237</v>
      </c>
      <c r="D2647" s="5" t="s">
        <v>74</v>
      </c>
      <c r="E2647" s="3" t="s">
        <v>4238</v>
      </c>
      <c r="F2647" s="6">
        <v>95</v>
      </c>
      <c r="G2647" s="6">
        <v>10</v>
      </c>
      <c r="H2647" s="6">
        <v>0</v>
      </c>
      <c r="I2647" s="7" t="s">
        <v>4449</v>
      </c>
      <c r="J2647" s="3" t="s">
        <v>4423</v>
      </c>
      <c r="K2647" s="8" t="s">
        <v>4430</v>
      </c>
      <c r="L2647" s="9" t="s">
        <v>4247</v>
      </c>
      <c r="M2647" s="1" t="s">
        <v>4248</v>
      </c>
    </row>
    <row r="2648" spans="1:13" x14ac:dyDescent="0.3">
      <c r="A2648" s="3">
        <v>9813045</v>
      </c>
      <c r="B2648" s="4" t="s">
        <v>4174</v>
      </c>
      <c r="C2648" s="5" t="s">
        <v>4237</v>
      </c>
      <c r="D2648" s="5" t="s">
        <v>2584</v>
      </c>
      <c r="E2648" s="3" t="s">
        <v>4238</v>
      </c>
      <c r="F2648" s="6">
        <v>99</v>
      </c>
      <c r="G2648" s="6">
        <v>74</v>
      </c>
      <c r="H2648" s="6">
        <v>6</v>
      </c>
      <c r="I2648" s="7" t="s">
        <v>4315</v>
      </c>
      <c r="J2648" s="3" t="s">
        <v>4317</v>
      </c>
      <c r="K2648" s="8" t="s">
        <v>4368</v>
      </c>
      <c r="L2648" s="9" t="s">
        <v>4249</v>
      </c>
      <c r="M2648" s="1" t="s">
        <v>4250</v>
      </c>
    </row>
    <row r="2649" spans="1:13" x14ac:dyDescent="0.3">
      <c r="A2649" s="3">
        <v>9811046</v>
      </c>
      <c r="B2649" s="4" t="s">
        <v>4174</v>
      </c>
      <c r="C2649" s="5" t="s">
        <v>4251</v>
      </c>
      <c r="D2649" s="5" t="s">
        <v>154</v>
      </c>
      <c r="E2649" s="3" t="s">
        <v>3374</v>
      </c>
      <c r="F2649" s="6">
        <v>60.5</v>
      </c>
      <c r="G2649" s="6">
        <v>56.5</v>
      </c>
      <c r="H2649" s="6">
        <v>87</v>
      </c>
      <c r="I2649" s="7" t="s">
        <v>4315</v>
      </c>
      <c r="J2649" s="3" t="s">
        <v>4317</v>
      </c>
      <c r="K2649" s="8" t="s">
        <v>4782</v>
      </c>
      <c r="L2649" s="9" t="s">
        <v>4252</v>
      </c>
      <c r="M2649" s="1" t="s">
        <v>4253</v>
      </c>
    </row>
    <row r="2650" spans="1:13" x14ac:dyDescent="0.3">
      <c r="A2650" s="3">
        <v>9820047</v>
      </c>
      <c r="B2650" s="4" t="s">
        <v>4174</v>
      </c>
      <c r="C2650" s="5" t="s">
        <v>4251</v>
      </c>
      <c r="D2650" s="5" t="s">
        <v>264</v>
      </c>
      <c r="E2650" s="3" t="s">
        <v>3374</v>
      </c>
      <c r="F2650" s="6">
        <v>60</v>
      </c>
      <c r="G2650" s="6">
        <v>86.5</v>
      </c>
      <c r="H2650" s="6">
        <v>0</v>
      </c>
      <c r="I2650" s="7" t="s">
        <v>4316</v>
      </c>
      <c r="J2650" s="3" t="s">
        <v>4318</v>
      </c>
      <c r="K2650" s="8" t="s">
        <v>4319</v>
      </c>
      <c r="L2650" s="9" t="s">
        <v>4254</v>
      </c>
      <c r="M2650" s="1" t="s">
        <v>4255</v>
      </c>
    </row>
    <row r="2651" spans="1:13" x14ac:dyDescent="0.3">
      <c r="A2651" s="3">
        <v>9821048</v>
      </c>
      <c r="B2651" s="4" t="s">
        <v>4174</v>
      </c>
      <c r="C2651" s="5" t="s">
        <v>4251</v>
      </c>
      <c r="D2651" s="5" t="s">
        <v>267</v>
      </c>
      <c r="E2651" s="3" t="s">
        <v>3374</v>
      </c>
      <c r="F2651" s="6">
        <v>56</v>
      </c>
      <c r="G2651" s="6">
        <v>86.5</v>
      </c>
      <c r="H2651" s="6">
        <v>0</v>
      </c>
      <c r="I2651" s="7" t="s">
        <v>4316</v>
      </c>
      <c r="J2651" s="3" t="s">
        <v>4318</v>
      </c>
      <c r="K2651" s="8" t="s">
        <v>4602</v>
      </c>
      <c r="L2651" s="9" t="s">
        <v>4256</v>
      </c>
      <c r="M2651" s="1" t="s">
        <v>4257</v>
      </c>
    </row>
    <row r="2652" spans="1:13" x14ac:dyDescent="0.3">
      <c r="A2652" s="3">
        <v>9813049</v>
      </c>
      <c r="B2652" s="4" t="s">
        <v>4174</v>
      </c>
      <c r="C2652" s="5" t="s">
        <v>4251</v>
      </c>
      <c r="D2652" s="5" t="s">
        <v>491</v>
      </c>
      <c r="E2652" s="3" t="s">
        <v>3374</v>
      </c>
      <c r="F2652" s="6">
        <v>123</v>
      </c>
      <c r="G2652" s="6">
        <v>115</v>
      </c>
      <c r="H2652" s="6">
        <v>10</v>
      </c>
      <c r="I2652" s="7" t="s">
        <v>4315</v>
      </c>
      <c r="J2652" s="3" t="s">
        <v>4317</v>
      </c>
      <c r="K2652" s="8" t="s">
        <v>4759</v>
      </c>
      <c r="L2652" s="9" t="s">
        <v>4258</v>
      </c>
      <c r="M2652" s="1" t="s">
        <v>4259</v>
      </c>
    </row>
    <row r="2653" spans="1:13" x14ac:dyDescent="0.3">
      <c r="A2653" s="3">
        <v>9813050</v>
      </c>
      <c r="B2653" s="4" t="s">
        <v>4174</v>
      </c>
      <c r="C2653" s="5" t="s">
        <v>4260</v>
      </c>
      <c r="D2653" s="5" t="s">
        <v>96</v>
      </c>
      <c r="E2653" s="3" t="s">
        <v>4261</v>
      </c>
      <c r="F2653" s="6">
        <v>121</v>
      </c>
      <c r="G2653" s="6">
        <v>112</v>
      </c>
      <c r="H2653" s="6">
        <v>83</v>
      </c>
      <c r="I2653" s="7">
        <v>42</v>
      </c>
      <c r="J2653" s="3" t="s">
        <v>4318</v>
      </c>
      <c r="K2653" s="8">
        <v>4.66</v>
      </c>
      <c r="L2653" s="9" t="s">
        <v>4262</v>
      </c>
      <c r="M2653" s="1" t="s">
        <v>4263</v>
      </c>
    </row>
    <row r="2654" spans="1:13" x14ac:dyDescent="0.3">
      <c r="A2654" s="3">
        <v>9813051</v>
      </c>
      <c r="B2654" s="4" t="s">
        <v>4174</v>
      </c>
      <c r="C2654" s="5" t="s">
        <v>4260</v>
      </c>
      <c r="D2654" s="5" t="s">
        <v>1834</v>
      </c>
      <c r="E2654" s="3" t="s">
        <v>4261</v>
      </c>
      <c r="F2654" s="6">
        <v>111</v>
      </c>
      <c r="G2654" s="6">
        <v>120</v>
      </c>
      <c r="H2654" s="6">
        <v>81</v>
      </c>
      <c r="I2654" s="7">
        <v>42</v>
      </c>
      <c r="J2654" s="3" t="s">
        <v>4318</v>
      </c>
      <c r="K2654" s="8">
        <v>0.9</v>
      </c>
      <c r="L2654" s="9" t="s">
        <v>4264</v>
      </c>
      <c r="M2654" s="1" t="s">
        <v>4265</v>
      </c>
    </row>
    <row r="2655" spans="1:13" x14ac:dyDescent="0.3">
      <c r="A2655" s="3">
        <v>9812051</v>
      </c>
      <c r="B2655" s="4" t="s">
        <v>4174</v>
      </c>
      <c r="C2655" s="5" t="s">
        <v>4266</v>
      </c>
      <c r="D2655" s="5" t="s">
        <v>4267</v>
      </c>
      <c r="E2655" s="3" t="s">
        <v>4261</v>
      </c>
      <c r="F2655" s="6">
        <v>111</v>
      </c>
      <c r="G2655" s="6">
        <v>120</v>
      </c>
      <c r="H2655" s="6">
        <v>81</v>
      </c>
      <c r="I2655" s="7">
        <v>42</v>
      </c>
      <c r="J2655" s="3" t="s">
        <v>4318</v>
      </c>
      <c r="K2655" s="8">
        <v>0.97</v>
      </c>
      <c r="L2655" s="9" t="s">
        <v>4268</v>
      </c>
      <c r="M2655" s="1" t="s">
        <v>6983</v>
      </c>
    </row>
    <row r="2656" spans="1:13" x14ac:dyDescent="0.3">
      <c r="A2656" s="3">
        <v>9813052</v>
      </c>
      <c r="B2656" s="4" t="s">
        <v>4174</v>
      </c>
      <c r="C2656" s="5" t="s">
        <v>4269</v>
      </c>
      <c r="D2656" s="5" t="s">
        <v>78</v>
      </c>
      <c r="E2656" s="3" t="s">
        <v>4270</v>
      </c>
      <c r="F2656" s="6">
        <v>109</v>
      </c>
      <c r="G2656" s="6">
        <v>101</v>
      </c>
      <c r="H2656" s="6">
        <v>48</v>
      </c>
      <c r="I2656" s="7">
        <v>42</v>
      </c>
      <c r="J2656" s="3" t="s">
        <v>4318</v>
      </c>
      <c r="K2656" s="8">
        <v>3.86</v>
      </c>
      <c r="L2656" s="9" t="s">
        <v>4271</v>
      </c>
      <c r="M2656" s="1" t="s">
        <v>4272</v>
      </c>
    </row>
    <row r="2657" spans="1:13" x14ac:dyDescent="0.3">
      <c r="A2657" s="3">
        <v>9813053</v>
      </c>
      <c r="B2657" s="4" t="s">
        <v>4174</v>
      </c>
      <c r="C2657" s="5" t="s">
        <v>4273</v>
      </c>
      <c r="D2657" s="5" t="s">
        <v>1834</v>
      </c>
      <c r="E2657" s="3" t="s">
        <v>4270</v>
      </c>
      <c r="F2657" s="6">
        <v>101</v>
      </c>
      <c r="G2657" s="6">
        <v>108</v>
      </c>
      <c r="H2657" s="6">
        <v>46</v>
      </c>
      <c r="I2657" s="7">
        <v>42</v>
      </c>
      <c r="J2657" s="3" t="s">
        <v>4318</v>
      </c>
      <c r="K2657" s="8">
        <v>0.46</v>
      </c>
      <c r="L2657" s="9" t="s">
        <v>4274</v>
      </c>
      <c r="M2657" s="1" t="s">
        <v>4275</v>
      </c>
    </row>
    <row r="2658" spans="1:13" x14ac:dyDescent="0.3">
      <c r="A2658" s="3">
        <v>9812053</v>
      </c>
      <c r="B2658" s="4" t="s">
        <v>4174</v>
      </c>
      <c r="C2658" s="5" t="s">
        <v>4273</v>
      </c>
      <c r="D2658" s="5" t="s">
        <v>4267</v>
      </c>
      <c r="E2658" s="3" t="s">
        <v>4270</v>
      </c>
      <c r="F2658" s="6">
        <v>101</v>
      </c>
      <c r="G2658" s="6">
        <v>108</v>
      </c>
      <c r="H2658" s="6">
        <v>46</v>
      </c>
      <c r="I2658" s="7">
        <v>42</v>
      </c>
      <c r="J2658" s="3" t="s">
        <v>4318</v>
      </c>
      <c r="K2658" s="8">
        <v>0.5</v>
      </c>
      <c r="L2658" s="9" t="s">
        <v>4276</v>
      </c>
      <c r="M2658" s="1" t="s">
        <v>4277</v>
      </c>
    </row>
    <row r="2659" spans="1:13" x14ac:dyDescent="0.3">
      <c r="A2659" s="3">
        <v>9813054</v>
      </c>
      <c r="B2659" s="4" t="s">
        <v>4174</v>
      </c>
      <c r="C2659" s="5" t="s">
        <v>4278</v>
      </c>
      <c r="D2659" s="5" t="s">
        <v>78</v>
      </c>
      <c r="E2659" s="3" t="s">
        <v>4279</v>
      </c>
      <c r="F2659" s="6">
        <v>130</v>
      </c>
      <c r="G2659" s="6">
        <v>65</v>
      </c>
      <c r="H2659" s="6">
        <v>25</v>
      </c>
      <c r="I2659" s="7">
        <v>42</v>
      </c>
      <c r="J2659" s="3" t="s">
        <v>4318</v>
      </c>
      <c r="K2659" s="8">
        <v>1.82</v>
      </c>
      <c r="L2659" s="9" t="s">
        <v>4280</v>
      </c>
      <c r="M2659" s="1" t="s">
        <v>4281</v>
      </c>
    </row>
    <row r="2660" spans="1:13" x14ac:dyDescent="0.3">
      <c r="A2660" s="3">
        <v>9813055</v>
      </c>
      <c r="B2660" s="4" t="s">
        <v>4174</v>
      </c>
      <c r="C2660" s="5" t="s">
        <v>4278</v>
      </c>
      <c r="D2660" s="5" t="s">
        <v>74</v>
      </c>
      <c r="E2660" s="3" t="s">
        <v>4279</v>
      </c>
      <c r="F2660" s="6">
        <v>24</v>
      </c>
      <c r="G2660" s="6">
        <v>78</v>
      </c>
      <c r="H2660" s="6"/>
      <c r="I2660" s="7">
        <v>42</v>
      </c>
      <c r="J2660" s="3" t="s">
        <v>4318</v>
      </c>
      <c r="K2660" s="8">
        <v>0.19</v>
      </c>
      <c r="L2660" s="9" t="s">
        <v>4282</v>
      </c>
      <c r="M2660" s="1" t="s">
        <v>4283</v>
      </c>
    </row>
    <row r="2661" spans="1:13" x14ac:dyDescent="0.3">
      <c r="A2661" s="27">
        <v>9813056</v>
      </c>
      <c r="B2661" s="28" t="s">
        <v>4174</v>
      </c>
      <c r="C2661" s="29" t="s">
        <v>5144</v>
      </c>
      <c r="D2661" s="29" t="s">
        <v>96</v>
      </c>
      <c r="E2661" s="27" t="s">
        <v>3276</v>
      </c>
      <c r="F2661" s="36">
        <v>136</v>
      </c>
      <c r="G2661" s="36">
        <v>36</v>
      </c>
      <c r="H2661" s="36">
        <v>54.7</v>
      </c>
      <c r="I2661" s="37">
        <v>42</v>
      </c>
      <c r="J2661" s="27" t="s">
        <v>4318</v>
      </c>
      <c r="K2661" s="38">
        <v>3.2</v>
      </c>
      <c r="L2661" s="39" t="s">
        <v>4284</v>
      </c>
      <c r="M2661" s="40" t="s">
        <v>5146</v>
      </c>
    </row>
    <row r="2662" spans="1:13" x14ac:dyDescent="0.3">
      <c r="A2662" s="27">
        <v>9813057</v>
      </c>
      <c r="B2662" s="4" t="s">
        <v>4174</v>
      </c>
      <c r="C2662" s="5" t="s">
        <v>4285</v>
      </c>
      <c r="D2662" s="5" t="s">
        <v>552</v>
      </c>
      <c r="E2662" s="3" t="s">
        <v>3276</v>
      </c>
      <c r="F2662" s="6" t="s">
        <v>4783</v>
      </c>
      <c r="G2662" s="6" t="s">
        <v>4783</v>
      </c>
      <c r="H2662" s="6">
        <v>51</v>
      </c>
      <c r="I2662" s="7"/>
      <c r="J2662" s="3" t="s">
        <v>5145</v>
      </c>
      <c r="K2662" s="8"/>
      <c r="L2662" s="39" t="s">
        <v>4286</v>
      </c>
      <c r="M2662" s="1" t="s">
        <v>5147</v>
      </c>
    </row>
    <row r="2663" spans="1:13" x14ac:dyDescent="0.3">
      <c r="A2663" s="27">
        <v>9813058</v>
      </c>
      <c r="B2663" s="4" t="s">
        <v>4174</v>
      </c>
      <c r="C2663" s="5" t="s">
        <v>4287</v>
      </c>
      <c r="D2663" s="5" t="s">
        <v>154</v>
      </c>
      <c r="E2663" s="3" t="s">
        <v>4288</v>
      </c>
      <c r="F2663" s="6">
        <v>83</v>
      </c>
      <c r="G2663" s="6">
        <v>61</v>
      </c>
      <c r="H2663" s="6">
        <v>20.7</v>
      </c>
      <c r="I2663" s="7">
        <v>42</v>
      </c>
      <c r="J2663" s="3" t="s">
        <v>4318</v>
      </c>
      <c r="K2663" s="8">
        <v>1.51</v>
      </c>
      <c r="L2663" s="39" t="s">
        <v>4289</v>
      </c>
      <c r="M2663" s="1" t="s">
        <v>4290</v>
      </c>
    </row>
    <row r="2664" spans="1:13" x14ac:dyDescent="0.3">
      <c r="A2664" s="27">
        <v>9813059</v>
      </c>
      <c r="B2664" s="4" t="s">
        <v>4174</v>
      </c>
      <c r="C2664" s="5" t="s">
        <v>4291</v>
      </c>
      <c r="D2664" s="5" t="s">
        <v>392</v>
      </c>
      <c r="E2664" s="3" t="s">
        <v>4288</v>
      </c>
      <c r="F2664" s="6">
        <v>85</v>
      </c>
      <c r="G2664" s="6">
        <v>64</v>
      </c>
      <c r="H2664" s="6">
        <v>10</v>
      </c>
      <c r="I2664" s="7">
        <v>42</v>
      </c>
      <c r="J2664" s="3" t="s">
        <v>4318</v>
      </c>
      <c r="K2664" s="8">
        <v>0.88</v>
      </c>
      <c r="L2664" s="39" t="s">
        <v>4292</v>
      </c>
      <c r="M2664" s="1" t="s">
        <v>4293</v>
      </c>
    </row>
    <row r="2665" spans="1:13" x14ac:dyDescent="0.3">
      <c r="A2665" s="27">
        <v>9813060</v>
      </c>
      <c r="B2665" s="4" t="s">
        <v>4174</v>
      </c>
      <c r="C2665" s="5" t="s">
        <v>4294</v>
      </c>
      <c r="D2665" s="5" t="s">
        <v>552</v>
      </c>
      <c r="E2665" s="3" t="s">
        <v>4288</v>
      </c>
      <c r="F2665" s="6" t="s">
        <v>4783</v>
      </c>
      <c r="G2665" s="6" t="s">
        <v>4783</v>
      </c>
      <c r="H2665" s="6">
        <v>18</v>
      </c>
      <c r="I2665" s="7" t="s">
        <v>14</v>
      </c>
      <c r="J2665" s="3" t="s">
        <v>14</v>
      </c>
      <c r="K2665" s="8" t="s">
        <v>14</v>
      </c>
      <c r="L2665" s="39" t="s">
        <v>4295</v>
      </c>
      <c r="M2665" s="1" t="s">
        <v>4296</v>
      </c>
    </row>
    <row r="2666" spans="1:13" x14ac:dyDescent="0.3">
      <c r="A2666" s="27">
        <v>9813061</v>
      </c>
      <c r="B2666" s="4" t="s">
        <v>4174</v>
      </c>
      <c r="C2666" s="5" t="s">
        <v>5024</v>
      </c>
      <c r="D2666" s="5" t="s">
        <v>5020</v>
      </c>
      <c r="E2666" s="3" t="s">
        <v>4237</v>
      </c>
      <c r="F2666" s="6">
        <v>100</v>
      </c>
      <c r="G2666" s="6">
        <v>75</v>
      </c>
      <c r="H2666" s="6">
        <v>21.5</v>
      </c>
      <c r="I2666" s="7">
        <v>32</v>
      </c>
      <c r="J2666" s="3" t="s">
        <v>4317</v>
      </c>
      <c r="K2666" s="8">
        <v>2.1</v>
      </c>
      <c r="L2666" s="39" t="s">
        <v>5025</v>
      </c>
      <c r="M2666" s="1" t="s">
        <v>4974</v>
      </c>
    </row>
    <row r="2667" spans="1:13" x14ac:dyDescent="0.3">
      <c r="A2667" s="27">
        <v>9813062</v>
      </c>
      <c r="B2667" s="4" t="s">
        <v>4174</v>
      </c>
      <c r="C2667" s="5" t="s">
        <v>5031</v>
      </c>
      <c r="D2667" s="5" t="s">
        <v>131</v>
      </c>
      <c r="E2667" s="3" t="s">
        <v>4237</v>
      </c>
      <c r="F2667" s="6">
        <v>99.5</v>
      </c>
      <c r="G2667" s="6">
        <v>74.5</v>
      </c>
      <c r="H2667" s="6">
        <v>10</v>
      </c>
      <c r="I2667" s="7">
        <v>32</v>
      </c>
      <c r="J2667" s="3" t="s">
        <v>4317</v>
      </c>
      <c r="K2667" s="8">
        <v>0.1</v>
      </c>
      <c r="L2667" s="39" t="s">
        <v>5026</v>
      </c>
      <c r="M2667" s="1" t="s">
        <v>4974</v>
      </c>
    </row>
    <row r="2668" spans="1:13" x14ac:dyDescent="0.3">
      <c r="A2668" s="27">
        <v>9813063</v>
      </c>
      <c r="B2668" s="4" t="s">
        <v>4174</v>
      </c>
      <c r="C2668" s="5" t="s">
        <v>5032</v>
      </c>
      <c r="D2668" s="5" t="s">
        <v>5021</v>
      </c>
      <c r="E2668" s="3" t="s">
        <v>4237</v>
      </c>
      <c r="F2668" s="6">
        <v>10</v>
      </c>
      <c r="G2668" s="6">
        <v>105</v>
      </c>
      <c r="H2668" s="6" t="s">
        <v>14</v>
      </c>
      <c r="I2668" s="7" t="s">
        <v>4871</v>
      </c>
      <c r="J2668" s="3" t="s">
        <v>4423</v>
      </c>
      <c r="K2668" s="8">
        <v>0.11</v>
      </c>
      <c r="L2668" s="39" t="s">
        <v>5027</v>
      </c>
      <c r="M2668" s="1" t="s">
        <v>4974</v>
      </c>
    </row>
    <row r="2669" spans="1:13" x14ac:dyDescent="0.3">
      <c r="A2669" s="27">
        <v>9813064</v>
      </c>
      <c r="B2669" s="28" t="s">
        <v>4174</v>
      </c>
      <c r="C2669" s="29" t="s">
        <v>5033</v>
      </c>
      <c r="D2669" s="29" t="s">
        <v>5030</v>
      </c>
      <c r="E2669" s="27" t="s">
        <v>4237</v>
      </c>
      <c r="F2669" s="36">
        <v>102</v>
      </c>
      <c r="G2669" s="36">
        <v>77</v>
      </c>
      <c r="H2669" s="36">
        <v>10</v>
      </c>
      <c r="I2669" s="37">
        <v>32</v>
      </c>
      <c r="J2669" s="27" t="s">
        <v>4317</v>
      </c>
      <c r="K2669" s="38">
        <v>1.18</v>
      </c>
      <c r="L2669" s="39" t="s">
        <v>5028</v>
      </c>
      <c r="M2669" s="40" t="s">
        <v>4974</v>
      </c>
    </row>
    <row r="2670" spans="1:13" x14ac:dyDescent="0.3">
      <c r="A2670" s="27">
        <v>9813065</v>
      </c>
      <c r="B2670" s="28" t="s">
        <v>4174</v>
      </c>
      <c r="C2670" s="29" t="s">
        <v>5042</v>
      </c>
      <c r="D2670" s="29" t="s">
        <v>96</v>
      </c>
      <c r="E2670" s="27" t="s">
        <v>5042</v>
      </c>
      <c r="F2670" s="36">
        <v>28</v>
      </c>
      <c r="G2670" s="36">
        <v>19.5</v>
      </c>
      <c r="H2670" s="36">
        <v>15.7</v>
      </c>
      <c r="I2670" s="37">
        <v>42</v>
      </c>
      <c r="J2670" s="27" t="s">
        <v>4318</v>
      </c>
      <c r="K2670" s="38">
        <v>0.36</v>
      </c>
      <c r="L2670" s="39" t="s">
        <v>5029</v>
      </c>
      <c r="M2670" s="40" t="s">
        <v>4974</v>
      </c>
    </row>
    <row r="2671" spans="1:13" x14ac:dyDescent="0.3">
      <c r="A2671" s="27">
        <v>50240002</v>
      </c>
      <c r="B2671" s="28" t="s">
        <v>4174</v>
      </c>
      <c r="C2671" s="28" t="s">
        <v>5210</v>
      </c>
      <c r="D2671" s="28" t="s">
        <v>613</v>
      </c>
      <c r="E2671" s="27" t="s">
        <v>5205</v>
      </c>
      <c r="F2671" s="36" t="s">
        <v>5207</v>
      </c>
      <c r="G2671" s="36" t="s">
        <v>5207</v>
      </c>
      <c r="H2671" s="36" t="s">
        <v>14</v>
      </c>
      <c r="I2671" s="27" t="s">
        <v>5208</v>
      </c>
      <c r="J2671" s="27" t="s">
        <v>14</v>
      </c>
      <c r="K2671" s="38" t="s">
        <v>14</v>
      </c>
      <c r="L2671" s="39" t="s">
        <v>5211</v>
      </c>
      <c r="M2671" s="40" t="s">
        <v>5220</v>
      </c>
    </row>
    <row r="2672" spans="1:13" x14ac:dyDescent="0.3">
      <c r="A2672" s="27">
        <v>7710001</v>
      </c>
      <c r="B2672" s="28" t="s">
        <v>4297</v>
      </c>
      <c r="C2672" s="5" t="s">
        <v>363</v>
      </c>
      <c r="D2672" s="5" t="s">
        <v>96</v>
      </c>
      <c r="E2672" s="3" t="s">
        <v>363</v>
      </c>
      <c r="F2672" s="6">
        <v>61.4</v>
      </c>
      <c r="G2672" s="6">
        <v>58.4</v>
      </c>
      <c r="H2672" s="6">
        <v>41.4</v>
      </c>
      <c r="I2672" s="7" t="s">
        <v>4316</v>
      </c>
      <c r="J2672" s="3" t="s">
        <v>4318</v>
      </c>
      <c r="K2672" s="8" t="s">
        <v>4456</v>
      </c>
      <c r="L2672" s="9" t="s">
        <v>4298</v>
      </c>
      <c r="M2672" s="1" t="s">
        <v>4299</v>
      </c>
    </row>
    <row r="2673" spans="1:13" x14ac:dyDescent="0.3">
      <c r="A2673" s="27">
        <v>7710002</v>
      </c>
      <c r="B2673" s="28" t="s">
        <v>4297</v>
      </c>
      <c r="C2673" s="5" t="s">
        <v>4300</v>
      </c>
      <c r="D2673" s="5" t="s">
        <v>96</v>
      </c>
      <c r="E2673" s="3" t="s">
        <v>4300</v>
      </c>
      <c r="F2673" s="6">
        <v>61.7</v>
      </c>
      <c r="G2673" s="6">
        <v>56.7</v>
      </c>
      <c r="H2673" s="6">
        <v>38.1</v>
      </c>
      <c r="I2673" s="7" t="s">
        <v>4316</v>
      </c>
      <c r="J2673" s="3" t="s">
        <v>4318</v>
      </c>
      <c r="K2673" s="8" t="s">
        <v>4672</v>
      </c>
      <c r="L2673" s="9" t="s">
        <v>4301</v>
      </c>
      <c r="M2673" s="1" t="s">
        <v>4302</v>
      </c>
    </row>
    <row r="2674" spans="1:13" x14ac:dyDescent="0.3">
      <c r="A2674" s="3">
        <v>7710003</v>
      </c>
      <c r="B2674" s="4" t="s">
        <v>4297</v>
      </c>
      <c r="C2674" s="5">
        <v>460929</v>
      </c>
      <c r="D2674" s="5" t="s">
        <v>96</v>
      </c>
      <c r="E2674" s="3" t="s">
        <v>4303</v>
      </c>
      <c r="F2674" s="6">
        <v>60.7</v>
      </c>
      <c r="G2674" s="6">
        <v>56.2</v>
      </c>
      <c r="H2674" s="6">
        <v>38.1</v>
      </c>
      <c r="I2674" s="7" t="s">
        <v>4316</v>
      </c>
      <c r="J2674" s="3" t="s">
        <v>4318</v>
      </c>
      <c r="K2674" s="8" t="s">
        <v>4499</v>
      </c>
      <c r="L2674" s="9" t="s">
        <v>4304</v>
      </c>
      <c r="M2674" s="1" t="s">
        <v>4305</v>
      </c>
    </row>
    <row r="2675" spans="1:13" x14ac:dyDescent="0.3">
      <c r="A2675" s="3">
        <v>7717004</v>
      </c>
      <c r="B2675" s="4" t="s">
        <v>4297</v>
      </c>
      <c r="C2675" s="5" t="s">
        <v>4306</v>
      </c>
      <c r="D2675" s="5" t="s">
        <v>167</v>
      </c>
      <c r="E2675" s="3" t="s">
        <v>14</v>
      </c>
      <c r="F2675" s="6">
        <v>139.69999999999999</v>
      </c>
      <c r="G2675" s="6">
        <v>144.30000000000001</v>
      </c>
      <c r="H2675" s="6">
        <v>76.2</v>
      </c>
      <c r="I2675" s="7" t="s">
        <v>4345</v>
      </c>
      <c r="J2675" s="3" t="s">
        <v>4347</v>
      </c>
      <c r="K2675" s="8" t="s">
        <v>4784</v>
      </c>
      <c r="L2675" s="9" t="s">
        <v>4307</v>
      </c>
      <c r="M2675" s="1" t="s">
        <v>4308</v>
      </c>
    </row>
    <row r="2676" spans="1:13" x14ac:dyDescent="0.3">
      <c r="A2676" s="3">
        <v>7714005</v>
      </c>
      <c r="B2676" s="4" t="s">
        <v>4297</v>
      </c>
      <c r="C2676" s="5" t="s">
        <v>4306</v>
      </c>
      <c r="D2676" s="5" t="s">
        <v>392</v>
      </c>
      <c r="E2676" s="3" t="s">
        <v>14</v>
      </c>
      <c r="F2676" s="6">
        <v>141.1</v>
      </c>
      <c r="G2676" s="6">
        <v>115.8</v>
      </c>
      <c r="H2676" s="6">
        <v>12.8</v>
      </c>
      <c r="I2676" s="7" t="s">
        <v>4316</v>
      </c>
      <c r="J2676" s="3" t="s">
        <v>4318</v>
      </c>
      <c r="K2676" s="8" t="s">
        <v>4757</v>
      </c>
      <c r="L2676" s="9" t="s">
        <v>4309</v>
      </c>
      <c r="M2676" s="1" t="s">
        <v>4310</v>
      </c>
    </row>
    <row r="2677" spans="1:13" x14ac:dyDescent="0.3">
      <c r="A2677" s="3">
        <v>7719006</v>
      </c>
      <c r="B2677" s="4" t="s">
        <v>4297</v>
      </c>
      <c r="C2677" s="5" t="s">
        <v>4306</v>
      </c>
      <c r="D2677" s="5" t="s">
        <v>74</v>
      </c>
      <c r="E2677" s="3" t="s">
        <v>14</v>
      </c>
      <c r="F2677" s="6">
        <v>132.1</v>
      </c>
      <c r="G2677" s="6">
        <v>106.7</v>
      </c>
      <c r="H2677" s="6">
        <v>0</v>
      </c>
      <c r="I2677" s="7" t="s">
        <v>4316</v>
      </c>
      <c r="J2677" s="3" t="s">
        <v>4318</v>
      </c>
      <c r="K2677" s="8" t="s">
        <v>4690</v>
      </c>
      <c r="L2677" s="9" t="s">
        <v>4311</v>
      </c>
      <c r="M2677" s="1" t="s">
        <v>4312</v>
      </c>
    </row>
    <row r="2689" spans="4:4" x14ac:dyDescent="0.3">
      <c r="D2689" s="67" t="s">
        <v>6508</v>
      </c>
    </row>
  </sheetData>
  <mergeCells count="1">
    <mergeCell ref="F1:H1"/>
  </mergeCells>
  <phoneticPr fontId="4" type="noConversion"/>
  <conditionalFormatting sqref="C393:C399 E2:E639 E782:E2267 E2462:E2610">
    <cfRule type="containsBlanks" dxfId="4" priority="5">
      <formula>LEN(TRIM(C2))=0</formula>
    </cfRule>
  </conditionalFormatting>
  <conditionalFormatting sqref="D198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76:K380 E641:E780 F969:K969 F979:K983 F1182:K1189 E2269:E2319 E2324:E2429 E2445:E2461 E2614:E2618 E2620:E2660">
    <cfRule type="containsBlanks" dxfId="3" priority="7">
      <formula>LEN(TRIM(E376))=0</formula>
    </cfRule>
  </conditionalFormatting>
  <conditionalFormatting sqref="E2431:E2432 E2434:E2442">
    <cfRule type="containsBlanks" dxfId="2" priority="2">
      <formula>LEN(TRIM(E2431))=0</formula>
    </cfRule>
  </conditionalFormatting>
  <conditionalFormatting sqref="M119:M191 M193:M948 N949 M950:M1559 N1805:N1807 M1808:M1879 N1880 M1881:M1948 N1949:N1950 M1951:M2066 M2120:M2151 N2152:N2153 M2154:M2195 M2197:M2319 M2324:M2428 M2429:N2429 M2612:M2660 M2:M117 M1562:M1804 M2430:M2610">
    <cfRule type="containsBlanks" dxfId="1" priority="8">
      <formula>LEN(TRIM(M2))=0</formula>
    </cfRule>
  </conditionalFormatting>
  <conditionalFormatting sqref="M119:M191 M193:M948 N949 M950:M1559 N1805:N1807 M1808:M1879 N1880 M1881:M1948 N1949:N1950 M1951:M2066 M2120:M2151 N2152:N2153 M2154:M2319 M2324:M2428 M2429:N2429 M2612:M2667 M2:M117 M1562:M1804 M2430:M2610">
    <cfRule type="containsBlanks" dxfId="0" priority="6">
      <formula>LEN(TRIM(M2))=0</formula>
    </cfRule>
  </conditionalFormatting>
  <hyperlinks>
    <hyperlink ref="M2677" r:id="rId1" xr:uid="{AFC014E4-269A-4666-BBAB-101651C3929D}"/>
    <hyperlink ref="M3" r:id="rId2" xr:uid="{76FEC80E-642D-4718-B924-2B727F9C5E29}"/>
    <hyperlink ref="M4" r:id="rId3" xr:uid="{A71FF0BD-92DC-44F2-95F9-6D6095E2957A}"/>
    <hyperlink ref="M5" r:id="rId4" xr:uid="{AE4A3511-DC2A-4B4A-B00B-042C1C30A4A2}"/>
    <hyperlink ref="M6" r:id="rId5" xr:uid="{6E86FA1D-F7D9-411D-8CA5-694EC669DF7F}"/>
    <hyperlink ref="M7" r:id="rId6" xr:uid="{63EA952C-7914-406C-AFF2-0CE4B2AB2734}"/>
    <hyperlink ref="M8" r:id="rId7" xr:uid="{B4BC9039-84B5-48DC-B195-AD1BBD7E36D2}"/>
    <hyperlink ref="M9" r:id="rId8" xr:uid="{DCA829F7-0244-48DA-8987-F3507DD3B7A1}"/>
    <hyperlink ref="M10" r:id="rId9" xr:uid="{F0EBEAB1-0383-4D53-B0DD-D81E4690DB21}"/>
    <hyperlink ref="M11" r:id="rId10" xr:uid="{BBFEE73B-4540-40B4-AE50-B5BCA5DC344C}"/>
    <hyperlink ref="M12" r:id="rId11" xr:uid="{05C5C508-BE98-415D-94EF-29CF1266942F}"/>
    <hyperlink ref="M13" r:id="rId12" xr:uid="{4A5BD041-07EA-4B20-9F71-45D5C4FAF2C2}"/>
    <hyperlink ref="M14" r:id="rId13" xr:uid="{41BF7A6F-551F-4176-B37F-2D520EE3984B}"/>
    <hyperlink ref="M15" r:id="rId14" xr:uid="{8D2B56C9-9A18-4B8B-9719-0ADB0A255861}"/>
    <hyperlink ref="M16" r:id="rId15" xr:uid="{97093A0A-9AE9-4E09-B177-600057D2DD66}"/>
    <hyperlink ref="M17" r:id="rId16" xr:uid="{5F0068F2-1688-497C-AA65-1B0C4EE8294A}"/>
    <hyperlink ref="M18" r:id="rId17" xr:uid="{6747DA70-2E37-4F20-BA37-F12353DD13D1}"/>
    <hyperlink ref="M19" r:id="rId18" xr:uid="{E54955AC-3042-40D5-9A77-66EBE8EEF671}"/>
    <hyperlink ref="M20" r:id="rId19" xr:uid="{A7522756-5090-4909-B556-A9F09B5EE2E8}"/>
    <hyperlink ref="M21" r:id="rId20" xr:uid="{53C0B6CC-DC3D-4DCD-8D7A-786C5ECC076C}"/>
    <hyperlink ref="M22" r:id="rId21" xr:uid="{E39AC812-7A03-44F2-B44C-69851DB23F4F}"/>
    <hyperlink ref="M23" r:id="rId22" xr:uid="{60DFDA69-7290-414B-9AC3-69D3A1EAA2EA}"/>
    <hyperlink ref="M24" r:id="rId23" xr:uid="{9ADF2A80-7BAE-4C63-A80D-A7264311666C}"/>
    <hyperlink ref="M25" r:id="rId24" xr:uid="{2937AACE-F143-4F08-8982-AEEE4B60824A}"/>
    <hyperlink ref="M26" r:id="rId25" xr:uid="{A9D42878-AD4C-4FD3-8BA7-86E577BA0FB9}"/>
    <hyperlink ref="M28" r:id="rId26" xr:uid="{430AA934-F768-4D65-9289-42DBF8FB19ED}"/>
    <hyperlink ref="M29" r:id="rId27" xr:uid="{23A96B92-75B3-4102-BB09-E78CAECAC71E}"/>
    <hyperlink ref="M30" r:id="rId28" xr:uid="{4313CC49-459F-4018-8E7C-2FC0060D5774}"/>
    <hyperlink ref="M31" r:id="rId29" xr:uid="{91B2BE0D-6421-4E0C-8D93-7DE90DEC7F64}"/>
    <hyperlink ref="M32" r:id="rId30" xr:uid="{55EB3712-B403-4C3F-B8AD-EBB6939379DA}"/>
    <hyperlink ref="M33" r:id="rId31" xr:uid="{7AFCC4E5-01D0-435B-B415-A055D5BCAFA8}"/>
    <hyperlink ref="M34" r:id="rId32" xr:uid="{2438CE91-FF61-4847-B9B6-CEC645B0887F}"/>
    <hyperlink ref="M35" r:id="rId33" xr:uid="{03B312B7-542A-45CC-957A-18D1B1B6035F}"/>
    <hyperlink ref="M36" r:id="rId34" xr:uid="{3513219D-A645-420D-81F7-31BD476042BD}"/>
    <hyperlink ref="M37" r:id="rId35" xr:uid="{4E4D07EE-F3EC-4E5F-87B0-F563EB01ABEB}"/>
    <hyperlink ref="M38" r:id="rId36" xr:uid="{AACD19C1-FB58-4066-81B2-A0C5C2F44230}"/>
    <hyperlink ref="M39" r:id="rId37" xr:uid="{80AF0CAC-9E2A-4C72-872C-D7B5FE3FCEDB}"/>
    <hyperlink ref="M40" r:id="rId38" xr:uid="{308F9C4D-CF00-4155-9F27-2E079F0B35EA}"/>
    <hyperlink ref="M41" r:id="rId39" xr:uid="{CE88FF04-F606-479F-89F3-81CB0C556188}"/>
    <hyperlink ref="M42" r:id="rId40" xr:uid="{89DDCDA9-C209-49B9-A644-4C1A113D897A}"/>
    <hyperlink ref="M43" r:id="rId41" xr:uid="{98B92B04-71E9-4F93-A5F9-10AA17F10745}"/>
    <hyperlink ref="M44" r:id="rId42" xr:uid="{883C25AD-6A62-4108-A6C4-0B1BE8A1FE2B}"/>
    <hyperlink ref="M45" r:id="rId43" xr:uid="{AFE8039D-BD12-4D44-AF0C-A3C637F579EE}"/>
    <hyperlink ref="M46" r:id="rId44" xr:uid="{B752B8AB-3304-4FD7-8310-F5C655C8968A}"/>
    <hyperlink ref="M47" r:id="rId45" xr:uid="{4E4D2CBE-5E54-4477-97CF-7C9612AAF74C}"/>
    <hyperlink ref="M48" r:id="rId46" xr:uid="{4EA691D6-A501-48BA-A62F-B3C744806C59}"/>
    <hyperlink ref="M52" r:id="rId47" xr:uid="{8D2C9B56-D2BF-4F0B-BA44-8DC77E1B8528}"/>
    <hyperlink ref="M53" r:id="rId48" xr:uid="{230819B6-D438-4268-AD82-00D713F1F867}"/>
    <hyperlink ref="M54" r:id="rId49" xr:uid="{BD2EB21B-AACA-4774-8F16-87666FD9A34C}"/>
    <hyperlink ref="M55" r:id="rId50" xr:uid="{390D4079-766E-40D9-9A12-6E82C6AD8A09}"/>
    <hyperlink ref="M56" r:id="rId51" xr:uid="{CF11FCEA-8345-4D36-ADD5-27584ADB40F9}"/>
    <hyperlink ref="M62" r:id="rId52" xr:uid="{EE59F869-6A31-4395-BD5C-02F89A783053}"/>
    <hyperlink ref="M63" r:id="rId53" xr:uid="{5F112BED-6A56-4031-A7A4-F23345D57977}"/>
    <hyperlink ref="M64" r:id="rId54" xr:uid="{62892F3F-3386-428B-8EC4-22AEE5A8354F}"/>
    <hyperlink ref="M65" r:id="rId55" xr:uid="{0A77C55A-8A0C-4528-863F-95998AE06FC8}"/>
    <hyperlink ref="M66" r:id="rId56" xr:uid="{1F0FECE1-E902-4724-AD22-8A4DDE22AE9E}"/>
    <hyperlink ref="M67" r:id="rId57" xr:uid="{5543357E-9CAF-4AC4-8B1E-24B5A92CFC43}"/>
    <hyperlink ref="M68" r:id="rId58" xr:uid="{1FF5FDD0-3BC4-43E9-89FE-7A3A31ABDC92}"/>
    <hyperlink ref="M69" r:id="rId59" xr:uid="{4F30FDDB-BBDA-4B41-88B1-087BE03CA156}"/>
    <hyperlink ref="M70" r:id="rId60" xr:uid="{C27DCD73-3D49-459E-ADFB-EC08E0F075E9}"/>
    <hyperlink ref="M71" r:id="rId61" xr:uid="{7C30312C-B438-471A-9732-B051E6C8CE2D}"/>
    <hyperlink ref="M72" r:id="rId62" xr:uid="{4AD8FBB9-DBC6-41BE-B3A1-6E1FD4ED2630}"/>
    <hyperlink ref="M73" r:id="rId63" xr:uid="{ADE435EC-F557-4FB8-B8F2-F5B3D4F7518B}"/>
    <hyperlink ref="M74" r:id="rId64" xr:uid="{33DC5A0A-F4AF-488B-BCDD-B83908E4D1EF}"/>
    <hyperlink ref="M76" r:id="rId65" xr:uid="{FB2A4603-A575-4057-8DF6-C7FC11722681}"/>
    <hyperlink ref="M77" r:id="rId66" xr:uid="{50F0772E-4147-4E5B-B2A2-56176E5358E3}"/>
    <hyperlink ref="M78" r:id="rId67" xr:uid="{3E4E5E39-0FD2-4621-A984-58B281E82FCF}"/>
    <hyperlink ref="M79" r:id="rId68" xr:uid="{B8322806-9F5A-46D4-B347-0146832E0869}"/>
    <hyperlink ref="M80" r:id="rId69" xr:uid="{937EA530-408C-4F51-8CA0-3B439556E5D8}"/>
    <hyperlink ref="M81" r:id="rId70" xr:uid="{54B711A0-61FE-4ADA-8EDD-06548EB74154}"/>
    <hyperlink ref="M82" r:id="rId71" xr:uid="{56F1D821-1E43-42A9-971E-16C5E1C9C8AD}"/>
    <hyperlink ref="M83" r:id="rId72" xr:uid="{C6B74028-9AD0-477A-B23F-2CC263739115}"/>
    <hyperlink ref="M84" r:id="rId73" xr:uid="{E4E7DDF7-85FE-4ECE-B8D9-5D0655A14467}"/>
    <hyperlink ref="M85" r:id="rId74" xr:uid="{67F8026F-61DE-40C8-8E4B-CA211FC1307F}"/>
    <hyperlink ref="M86" r:id="rId75" xr:uid="{23303489-5986-4DA5-BC23-DF353780B76B}"/>
    <hyperlink ref="M87" r:id="rId76" xr:uid="{7F82E1FF-7432-4B68-8FFB-C25D5D5BB22F}"/>
    <hyperlink ref="M88" r:id="rId77" xr:uid="{EC70582A-BBAD-4047-AB5E-89BC8E9E9A3D}"/>
    <hyperlink ref="M89" r:id="rId78" xr:uid="{9D202742-E038-4927-995F-D7191574AAEA}"/>
    <hyperlink ref="M90" r:id="rId79" xr:uid="{058BA00E-6868-4306-AB60-3CD6D8F7FDD4}"/>
    <hyperlink ref="M91" r:id="rId80" xr:uid="{994AA1DD-1101-41C8-B776-015A031A5634}"/>
    <hyperlink ref="M92" r:id="rId81" xr:uid="{2F91C4AF-878B-4B09-8B46-8B642D3BDCE6}"/>
    <hyperlink ref="M93" r:id="rId82" xr:uid="{DAD1CBDC-77A6-4A20-8485-CD9EEC02BB69}"/>
    <hyperlink ref="M94" r:id="rId83" xr:uid="{EB6B8C6F-D294-4F9B-8CF4-A53E6722170F}"/>
    <hyperlink ref="M95" r:id="rId84" xr:uid="{CA6D871C-314E-46A5-9666-5869333FC50C}"/>
    <hyperlink ref="M96" r:id="rId85" xr:uid="{BDA3C5D4-526D-44A7-853A-52C1A5C972BF}"/>
    <hyperlink ref="M97" r:id="rId86" xr:uid="{D248A162-3C53-4316-878C-EB19619787A3}"/>
    <hyperlink ref="M98" r:id="rId87" xr:uid="{961A9F03-E4C3-4844-9170-777297B1F580}"/>
    <hyperlink ref="M99" r:id="rId88" xr:uid="{8152976B-2262-4B56-BC5F-0D8BE709493B}"/>
    <hyperlink ref="M100" r:id="rId89" xr:uid="{F984EE10-025E-4B13-9257-4694E3DFA188}"/>
    <hyperlink ref="M101" r:id="rId90" xr:uid="{BE1BA1E1-7DE1-48B6-8416-952DE59A3BF7}"/>
    <hyperlink ref="M102" r:id="rId91" xr:uid="{BC632E31-4128-4CF0-A9AA-2A83EED2EF81}"/>
    <hyperlink ref="M103" r:id="rId92" xr:uid="{8E2A41DE-65D7-4F2F-9580-106E62129330}"/>
    <hyperlink ref="M104" r:id="rId93" xr:uid="{E39A5394-5DE9-4546-A2CE-9453A06A1A95}"/>
    <hyperlink ref="M105" r:id="rId94" xr:uid="{3ACF6ABD-F788-40DC-BF53-47FE03A3F1C7}"/>
    <hyperlink ref="M106" r:id="rId95" xr:uid="{0145E963-CF27-462A-8A6D-956907BF0E32}"/>
    <hyperlink ref="M107" r:id="rId96" xr:uid="{2F98D632-5B7A-4947-A563-7D2942F66035}"/>
    <hyperlink ref="M108" r:id="rId97" xr:uid="{57E3262A-F93F-4C84-9700-DCDB85612AB7}"/>
    <hyperlink ref="M109" r:id="rId98" xr:uid="{A7F23867-C000-45E2-9B07-F7ED30243630}"/>
    <hyperlink ref="M110" r:id="rId99" xr:uid="{7F68ACD7-80F6-4075-BB59-48E069A9A813}"/>
    <hyperlink ref="M111" r:id="rId100" xr:uid="{AC75BDCA-723C-4A15-9E82-B0E5FFA7906D}"/>
    <hyperlink ref="M112" r:id="rId101" xr:uid="{9B66D591-8E34-4FF3-842F-86320455FF70}"/>
    <hyperlink ref="M113" r:id="rId102" xr:uid="{FDD4D0DD-EDB6-485C-B524-632799EB57E1}"/>
    <hyperlink ref="M114" r:id="rId103" xr:uid="{03C9360F-DFEA-4690-8CD4-B80F26094B7D}"/>
    <hyperlink ref="M115" r:id="rId104" xr:uid="{D243E46E-A589-450F-84BC-DE6A0B8470EF}"/>
    <hyperlink ref="M116" r:id="rId105" xr:uid="{A37892AC-E5B8-4473-94CC-8B5251A19C8F}"/>
    <hyperlink ref="M125" r:id="rId106" xr:uid="{351FB05B-A1D8-4DF3-A4A0-6476D4DCD9F6}"/>
    <hyperlink ref="M126" r:id="rId107" xr:uid="{CF9B4ABD-EE27-4DBC-A68B-C9F01644F137}"/>
    <hyperlink ref="M127" r:id="rId108" xr:uid="{6B0CF93B-863C-468A-919F-0F3C087451AA}"/>
    <hyperlink ref="M128" r:id="rId109" xr:uid="{AD97080C-B183-4EF5-BFC8-6312CDBFADF4}"/>
    <hyperlink ref="M129" r:id="rId110" xr:uid="{9DB5FE6A-BF2C-4040-9B89-A05A1D26EE67}"/>
    <hyperlink ref="M130" r:id="rId111" xr:uid="{A50FADB3-2C0A-4CE3-A9A9-7F4C02AFBD38}"/>
    <hyperlink ref="M131" r:id="rId112" xr:uid="{B3D2C535-9C4C-4295-B11B-2922DDBCC75B}"/>
    <hyperlink ref="M132" r:id="rId113" xr:uid="{642DC3E7-94A8-434A-8972-BEF46CDFA144}"/>
    <hyperlink ref="M135" r:id="rId114" xr:uid="{CEC613AA-5C29-4C8F-BCCF-DDDE425BAEED}"/>
    <hyperlink ref="M137" r:id="rId115" xr:uid="{8B7EEA20-635D-4B91-BCFE-2387CD5206A5}"/>
    <hyperlink ref="M139" r:id="rId116" xr:uid="{D1232B9C-D3D7-43DC-B75A-0D3CCFA65DC0}"/>
    <hyperlink ref="M141" r:id="rId117" xr:uid="{56C2591C-A9F1-4EDE-BDCF-054D45E91CA0}"/>
    <hyperlink ref="M142" r:id="rId118" xr:uid="{EEE92D67-87B3-4977-9730-CB13F9E8CBA9}"/>
    <hyperlink ref="M144" r:id="rId119" xr:uid="{D840C2C2-73DB-4BBC-B921-BDBC93E9F515}"/>
    <hyperlink ref="M145" r:id="rId120" xr:uid="{FE06F07B-9EDD-4809-B96D-50E7F21D96A4}"/>
    <hyperlink ref="M147" r:id="rId121" xr:uid="{05AE901B-90F8-4289-B60A-24700D671163}"/>
    <hyperlink ref="M148" r:id="rId122" xr:uid="{7CC15A9B-495A-485C-83B0-39F050D0A026}"/>
    <hyperlink ref="M150" r:id="rId123" xr:uid="{9F98B11E-A52A-4480-8407-02D58B934961}"/>
    <hyperlink ref="M151" r:id="rId124" xr:uid="{78FE2B32-D339-4F05-8FE4-B5C88930720F}"/>
    <hyperlink ref="M152" r:id="rId125" xr:uid="{3552857D-BB6B-4C76-99DA-D8CA4A3B569A}"/>
    <hyperlink ref="M153" r:id="rId126" xr:uid="{BE3ED475-402E-401D-B8D0-88331E14FE26}"/>
    <hyperlink ref="M154" r:id="rId127" xr:uid="{F9827745-9B0F-45BC-9E46-A05FD81C59D1}"/>
    <hyperlink ref="M156" r:id="rId128" xr:uid="{B78A5F0F-CF70-4135-9778-6858AE3B8E45}"/>
    <hyperlink ref="M157" r:id="rId129" xr:uid="{1B561CA0-3F81-45EF-BCF8-34CD853EDD3B}"/>
    <hyperlink ref="M158" r:id="rId130" xr:uid="{86C08935-93C7-4254-A2DC-939DB351FE8E}"/>
    <hyperlink ref="M159" r:id="rId131" xr:uid="{718548A5-D959-4FC1-BCDB-F4BB77C12C61}"/>
    <hyperlink ref="M160" r:id="rId132" xr:uid="{44652D4A-B89E-4713-8A47-7377BB6F8C20}"/>
    <hyperlink ref="M161" r:id="rId133" xr:uid="{0DB5133A-98AB-4ED6-8138-F75352C5CC47}"/>
    <hyperlink ref="M162" r:id="rId134" xr:uid="{C59A67A7-237F-423B-BDF7-A8288522691B}"/>
    <hyperlink ref="M163" r:id="rId135" xr:uid="{EC2362CA-1E3F-43FD-AF31-3F7C9CF8D3B4}"/>
    <hyperlink ref="M164" r:id="rId136" xr:uid="{789EFD8E-4A01-4594-9E81-D39B1A438AD0}"/>
    <hyperlink ref="M165" r:id="rId137" xr:uid="{EA61D4EB-BCD2-4FFE-AF8F-7CF78B0084B3}"/>
    <hyperlink ref="M166" r:id="rId138" xr:uid="{224E6A07-D8BC-4814-A6D4-5F2FE32C409B}"/>
    <hyperlink ref="M167" r:id="rId139" xr:uid="{BAC57533-7D56-427F-A425-DA6362CC8682}"/>
    <hyperlink ref="M168" r:id="rId140" xr:uid="{DFD89462-E0C2-4720-B053-0EDF4E3FA190}"/>
    <hyperlink ref="M169" r:id="rId141" xr:uid="{F17CB224-1AD5-4FD6-AE93-5A932341B49E}"/>
    <hyperlink ref="M170" r:id="rId142" xr:uid="{B17B18B9-EAE3-4F7B-8165-EFCCCFCB982A}"/>
    <hyperlink ref="M171" r:id="rId143" xr:uid="{90F8C23F-60B7-4B4D-969D-901EAE8B7331}"/>
    <hyperlink ref="M172" r:id="rId144" xr:uid="{192A78AE-AD02-45A5-B6F2-AA7A366DA5E4}"/>
    <hyperlink ref="M173" r:id="rId145" xr:uid="{347300F2-98BD-4F4B-B64D-2AC2BB164398}"/>
    <hyperlink ref="M174" r:id="rId146" xr:uid="{E775EF35-D41C-4813-8867-6892BF7303FE}"/>
    <hyperlink ref="M175" r:id="rId147" xr:uid="{B50FBA7F-C520-4DA6-B7E5-384832840CB9}"/>
    <hyperlink ref="M176" r:id="rId148" xr:uid="{BA626DC9-B872-445D-A82C-678DA6D906D8}"/>
    <hyperlink ref="M178" r:id="rId149" xr:uid="{1249482F-382B-4BB7-A16C-64520A5ADE35}"/>
    <hyperlink ref="M179" r:id="rId150" xr:uid="{F2881A83-AC51-4BF5-B2DA-64DAFE795F92}"/>
    <hyperlink ref="M180" r:id="rId151" xr:uid="{ABA2B37A-EAF0-462F-ACD7-E574EFED4A10}"/>
    <hyperlink ref="M181" r:id="rId152" xr:uid="{EEDA0B94-A369-4722-984C-C2953167BB08}"/>
    <hyperlink ref="M182" r:id="rId153" xr:uid="{273176E8-E91A-4E58-8666-E7928F5F8F84}"/>
    <hyperlink ref="M183" r:id="rId154" xr:uid="{88E69C75-5D46-4A3D-99F2-79DDC5EC3953}"/>
    <hyperlink ref="M184" r:id="rId155" xr:uid="{513B655F-1C4E-4D02-834E-EBBD2287C17A}"/>
    <hyperlink ref="M185" r:id="rId156" xr:uid="{258032C0-852B-4175-87B7-3B79CCFA6270}"/>
    <hyperlink ref="M186" r:id="rId157" xr:uid="{E50FAAC4-024E-4A1F-84BE-585C08D840FD}"/>
    <hyperlink ref="M187" r:id="rId158" xr:uid="{40411207-E344-42E5-84E2-E9F07B9F3B78}"/>
    <hyperlink ref="M188" r:id="rId159" xr:uid="{D0597A94-8345-434D-B1DA-62AAEFAA9423}"/>
    <hyperlink ref="M189" r:id="rId160" xr:uid="{337059D3-DE0C-4676-AF83-465D0208651F}"/>
    <hyperlink ref="M190" r:id="rId161" xr:uid="{3C420CBC-27B1-4EA2-A1F3-9FED88608857}"/>
    <hyperlink ref="M196" r:id="rId162" xr:uid="{E30B3712-D548-4195-9553-916133A89859}"/>
    <hyperlink ref="M236" r:id="rId163" xr:uid="{A22EC3EB-B3C3-4DBF-9A7F-A77B14853930}"/>
    <hyperlink ref="M237" r:id="rId164" xr:uid="{9F2AE461-4797-4963-B7F7-6835E5C47E8F}"/>
    <hyperlink ref="M238" r:id="rId165" xr:uid="{7FDF6CB0-EE9B-4B6B-AED2-1B344208D404}"/>
    <hyperlink ref="M239" r:id="rId166" xr:uid="{B6BA84C4-528B-4C5E-BD22-8EE8AD346582}"/>
    <hyperlink ref="M240" r:id="rId167" xr:uid="{42F93BA4-99CA-4CBA-B183-CCDE773A5A0C}"/>
    <hyperlink ref="M241" r:id="rId168" xr:uid="{B3FA2D6B-8098-4702-A8DB-610D2281F3DA}"/>
    <hyperlink ref="M242" r:id="rId169" xr:uid="{B2781D06-92E7-4657-A13A-D58B2E5709D8}"/>
    <hyperlink ref="M530" r:id="rId170" xr:uid="{41CAE257-D321-40F2-9C93-A8814F7AE6FA}"/>
    <hyperlink ref="M252" r:id="rId171" xr:uid="{2B1FE8D7-9D72-417C-B6BC-7A11E5BEE3E5}"/>
    <hyperlink ref="M253" r:id="rId172" xr:uid="{E8DA7852-B592-4792-B02F-C5DB1E4763C0}"/>
    <hyperlink ref="M248" r:id="rId173" xr:uid="{E3B55568-D6CB-4364-A91F-35351DF493EF}"/>
    <hyperlink ref="M243" r:id="rId174" xr:uid="{125E79BF-D5DE-4100-81CD-1AEF7909ECDD}"/>
    <hyperlink ref="M244" r:id="rId175" xr:uid="{49B14809-87A0-4B3A-AF63-0AFD4518C267}"/>
    <hyperlink ref="M245" r:id="rId176" xr:uid="{3882E3EF-C206-408F-B393-5A56A6CD30D6}"/>
    <hyperlink ref="M246" r:id="rId177" xr:uid="{42EB3438-2251-4000-9DCD-88D5CD856953}"/>
    <hyperlink ref="M247" r:id="rId178" xr:uid="{85601A61-7C89-4FB1-8FFC-9001A310E901}"/>
    <hyperlink ref="M249" r:id="rId179" xr:uid="{3AFB9475-B7C7-4D21-A33D-4FEB2406FFDB}"/>
    <hyperlink ref="M250" r:id="rId180" xr:uid="{B081DA94-D5F7-40D0-B810-D7EB49E5621D}"/>
    <hyperlink ref="M251" r:id="rId181" xr:uid="{E64E1AC6-9770-4D8C-9256-EB86667A295E}"/>
    <hyperlink ref="M259" r:id="rId182" xr:uid="{7D89BE65-66E7-4149-B74A-EB057F0F4274}"/>
    <hyperlink ref="M257" r:id="rId183" xr:uid="{0063BF92-E01C-4AD3-A468-24C73706D5C3}"/>
    <hyperlink ref="M258" r:id="rId184" xr:uid="{08802AF3-D6DC-482B-B0DE-16C149D8B2C4}"/>
    <hyperlink ref="M260" r:id="rId185" xr:uid="{E5309DA0-38F5-4E1C-AC36-55A312AB5D46}"/>
    <hyperlink ref="M261" r:id="rId186" xr:uid="{560C73B0-4825-4206-819E-FA4D42E869E8}"/>
    <hyperlink ref="M266" r:id="rId187" xr:uid="{875EEA44-2F55-4084-B9CF-1E9DEEBEE42B}"/>
    <hyperlink ref="M267" r:id="rId188" xr:uid="{FC93ECD8-C191-48FC-9121-F32AA18A7DEA}"/>
    <hyperlink ref="M343" r:id="rId189" xr:uid="{72879175-951C-4699-94A6-4D788CA9C825}"/>
    <hyperlink ref="M342" r:id="rId190" xr:uid="{0AA4A72E-A2F9-4E8C-BB3D-890A6E5F33EF}"/>
    <hyperlink ref="M341" r:id="rId191" xr:uid="{12729CA3-DA80-4CFD-B60C-7BECDE40663A}"/>
    <hyperlink ref="M353" r:id="rId192" xr:uid="{4D796B9C-1E51-4A11-8832-21242D865899}"/>
    <hyperlink ref="M354" r:id="rId193" xr:uid="{F4722BD0-2089-4434-8B21-DD67AD52E847}"/>
    <hyperlink ref="M356" r:id="rId194" xr:uid="{4709BD33-12BB-4074-BED6-4ACF710F481C}"/>
    <hyperlink ref="M357" r:id="rId195" xr:uid="{3F003946-021C-46B4-AE04-4C867BBC7A84}"/>
    <hyperlink ref="M358" r:id="rId196" xr:uid="{7C10ADEA-52A9-44B9-91D6-11CBC9CB5FC8}"/>
    <hyperlink ref="M359" r:id="rId197" xr:uid="{85B186A3-0E1E-47C7-B199-EA5BA0077D15}"/>
    <hyperlink ref="M360" r:id="rId198" xr:uid="{86188666-905B-49E2-9F16-8FDC68F7B6C8}"/>
    <hyperlink ref="M361" r:id="rId199" xr:uid="{815AA4FB-2562-4398-BBAB-DB836A5EC3E1}"/>
    <hyperlink ref="M362" r:id="rId200" xr:uid="{200558BB-F41E-4AB2-A1D3-9D7C80AF6C8F}"/>
    <hyperlink ref="M363" r:id="rId201" xr:uid="{F674F719-DF8B-472F-8FEA-9F2FA7627DE2}"/>
    <hyperlink ref="M364" r:id="rId202" xr:uid="{52B1F4A8-1D4A-484E-9D3E-F79D44A7E16A}"/>
    <hyperlink ref="M365" r:id="rId203" xr:uid="{AC70C882-DB9E-473E-9407-CB640DE00043}"/>
    <hyperlink ref="M366" r:id="rId204" xr:uid="{18C89209-75A3-4C9E-B917-7D830BC2C48C}"/>
    <hyperlink ref="M367" r:id="rId205" xr:uid="{17F36A00-807A-4951-A2EC-E6A799675A80}"/>
    <hyperlink ref="M368" r:id="rId206" xr:uid="{9940FF27-2DCA-4FC5-AE85-7EBD47D5434F}"/>
    <hyperlink ref="M386" r:id="rId207" xr:uid="{86F9B9F4-DC77-4BB2-A23C-DF6952FDF867}"/>
    <hyperlink ref="M387" r:id="rId208" xr:uid="{A387F5B3-F54A-49F1-930C-9DEAE628FF59}"/>
    <hyperlink ref="M388" r:id="rId209" xr:uid="{AF4F61D3-EB50-499A-A9CD-39FC7A6DC11B}"/>
    <hyperlink ref="M389" r:id="rId210" xr:uid="{C9BF5DE1-01F1-439B-892E-D64FA13D5428}"/>
    <hyperlink ref="M390" r:id="rId211" xr:uid="{DF94DDE0-3AB3-4E9B-BEDD-B77C01837154}"/>
    <hyperlink ref="M392" r:id="rId212" xr:uid="{405F31A6-B338-416A-A302-C79B17AFF8EA}"/>
    <hyperlink ref="M393" r:id="rId213" xr:uid="{0E89EA4D-BD8F-4D36-8D0B-382A3DFD1384}"/>
    <hyperlink ref="M395" r:id="rId214" xr:uid="{B8197311-E123-4185-82F8-A5A2EBA20C9F}"/>
    <hyperlink ref="M396" r:id="rId215" xr:uid="{30B8C024-8B5C-414C-A1AC-C73D8E83AFFB}"/>
    <hyperlink ref="M398" r:id="rId216" xr:uid="{E5D94F57-441F-4F77-99C5-30AF07349DA1}"/>
    <hyperlink ref="M636" r:id="rId217" xr:uid="{63C2D246-7D6A-4B2F-B45D-36FA201CCD9F}"/>
    <hyperlink ref="M538" r:id="rId218" xr:uid="{6C23DA25-7642-45EA-B498-52D263C7C39E}"/>
    <hyperlink ref="M527" r:id="rId219" xr:uid="{580D3231-B6DA-4331-A4BE-D5253CD71C87}"/>
    <hyperlink ref="M637" r:id="rId220" xr:uid="{F5A5B149-34A8-420D-9589-3F0DF6C17013}"/>
    <hyperlink ref="M429" r:id="rId221" xr:uid="{195A0CFC-D58C-416F-B44F-838D76285AEC}"/>
    <hyperlink ref="M430" r:id="rId222" xr:uid="{A201B24F-74AE-442E-9E50-36325A88F2FE}"/>
    <hyperlink ref="M522" r:id="rId223" xr:uid="{0C25C6D6-61F2-4986-A947-A4666AF83BF0}"/>
    <hyperlink ref="M517" r:id="rId224" xr:uid="{4F49DCCF-5266-4201-8DF9-F6691F560604}"/>
    <hyperlink ref="M513" r:id="rId225" xr:uid="{F12BD7AB-93A4-4FB8-B56F-63C20BAD6662}"/>
    <hyperlink ref="M511" r:id="rId226" xr:uid="{95F81E2E-47A3-4A87-8548-2F900DECCD0C}"/>
    <hyperlink ref="M475" r:id="rId227" xr:uid="{E263FF30-4280-496F-887E-3D2D9B603235}"/>
    <hyperlink ref="M476" r:id="rId228" xr:uid="{D0AE7E9B-C3DE-43EB-9070-D8F44156C7DB}"/>
    <hyperlink ref="M459" r:id="rId229" xr:uid="{CB526F04-F602-49C9-95E6-4EC607AE8515}"/>
    <hyperlink ref="M460" r:id="rId230" xr:uid="{0094E235-AB17-4A4C-B597-2399E299E9E4}"/>
    <hyperlink ref="M541" r:id="rId231" xr:uid="{7E3F05A4-0B0B-407B-A53A-F39F8ABA6398}"/>
    <hyperlink ref="M540" r:id="rId232" xr:uid="{4881500B-2F04-4209-B56A-219357C2C982}"/>
    <hyperlink ref="M642" r:id="rId233" xr:uid="{92A39269-C102-4A15-8AB3-1B68756EA069}"/>
    <hyperlink ref="M464" r:id="rId234" xr:uid="{7A6DB52A-C224-4FDD-968D-AE9D380C2304}"/>
    <hyperlink ref="M465" r:id="rId235" xr:uid="{C7E94227-A728-41E4-8A3C-F322E9BD3762}"/>
    <hyperlink ref="M461" r:id="rId236" xr:uid="{9D9127D4-2D89-4CB0-8C32-B3C927EF0B6A}"/>
    <hyperlink ref="M462" r:id="rId237" xr:uid="{008C9562-CF6E-4DB0-88CB-4EE0E55966F4}"/>
    <hyperlink ref="M463" r:id="rId238" xr:uid="{60D9295F-7801-4659-9345-CBBB5692D64F}"/>
    <hyperlink ref="M456" r:id="rId239" xr:uid="{79C6DCD5-0380-43BC-AE72-BAE1EB63E009}"/>
    <hyperlink ref="M457" r:id="rId240" xr:uid="{A2031E32-AD2C-4B79-82F6-529481E10EE1}"/>
    <hyperlink ref="M458" r:id="rId241" xr:uid="{59F52BA6-5958-4C84-8181-8894E09B5435}"/>
    <hyperlink ref="M547" r:id="rId242" xr:uid="{1B3D96E7-76E5-4B19-921C-F0DA8B641423}"/>
    <hyperlink ref="M548" r:id="rId243" xr:uid="{11644146-B9A3-49D0-85E2-FB8054B342C4}"/>
    <hyperlink ref="M549" r:id="rId244" xr:uid="{F2B1E262-5F6A-41BB-AEE9-643A9D391ED4}"/>
    <hyperlink ref="M574" r:id="rId245" xr:uid="{1DF999F3-882B-46D7-BD8B-D31727953375}"/>
    <hyperlink ref="M575" r:id="rId246" xr:uid="{485035D0-916A-4753-916A-47A46908743A}"/>
    <hyperlink ref="M576" r:id="rId247" xr:uid="{5BF6F0D8-EAF9-477B-9BB8-B3E2D7329A23}"/>
    <hyperlink ref="M469" r:id="rId248" xr:uid="{399A5C14-D90F-4E8F-9B85-2C31E0C40D50}"/>
    <hyperlink ref="M470" r:id="rId249" xr:uid="{653C4A16-A8E9-443E-937B-46EC4D96A032}"/>
    <hyperlink ref="M471" r:id="rId250" xr:uid="{DCF925A6-2330-4C44-AE82-9F0BF8A8A630}"/>
    <hyperlink ref="M446" r:id="rId251" xr:uid="{783E4F3D-D411-4609-B488-90110701ECEB}"/>
    <hyperlink ref="M447" r:id="rId252" xr:uid="{8AF73F10-0853-44CF-B6DC-398C5FE02C0F}"/>
    <hyperlink ref="M448" r:id="rId253" xr:uid="{0332C08B-68F6-4796-ABA6-899C884C9D2C}"/>
    <hyperlink ref="M571" r:id="rId254" xr:uid="{5F49F98E-DB6C-4E7B-B41B-D8A7EA415881}"/>
    <hyperlink ref="M572" r:id="rId255" xr:uid="{48C492FE-E84D-4064-94E1-4E2193CA9E7D}"/>
    <hyperlink ref="M573" r:id="rId256" xr:uid="{AB0D739E-0141-4BBD-A835-6388CB41DD4D}"/>
    <hyperlink ref="M491" r:id="rId257" xr:uid="{5AB38AFB-F3AB-4284-87DF-FE9FF5D08666}"/>
    <hyperlink ref="M492" r:id="rId258" xr:uid="{5F1D1AD0-931E-4FB2-B6AA-2AF4001E4C3B}"/>
    <hyperlink ref="M582" r:id="rId259" xr:uid="{41BC1263-0E99-4737-8AAD-0148ECB6368E}"/>
    <hyperlink ref="M481" r:id="rId260" xr:uid="{2E61571E-2865-4A57-A190-EC77D68CC54B}"/>
    <hyperlink ref="M482" r:id="rId261" xr:uid="{F4B74D16-BCB7-4CF5-B6F6-36B7F6BBA6B5}"/>
    <hyperlink ref="M479" r:id="rId262" xr:uid="{DC43BE68-F5B0-4E27-A494-10002897A9A6}"/>
    <hyperlink ref="M570" r:id="rId263" xr:uid="{D480FD3A-0B2E-4BCE-BB14-2296529516F9}"/>
    <hyperlink ref="M569" r:id="rId264" xr:uid="{C37C8F65-33C0-4E75-BC44-3D80857795FE}"/>
    <hyperlink ref="M414" r:id="rId265" xr:uid="{04F79803-FCE8-4F2E-9F02-6DDC0961A14F}"/>
    <hyperlink ref="M415" r:id="rId266" xr:uid="{C594C2B0-6F7A-4B66-BB7B-96C459016070}"/>
    <hyperlink ref="M577" r:id="rId267" xr:uid="{0CE70442-28D7-41FA-A16E-E6505218A975}"/>
    <hyperlink ref="M489" r:id="rId268" xr:uid="{F6577286-E8CB-4D83-9535-E040DC273305}"/>
    <hyperlink ref="M490" r:id="rId269" xr:uid="{BA674C86-2D59-493B-B28A-5C667C666001}"/>
    <hyperlink ref="M488" r:id="rId270" xr:uid="{C94030C4-4FC8-4C9C-AD52-F407637FBA04}"/>
    <hyperlink ref="M580" r:id="rId271" xr:uid="{FE4FA5BC-C55F-4C13-ABFC-3BF985E2DD40}"/>
    <hyperlink ref="M581" r:id="rId272" xr:uid="{673340F2-1E73-49A1-B64F-D98022D382A4}"/>
    <hyperlink ref="M583" r:id="rId273" xr:uid="{DD795BAB-4D17-4AD0-82EB-96CB371CBBFB}"/>
    <hyperlink ref="M579" r:id="rId274" xr:uid="{96EA3C94-D8A6-4FAE-8A2A-FBE0043B1DBB}"/>
    <hyperlink ref="M568" r:id="rId275" xr:uid="{552D3BA2-2921-4C80-AE6D-31A7474A7B5F}"/>
    <hyperlink ref="M420" r:id="rId276" xr:uid="{29D9EFCC-7F64-4B38-A5FD-254806C44D91}"/>
    <hyperlink ref="M558" r:id="rId277" xr:uid="{CF0229D6-6904-407D-AC21-D3D2057DD610}"/>
    <hyperlink ref="M559" r:id="rId278" xr:uid="{78D28101-5536-4A2E-B975-4923AE0CA9EB}"/>
    <hyperlink ref="M645" r:id="rId279" xr:uid="{6BC660FE-6973-4407-8F47-27E6F058DA2A}"/>
    <hyperlink ref="M655" r:id="rId280" xr:uid="{0D0B4107-9C0C-4B38-B7C4-B0BD11126E49}"/>
    <hyperlink ref="M656" r:id="rId281" xr:uid="{1CD4478F-E6D2-4E75-8B94-1DC69797CC0D}"/>
    <hyperlink ref="M553" r:id="rId282" xr:uid="{0F691FC9-0BF5-404F-BBC3-DF7E3C0B769D}"/>
    <hyperlink ref="M554" r:id="rId283" xr:uid="{346054CD-3F5D-4CA9-AF1F-595F4AABBB6D}"/>
    <hyperlink ref="M649" r:id="rId284" xr:uid="{3873AB31-C86D-46F6-B648-E4946D830CA3}"/>
    <hyperlink ref="M650" r:id="rId285" xr:uid="{0B0CD3D3-CFB3-4D61-8825-CC86ED8BE242}"/>
    <hyperlink ref="M440" r:id="rId286" xr:uid="{71FB2C9F-E18E-4A1E-8D34-00806B4EA066}"/>
    <hyperlink ref="M441" r:id="rId287" xr:uid="{51E10A1C-340F-4D6A-ACE1-268265A7CBB8}"/>
    <hyperlink ref="M550" r:id="rId288" xr:uid="{490C1286-49FB-48AF-8144-080EA9676500}"/>
    <hyperlink ref="M551" r:id="rId289" xr:uid="{BE44B99B-3D86-487D-872D-B6E23B376F41}"/>
    <hyperlink ref="M417" r:id="rId290" xr:uid="{ED1ADCCE-9E59-4354-85C9-123F1B7CC6A0}"/>
    <hyperlink ref="M473" r:id="rId291" xr:uid="{3D351572-8804-48AE-885C-C23BBCCCCB25}"/>
    <hyperlink ref="M584" r:id="rId292" xr:uid="{AA7A6CEE-62AA-45B5-83B3-95ECEFE4DDD6}"/>
    <hyperlink ref="M546" r:id="rId293" xr:uid="{0BD71462-DED7-429A-81C6-5471F66C054D}"/>
    <hyperlink ref="M646" r:id="rId294" xr:uid="{F9CFF864-57BB-47B6-847A-8817419DF8AE}"/>
    <hyperlink ref="M485" r:id="rId295" xr:uid="{593B6715-D726-4E9A-8395-1E4BA93BEA6F}"/>
    <hyperlink ref="M647" r:id="rId296" xr:uid="{8D9CD653-C36B-46FF-A89D-FE3BE7306AF4}"/>
    <hyperlink ref="M702" r:id="rId297" xr:uid="{21C37976-F75A-4FC1-8F5E-AC7829DBE1CC}"/>
    <hyperlink ref="M670" r:id="rId298" xr:uid="{463A4799-2968-4496-B1B0-FD3FD7EB3737}"/>
    <hyperlink ref="M671" r:id="rId299" xr:uid="{5F66CF9D-4783-4616-A015-7B391E5CD3A4}"/>
    <hyperlink ref="M672" r:id="rId300" xr:uid="{148BB525-6B2F-45D9-8C42-C4518ED03A3C}"/>
    <hyperlink ref="M673" r:id="rId301" xr:uid="{CC042C02-B407-422A-B58A-906064BF4122}"/>
    <hyperlink ref="M674" r:id="rId302" xr:uid="{7427B9DC-E5CE-44CE-8DA2-6C7C26487F7A}"/>
    <hyperlink ref="M675" r:id="rId303" xr:uid="{B7FFCE71-7DCC-43A2-97FB-0F708FD7D54A}"/>
    <hyperlink ref="M676" r:id="rId304" xr:uid="{F4C420B9-FB13-4579-85D4-2FF358D3AC48}"/>
    <hyperlink ref="M677" r:id="rId305" xr:uid="{52AAF8E0-7F22-452B-B5B7-E44164A0B3B9}"/>
    <hyperlink ref="M678" r:id="rId306" xr:uid="{AB0AD462-E486-447B-A612-E10213EFAB3C}"/>
    <hyperlink ref="M679" r:id="rId307" xr:uid="{BC13E35C-1766-4814-B0E8-E52D894CB8DC}"/>
    <hyperlink ref="M680" r:id="rId308" xr:uid="{CF2AE7C9-CADD-4AC7-BC68-8F6D4CF2B230}"/>
    <hyperlink ref="M681" r:id="rId309" xr:uid="{0947D64E-1828-460B-B834-4F1FDD88C64F}"/>
    <hyperlink ref="M682" r:id="rId310" xr:uid="{A2CC362E-F05F-4D1E-9B40-201D1D4B38B0}"/>
    <hyperlink ref="M683" r:id="rId311" xr:uid="{4AAD97B3-8091-4DDA-B3E2-7148C6E57073}"/>
    <hyperlink ref="M684" r:id="rId312" xr:uid="{BA1D9E9B-3E33-4073-B532-9CA316945DBB}"/>
    <hyperlink ref="M685" r:id="rId313" xr:uid="{9D4CABA4-2AFD-423A-99B9-CA0CF09C7213}"/>
    <hyperlink ref="M686" r:id="rId314" xr:uid="{FBF8E097-ACF3-45EF-ADC7-11F989A87AFB}"/>
    <hyperlink ref="M687" r:id="rId315" xr:uid="{01D99BD1-B2B0-4F25-9A5E-2495A0A85C58}"/>
    <hyperlink ref="M688" r:id="rId316" xr:uid="{96A26682-412F-4472-BD53-693F3E3454B6}"/>
    <hyperlink ref="M690" r:id="rId317" xr:uid="{57259DFE-BE0F-40FD-8F4E-C0CB5BDEF944}"/>
    <hyperlink ref="M691" r:id="rId318" xr:uid="{4E88200B-5238-41BD-A047-C48611CC0A79}"/>
    <hyperlink ref="M692" r:id="rId319" xr:uid="{96F51064-745F-4274-9A22-365CB196E270}"/>
    <hyperlink ref="M693" r:id="rId320" xr:uid="{A0982523-CE5D-499A-A8A2-1CBF1FE23812}"/>
    <hyperlink ref="M694" r:id="rId321" xr:uid="{ECBA011E-AFD2-46B4-9193-4CCA31BCC252}"/>
    <hyperlink ref="M695" r:id="rId322" xr:uid="{E11C3DBE-B66E-4D12-A266-53D5494E669B}"/>
    <hyperlink ref="M696" r:id="rId323" xr:uid="{5E0A7A69-52BB-4EF0-A832-B22797A5A412}"/>
    <hyperlink ref="M697" r:id="rId324" xr:uid="{912F1F6D-B01C-46B7-BA12-9B2AEC4DE1B3}"/>
    <hyperlink ref="M698" r:id="rId325" xr:uid="{083C58AD-F0CA-4B79-B22C-94155B233574}"/>
    <hyperlink ref="M699" r:id="rId326" xr:uid="{60DAEFCE-BCEB-43C6-9964-7B93F566C0A8}"/>
    <hyperlink ref="M700" r:id="rId327" xr:uid="{5F92E651-B0BB-4095-9E05-7098925DDAF5}"/>
    <hyperlink ref="M701" r:id="rId328" xr:uid="{C67B53D1-6F70-42AE-A755-B47FBCD10A4D}"/>
    <hyperlink ref="M718" r:id="rId329" xr:uid="{CE2D02AB-A0AD-4C9E-B0DE-F81B18CE31DA}"/>
    <hyperlink ref="M719" r:id="rId330" xr:uid="{4A56E55A-361F-49C4-A763-8F1E1ED97999}"/>
    <hyperlink ref="M721" r:id="rId331" xr:uid="{001FBADC-8812-456E-B2DF-4D0C846E7C88}"/>
    <hyperlink ref="M811" r:id="rId332" xr:uid="{ECCBD72E-1DDB-4237-9381-0B07DBF1A302}"/>
    <hyperlink ref="M804" r:id="rId333" xr:uid="{E752B047-A5C7-4927-A62E-0613B7056ACC}"/>
    <hyperlink ref="M805" r:id="rId334" xr:uid="{E4E3ED45-4231-4E97-AC97-587EFB5CFA36}"/>
    <hyperlink ref="M806" r:id="rId335" xr:uid="{DB58F6EC-F1D8-4BAE-AF3B-CCD0264B24D6}"/>
    <hyperlink ref="M807" r:id="rId336" xr:uid="{2813D31B-8BB4-4A8A-B002-2BC309DA7A5F}"/>
    <hyperlink ref="M808" r:id="rId337" xr:uid="{FCFA4943-6513-400D-AC84-4EC175CBEAFF}"/>
    <hyperlink ref="M809" r:id="rId338" xr:uid="{A8D7A650-E6E2-4053-BE50-ED3B642FBE36}"/>
    <hyperlink ref="M810" r:id="rId339" xr:uid="{1231F322-0EE6-4919-BB5C-B69FF5D920C5}"/>
    <hyperlink ref="M849" r:id="rId340" xr:uid="{195E1E98-D35A-44C0-A7F4-350792B9EB36}"/>
    <hyperlink ref="M848" r:id="rId341" xr:uid="{509D12AD-8CE4-42FD-86F6-B926D317DE71}"/>
    <hyperlink ref="M911" r:id="rId342" xr:uid="{FAF53A2A-88E1-4429-932D-321824AD1C28}"/>
    <hyperlink ref="M910" r:id="rId343" xr:uid="{2D912326-6F9E-4181-95D0-3AD1B96F0841}"/>
    <hyperlink ref="M858" r:id="rId344" xr:uid="{F7B32AC9-155A-4552-A436-96ED8D9D9A0A}"/>
    <hyperlink ref="M859" r:id="rId345" xr:uid="{E5D00F4F-DDC4-4916-8FB3-2B85C7430C33}"/>
    <hyperlink ref="M860" r:id="rId346" xr:uid="{FC035441-0B7E-48FD-9F5A-36B20A0308BC}"/>
    <hyperlink ref="M861" r:id="rId347" xr:uid="{BA77E0BA-52F2-4AEA-9E45-A386B2F65CF6}"/>
    <hyperlink ref="M926" r:id="rId348" xr:uid="{8A76CFF2-D5E3-4331-B65E-4747C6EE67EC}"/>
    <hyperlink ref="M927" r:id="rId349" xr:uid="{EA19BF91-89E8-488A-9DFB-8ACFA0AB0E92}"/>
    <hyperlink ref="M928" r:id="rId350" xr:uid="{22E92698-00AA-40EC-8785-B1C8189D2196}"/>
    <hyperlink ref="M929" r:id="rId351" xr:uid="{E0C24B04-5779-49BA-8CEC-536BF08427FB}"/>
    <hyperlink ref="M930" r:id="rId352" xr:uid="{D505CE28-4942-4BEC-9735-4C50DAE2E7A7}"/>
    <hyperlink ref="M931" r:id="rId353" xr:uid="{56A57491-43EF-484E-A97E-6E4B99BA3287}"/>
    <hyperlink ref="M932" r:id="rId354" xr:uid="{1280EFE2-83EB-4351-A58E-CA778DD7DA17}"/>
    <hyperlink ref="M933" r:id="rId355" xr:uid="{FE6D282E-A34D-47B6-B133-F1B177C2211D}"/>
    <hyperlink ref="M934" r:id="rId356" xr:uid="{335A24E3-47E6-4398-A949-AD582D8E0481}"/>
    <hyperlink ref="M935" r:id="rId357" xr:uid="{FDE8FD00-23C0-499A-A167-9D372EFBB2D5}"/>
    <hyperlink ref="M936" r:id="rId358" xr:uid="{94A507D6-268C-4A38-B33A-078CCB38D778}"/>
    <hyperlink ref="M937" r:id="rId359" xr:uid="{6F30C36B-C11E-41DB-8453-ED2005E66208}"/>
    <hyperlink ref="M938" r:id="rId360" xr:uid="{AF7535C5-7284-4B44-BDA8-4737BC576176}"/>
    <hyperlink ref="M939" r:id="rId361" xr:uid="{07809C26-7E6D-4E8E-BD3C-565A662232A4}"/>
    <hyperlink ref="M944" r:id="rId362" xr:uid="{5F3E58BC-0E80-4CFC-87C9-943D55FF44B3}"/>
    <hyperlink ref="M945" r:id="rId363" xr:uid="{403A3375-46E3-4BB9-A535-980039948FCD}"/>
    <hyperlink ref="M946" r:id="rId364" xr:uid="{C3DB69E0-3A58-4D0D-98D2-BE4D26F626D6}"/>
    <hyperlink ref="M947" r:id="rId365" xr:uid="{F6B85635-A8C3-4BD9-85E7-8CD826FBE8D5}"/>
    <hyperlink ref="M949" r:id="rId366" xr:uid="{852766CA-4993-43F9-A5A1-7DC4C61C5AF7}"/>
    <hyperlink ref="M950" r:id="rId367" xr:uid="{A4128F7C-4A8B-43FB-A1D7-5157CE3CA9B0}"/>
    <hyperlink ref="M951" r:id="rId368" xr:uid="{F6F96618-DED1-4FB6-9508-937B03988A96}"/>
    <hyperlink ref="M952" r:id="rId369" xr:uid="{23F34578-E0D7-403C-B712-94A158D242CD}"/>
    <hyperlink ref="M953" r:id="rId370" xr:uid="{25DC1AAE-9A6E-4135-A3D8-6DEC75B5ADE1}"/>
    <hyperlink ref="M954" r:id="rId371" xr:uid="{7B2336C8-2EF7-475E-BB0B-46D362CBDC83}"/>
    <hyperlink ref="M955" r:id="rId372" xr:uid="{868C12D7-23F2-48B7-B830-0FE9F26665AA}"/>
    <hyperlink ref="M956" r:id="rId373" xr:uid="{BDDC544F-68D3-4D24-AC22-AD3111BE0778}"/>
    <hyperlink ref="M957" r:id="rId374" xr:uid="{9BF054BA-F1A9-45DE-8660-591352E684AE}"/>
    <hyperlink ref="M958" r:id="rId375" xr:uid="{34D01DE0-20AD-4F69-87CB-087EB0FA897A}"/>
    <hyperlink ref="M959" r:id="rId376" xr:uid="{E2E86390-1174-4F69-84DF-F6731E4253A7}"/>
    <hyperlink ref="M943" r:id="rId377" xr:uid="{DC2990F4-40A5-466E-9ED8-9040AEC72DFF}"/>
    <hyperlink ref="M942" r:id="rId378" xr:uid="{8F289031-8629-487D-ADF4-7F4D0E8BF717}"/>
    <hyperlink ref="M941" r:id="rId379" xr:uid="{38B62D5D-2025-4F14-908E-D9A1153ACE9F}"/>
    <hyperlink ref="M963" r:id="rId380" xr:uid="{8F70B81F-8AA1-4157-A208-A740B34C66CD}"/>
    <hyperlink ref="M964" r:id="rId381" xr:uid="{544696F0-8FC4-401D-AC6C-045B753C9564}"/>
    <hyperlink ref="M965" r:id="rId382" xr:uid="{47D2A2E1-1EF4-44C2-AE82-43A1A5FBDC30}"/>
    <hyperlink ref="M966" r:id="rId383" xr:uid="{824A0D19-FF8F-4489-9996-C70949808522}"/>
    <hyperlink ref="M967" r:id="rId384" xr:uid="{647A3EDC-E44B-4E78-B530-A59BC6B562B6}"/>
    <hyperlink ref="M969" r:id="rId385" xr:uid="{19FBC3DA-0982-4740-960E-3559F890BD62}"/>
    <hyperlink ref="M972" r:id="rId386" xr:uid="{902B2188-A9A6-455A-8DFC-62A65E2DEF2D}"/>
    <hyperlink ref="M973" r:id="rId387" xr:uid="{36CE1250-10CE-40FF-8088-EF53A76FEA7D}"/>
    <hyperlink ref="M974" r:id="rId388" xr:uid="{EC3939A7-E758-402F-A11B-BDAA4CA3C36E}"/>
    <hyperlink ref="M975" r:id="rId389" xr:uid="{CA6DFEFA-E7DE-43B7-8AB9-F7B5A9B9C88A}"/>
    <hyperlink ref="M977" r:id="rId390" xr:uid="{262C8295-A211-422F-9323-69327B6FD7D0}"/>
    <hyperlink ref="M979" r:id="rId391" xr:uid="{62BCFE1B-2420-4939-9373-4994406C5DB3}"/>
    <hyperlink ref="M980" r:id="rId392" xr:uid="{A4F3307E-C441-4BE5-8BB6-6DBA0EA0A5D9}"/>
    <hyperlink ref="M981" r:id="rId393" xr:uid="{00E3359C-65B3-4AA3-8F07-68F1DFE6D681}"/>
    <hyperlink ref="M982" r:id="rId394" xr:uid="{EB243DB1-F2BD-491C-B706-EC69903B6DBF}"/>
    <hyperlink ref="M983" r:id="rId395" xr:uid="{F9794B80-717A-43EA-9F09-3F593D50593A}"/>
    <hyperlink ref="M985" r:id="rId396" xr:uid="{56A24D75-A837-4A88-B3B0-F68EC4731C25}"/>
    <hyperlink ref="M986" r:id="rId397" xr:uid="{24E55303-3494-4A52-950B-2C462C4FA402}"/>
    <hyperlink ref="M988" r:id="rId398" xr:uid="{BE7DA617-07FA-4685-A85C-944667C6434B}"/>
    <hyperlink ref="M990" r:id="rId399" xr:uid="{CED753C9-2A30-4560-92A8-C7E3E251D28A}"/>
    <hyperlink ref="M991" r:id="rId400" xr:uid="{068200CF-E03D-4CC2-A6FE-E8605069D582}"/>
    <hyperlink ref="M992" r:id="rId401" xr:uid="{4931B1FB-4246-4CA9-AFE6-3BE2F87AF9F4}"/>
    <hyperlink ref="M994" r:id="rId402" xr:uid="{FD69D31C-24D9-4EB5-8E7D-13849B731D2B}"/>
    <hyperlink ref="M995" r:id="rId403" xr:uid="{D703C9C2-FCF1-4A1D-9C69-C6BA2E281840}"/>
    <hyperlink ref="M997" r:id="rId404" xr:uid="{020BA062-E61C-45C0-B763-5E630309BEDF}"/>
    <hyperlink ref="M998" r:id="rId405" xr:uid="{E903037E-A54A-44A6-BB89-2E9D0DA9CCAB}"/>
    <hyperlink ref="M999" r:id="rId406" xr:uid="{237ACFBF-CF6F-4BD6-B9AB-41A11F90D293}"/>
    <hyperlink ref="M1000" r:id="rId407" xr:uid="{3F42E6C6-7E37-4EED-B18B-6A17BD5FE3D6}"/>
    <hyperlink ref="M1001" r:id="rId408" xr:uid="{87B770D8-910D-4CCF-8DB7-CB55D4860E04}"/>
    <hyperlink ref="M1002" r:id="rId409" xr:uid="{B4CA6200-89AF-4EE9-A16C-13B6BAED3820}"/>
    <hyperlink ref="M1003" r:id="rId410" xr:uid="{453378CF-E7CC-4CC9-AE5A-1635F1686826}"/>
    <hyperlink ref="M1004" r:id="rId411" xr:uid="{BD8CC5A1-9AE5-4C0F-85E8-4561C3959AE3}"/>
    <hyperlink ref="M1005" r:id="rId412" xr:uid="{5AFDAF0D-364F-45DB-B931-6B4530784488}"/>
    <hyperlink ref="M1006" r:id="rId413" xr:uid="{D5085B4A-A773-4CD5-8215-1D7D07B19D86}"/>
    <hyperlink ref="M1007" r:id="rId414" xr:uid="{18956DEF-9483-4AD8-8ED2-BC93768F4627}"/>
    <hyperlink ref="M1008" r:id="rId415" xr:uid="{141B71BF-100D-4219-81F1-188EE172593B}"/>
    <hyperlink ref="M1009" r:id="rId416" xr:uid="{C660D29C-0479-42E5-8B0C-F19A72DD2C76}"/>
    <hyperlink ref="M1010" r:id="rId417" xr:uid="{D2FA0B00-DE02-426F-9900-BC99835E965E}"/>
    <hyperlink ref="M1011" r:id="rId418" xr:uid="{BC6220A8-5CA7-4FF9-A98B-8FBC585B37A6}"/>
    <hyperlink ref="M1013" r:id="rId419" xr:uid="{441DFD43-7D45-4F70-B8FA-6DABB249F38B}"/>
    <hyperlink ref="M1014" r:id="rId420" xr:uid="{C3F3C1F9-A225-4889-8F78-0B4E06496865}"/>
    <hyperlink ref="M1015" r:id="rId421" xr:uid="{F5BC4C98-DF57-41CE-B92E-330E519AA5C5}"/>
    <hyperlink ref="M1016" r:id="rId422" xr:uid="{6635805D-4A14-4DF0-AC39-084D9B18C6BF}"/>
    <hyperlink ref="M1028" r:id="rId423" xr:uid="{0874B3A3-31BA-49AC-A8B2-4A3AE7B1E0D5}"/>
    <hyperlink ref="M1036" r:id="rId424" xr:uid="{42C564B5-FA9A-4B83-BC8B-A9E8E1E94652}"/>
    <hyperlink ref="M1037" r:id="rId425" xr:uid="{42579874-3A07-4CF0-AAF6-D8FB8ABFA0A6}"/>
    <hyperlink ref="M1038" r:id="rId426" xr:uid="{60169C0A-B594-4760-BA3D-41C93740764C}"/>
    <hyperlink ref="M1052" r:id="rId427" xr:uid="{8BB517E6-1825-4CA8-8A6C-1F127777F305}"/>
    <hyperlink ref="M1053" r:id="rId428" xr:uid="{C10BC747-22C1-413A-BE4F-466456B974E9}"/>
    <hyperlink ref="M1054" r:id="rId429" xr:uid="{DF2FD498-716D-49A3-B437-EBA4D833DF0A}"/>
    <hyperlink ref="M1055" r:id="rId430" xr:uid="{6FD8A084-196E-49A0-B4CA-71543FEA427E}"/>
    <hyperlink ref="M1063" r:id="rId431" xr:uid="{7204BC67-5212-4735-8DAA-1BD0F79FB8A0}"/>
    <hyperlink ref="M1064" r:id="rId432" xr:uid="{11CB0666-E9AA-415D-BE01-4DBF9BEB926B}"/>
    <hyperlink ref="M1066" r:id="rId433" xr:uid="{D202E8D3-37CF-48F5-B5DE-D9584A1AA9F3}"/>
    <hyperlink ref="M1067" r:id="rId434" xr:uid="{FD64D8B8-E3AA-479D-BD65-6C90DB94F4F4}"/>
    <hyperlink ref="M1068" r:id="rId435" xr:uid="{33ED10E4-6808-4B5A-80A3-76D7165AAED6}"/>
    <hyperlink ref="M1070" r:id="rId436" xr:uid="{13E5943F-EAC0-419C-8971-E3673EF1A985}"/>
    <hyperlink ref="M1071" r:id="rId437" xr:uid="{D048EC56-3736-4BDF-9BC9-18AAAEA506DF}"/>
    <hyperlink ref="M1072" r:id="rId438" xr:uid="{2B476B68-E703-499A-800D-5E487A0203E5}"/>
    <hyperlink ref="M1074" r:id="rId439" xr:uid="{A0CAE7B8-4C1A-4B5B-BD09-0EE615D1C51D}"/>
    <hyperlink ref="M1075" r:id="rId440" xr:uid="{EAE177A4-E84C-4257-A4C0-913E0847FD03}"/>
    <hyperlink ref="M1076" r:id="rId441" xr:uid="{73F1861C-E8D5-4853-A277-820F6AE6BA17}"/>
    <hyperlink ref="M1077" r:id="rId442" xr:uid="{14998A4D-37F8-4F26-AF21-8BFE22778EFB}"/>
    <hyperlink ref="M1078" r:id="rId443" xr:uid="{ACAA07F1-91AD-473E-A710-817526C90D12}"/>
    <hyperlink ref="M1079" r:id="rId444" xr:uid="{16FF1560-49D2-4E68-B815-39A046654E67}"/>
    <hyperlink ref="M1080" r:id="rId445" xr:uid="{5C91B622-0C2E-487E-817B-12A4803F70B2}"/>
    <hyperlink ref="M1081" r:id="rId446" xr:uid="{1976316A-AD21-463B-8BE4-82F455454947}"/>
    <hyperlink ref="M1082" r:id="rId447" xr:uid="{A4AFF367-29AB-4002-84F2-AB2180CAF21C}"/>
    <hyperlink ref="M1083" r:id="rId448" xr:uid="{CA4C1F5D-4B89-4E85-BB89-C72F32ACF41D}"/>
    <hyperlink ref="M1084" r:id="rId449" xr:uid="{A9013F82-4908-4505-AA75-8FF810578194}"/>
    <hyperlink ref="M1085" r:id="rId450" xr:uid="{A8C2CB44-D3F7-436C-A64D-48B3E126C76E}"/>
    <hyperlink ref="M1088" r:id="rId451" xr:uid="{A48E844C-FE1B-4B12-A4DE-7E893DF8312E}"/>
    <hyperlink ref="M1089" r:id="rId452" xr:uid="{6BEF15A2-D24B-484F-A127-05636F87C191}"/>
    <hyperlink ref="M1090" r:id="rId453" xr:uid="{989F0D5A-BA11-4846-92BB-8CA45BEC6295}"/>
    <hyperlink ref="M1091" r:id="rId454" xr:uid="{A0E2A8ED-305C-4C30-BD22-C8534ED12071}"/>
    <hyperlink ref="M1092" r:id="rId455" xr:uid="{C93BF2BF-F8AA-4075-92C8-00302C094951}"/>
    <hyperlink ref="M1093" r:id="rId456" xr:uid="{31BA2882-185A-4180-AE1B-AC55B220E1B7}"/>
    <hyperlink ref="M1094" r:id="rId457" xr:uid="{0B8DFB27-AE4F-461A-B5E3-B7E39DA7B2BC}"/>
    <hyperlink ref="M1095" r:id="rId458" xr:uid="{CEB2CF1D-0BBD-4763-AEE7-1E14A8625637}"/>
    <hyperlink ref="M1096" r:id="rId459" xr:uid="{09FFB796-EC93-46CC-8655-3F8CDCD42F40}"/>
    <hyperlink ref="M1097" r:id="rId460" xr:uid="{94A90880-9797-408C-AD05-AE336268DDA2}"/>
    <hyperlink ref="M1098" r:id="rId461" xr:uid="{889FD915-1BE6-4622-9378-793AFC65B79B}"/>
    <hyperlink ref="M1099" r:id="rId462" xr:uid="{B0E1C959-566A-40C0-AC37-C984D09D9E1A}"/>
    <hyperlink ref="M1100" r:id="rId463" xr:uid="{DA920180-03BB-4E69-876B-B79A7E19CC6A}"/>
    <hyperlink ref="M1101" r:id="rId464" xr:uid="{472EAA0B-0F87-4728-9697-3D9FAC9CCE02}"/>
    <hyperlink ref="M1102" r:id="rId465" xr:uid="{603E2F49-415C-49DC-91DE-FCC24E86D643}"/>
    <hyperlink ref="M1103" r:id="rId466" xr:uid="{44647C6B-0B8A-48F1-947D-6577B41662B6}"/>
    <hyperlink ref="M1104" r:id="rId467" xr:uid="{A52AC33E-332F-4791-B732-E9CD99542592}"/>
    <hyperlink ref="M1105" r:id="rId468" xr:uid="{A1353D0F-C95B-4288-A627-5BF912618ED6}"/>
    <hyperlink ref="M1106" r:id="rId469" xr:uid="{CB3C959A-50DE-45F5-807B-74B951D2445A}"/>
    <hyperlink ref="M1113" r:id="rId470" xr:uid="{2D7422AE-E68B-4FC9-A329-968533044182}"/>
    <hyperlink ref="M1114" r:id="rId471" xr:uid="{AD4B14EB-22EA-4F02-AE51-EF8164E2F547}"/>
    <hyperlink ref="M1115" r:id="rId472" xr:uid="{AE2EEBD0-BA3E-4761-8A54-20FEA69C63D0}"/>
    <hyperlink ref="M1116" r:id="rId473" xr:uid="{9CE7DCE7-7488-4CB0-B6DD-19CA08F09A36}"/>
    <hyperlink ref="M1117" r:id="rId474" xr:uid="{A25C14AF-9173-4138-80BF-F170272EE139}"/>
    <hyperlink ref="M1118" r:id="rId475" xr:uid="{B437835E-F9A9-4840-B267-744A123F1FAF}"/>
    <hyperlink ref="M1119" r:id="rId476" xr:uid="{11DAD701-9A9B-4761-ADDD-7B2A1EBABF07}"/>
    <hyperlink ref="M1120" r:id="rId477" xr:uid="{53E6289D-50B7-45BE-83D1-25405C13EAA7}"/>
    <hyperlink ref="M1122" r:id="rId478" xr:uid="{D9854FA5-EE94-471F-8B5B-9E77D6D4641F}"/>
    <hyperlink ref="M1123" r:id="rId479" xr:uid="{38F2CC43-9D90-4D3A-9327-C24129121E85}"/>
    <hyperlink ref="M1124" r:id="rId480" xr:uid="{84DB1B98-16AB-4623-9459-0BCE1B33DFAB}"/>
    <hyperlink ref="M1125" r:id="rId481" xr:uid="{36770ABF-FFEF-4278-9A7F-51ECFF916713}"/>
    <hyperlink ref="M1126" r:id="rId482" xr:uid="{254B466D-0B14-42B9-B928-2E597E946281}"/>
    <hyperlink ref="M1127" r:id="rId483" xr:uid="{0A484893-DC8F-4F09-AD34-E2CDB0133FCC}"/>
    <hyperlink ref="M1129" r:id="rId484" xr:uid="{D9470207-8B50-4485-B2FD-1A928C53FDEA}"/>
    <hyperlink ref="M1130" r:id="rId485" xr:uid="{25379E8A-71BA-4EFF-A38E-E7C886D96A82}"/>
    <hyperlink ref="M1131" r:id="rId486" xr:uid="{ED237955-50D2-4B27-9334-4F0153F54C05}"/>
    <hyperlink ref="M1132" r:id="rId487" xr:uid="{9A96BAE3-18F4-42E1-95D6-E4D9207B0F81}"/>
    <hyperlink ref="M1134" r:id="rId488" xr:uid="{464CF0B2-CE06-463D-B7C1-ADF7B250DD70}"/>
    <hyperlink ref="M1135" r:id="rId489" xr:uid="{FC1A2B9C-AC07-4054-9D66-F7D9AFC59F5E}"/>
    <hyperlink ref="M1136" r:id="rId490" xr:uid="{48405A83-E184-4A23-80FA-C3BC00BE7B24}"/>
    <hyperlink ref="M1137" r:id="rId491" xr:uid="{5F1A945F-FCA7-445D-9D35-FF69C6AD77A3}"/>
    <hyperlink ref="M1138" r:id="rId492" xr:uid="{38EDC33E-931B-4429-A9A7-2C21DB2E3AF6}"/>
    <hyperlink ref="M1139" r:id="rId493" xr:uid="{67228E30-A23C-4B15-A048-2C9ACFF8A7F7}"/>
    <hyperlink ref="M1140" r:id="rId494" xr:uid="{3DF7B938-A12E-40DC-986C-0D53F75A064B}"/>
    <hyperlink ref="M1141" r:id="rId495" xr:uid="{EA3992E6-B333-4B1D-AB42-04847475D8D5}"/>
    <hyperlink ref="M1142" r:id="rId496" xr:uid="{5E063E9E-8D4A-47F8-9E45-E792E1B8A8DA}"/>
    <hyperlink ref="M1144" r:id="rId497" xr:uid="{61181821-E05D-4CF8-BF0F-951A47D50BD0}"/>
    <hyperlink ref="M1145" r:id="rId498" xr:uid="{AA941656-E89E-41ED-A30D-729ADC55548C}"/>
    <hyperlink ref="M1147" r:id="rId499" xr:uid="{475021A4-D5CB-4218-9ADA-C251E4A445FF}"/>
    <hyperlink ref="M1148" r:id="rId500" xr:uid="{B0942B4E-0B68-4CC0-A51E-B9AC798DF938}"/>
    <hyperlink ref="M1149" r:id="rId501" xr:uid="{D5215630-0744-4DA5-A57F-5AFF47E0F3DA}"/>
    <hyperlink ref="M1150" r:id="rId502" xr:uid="{6A3B9143-0293-4F38-BB29-DDDBCD8E4F4F}"/>
    <hyperlink ref="M1151" r:id="rId503" xr:uid="{170E41F3-5591-495E-A2DD-A06C1BE1F704}"/>
    <hyperlink ref="M1152" r:id="rId504" xr:uid="{32BD321C-D04C-4F3A-868F-7302C016419C}"/>
    <hyperlink ref="M1153" r:id="rId505" xr:uid="{E7521222-FD42-418A-8220-6FE316CE6076}"/>
    <hyperlink ref="M1154" r:id="rId506" xr:uid="{36C97739-982A-4494-A67F-2386323A8C61}"/>
    <hyperlink ref="M1155" r:id="rId507" xr:uid="{5B0E6D3B-429B-4E98-A370-2C243596B8B1}"/>
    <hyperlink ref="M1128" r:id="rId508" xr:uid="{BACDC1CD-5547-46D4-9885-C612E3CA2B80}"/>
    <hyperlink ref="M1158" r:id="rId509" xr:uid="{C13B4851-C293-4FC9-A648-11A9B862AA2D}"/>
    <hyperlink ref="M1157" r:id="rId510" xr:uid="{27C46D13-E28E-4693-8366-4C04E01DFA8A}"/>
    <hyperlink ref="M1297" r:id="rId511" xr:uid="{7BFC6E15-6B07-44D5-B116-270DAE32C499}"/>
    <hyperlink ref="M1298" r:id="rId512" xr:uid="{7272417F-DCE7-4D57-ABB7-94CB5C0E8BEB}"/>
    <hyperlink ref="M1299" r:id="rId513" xr:uid="{E2E44A2F-49E5-4DE0-9F16-40724B3C4F16}"/>
    <hyperlink ref="M1346" r:id="rId514" xr:uid="{23E765E7-B96A-4141-8E8B-7A0D39CFF08D}"/>
    <hyperlink ref="M1347" r:id="rId515" xr:uid="{A2D82290-B6D6-42B1-9F64-3A7C73198356}"/>
    <hyperlink ref="M1348" r:id="rId516" xr:uid="{533D4B6E-87FB-448F-B74B-16B539A8F570}"/>
    <hyperlink ref="M1349" r:id="rId517" xr:uid="{8EF4C0FD-63CD-4F1F-8D85-2A585C7A7D38}"/>
    <hyperlink ref="M1351" r:id="rId518" xr:uid="{5F6B5B7D-F609-49E7-B392-37FF98B67683}"/>
    <hyperlink ref="M1352" r:id="rId519" xr:uid="{1C55D44F-FB69-4797-A752-386C4F4B92BE}"/>
    <hyperlink ref="M1353" r:id="rId520" xr:uid="{12E08DA3-4259-4DAF-B5C1-71DB74CFD053}"/>
    <hyperlink ref="M1354" r:id="rId521" xr:uid="{BBCFD969-DF90-484C-ABCC-25C6351C6B0C}"/>
    <hyperlink ref="M1355" r:id="rId522" xr:uid="{88EAA9A7-9209-480F-82B9-11492BB35DBA}"/>
    <hyperlink ref="M1356" r:id="rId523" xr:uid="{0E5665D0-37AA-4974-A0A1-1790D9B5BC3F}"/>
    <hyperlink ref="M1358" r:id="rId524" xr:uid="{74154359-F047-407D-8EBC-E77FF267C468}"/>
    <hyperlink ref="M1360" r:id="rId525" xr:uid="{0C767736-FBA3-43D8-820F-48A19B7FBE8F}"/>
    <hyperlink ref="M1361" r:id="rId526" xr:uid="{BBC2E98B-AE84-4ED8-872F-A71AAC57F94F}"/>
    <hyperlink ref="M1362" r:id="rId527" xr:uid="{8E65B083-BA1D-44F6-AE79-19FBB54B862E}"/>
    <hyperlink ref="M1363" r:id="rId528" xr:uid="{5FE96B3A-5284-41BF-B8E3-6CA96019ED25}"/>
    <hyperlink ref="M1364" r:id="rId529" xr:uid="{463860F9-3CFB-4DC3-8B47-235CD2C3D15F}"/>
    <hyperlink ref="M1365" r:id="rId530" xr:uid="{80EE4150-A208-48D2-BBE1-AFAAC27B47A7}"/>
    <hyperlink ref="M1378" r:id="rId531" xr:uid="{03A69DB1-C8A7-462D-B2CD-D5CBB2A9BA7A}"/>
    <hyperlink ref="M1393" r:id="rId532" xr:uid="{4B5210AE-FA03-476D-A7FB-EED43739EFEF}"/>
    <hyperlink ref="M1394" r:id="rId533" xr:uid="{9A7EEF00-A792-4FAC-9EB3-A302A9B39BD9}"/>
    <hyperlink ref="M1395" r:id="rId534" xr:uid="{81FC69DB-2662-4DA0-A021-544CE418A180}"/>
    <hyperlink ref="M1396" r:id="rId535" xr:uid="{895D814A-0719-4EDB-9279-F0854243111D}"/>
    <hyperlink ref="M1398" r:id="rId536" xr:uid="{A67C39A4-F7C0-4245-83DC-257B75BFFEB9}"/>
    <hyperlink ref="M1399" r:id="rId537" xr:uid="{F5663C47-6747-40A0-8F46-50FC4F254B9B}"/>
    <hyperlink ref="M1400" r:id="rId538" xr:uid="{15E9B3BD-4CC0-4485-91CA-C58873D5BDB0}"/>
    <hyperlink ref="M1596" r:id="rId539" xr:uid="{08A6D0D0-CEFE-4470-AB10-E04090D370D6}"/>
    <hyperlink ref="M1597" r:id="rId540" xr:uid="{3E290EBB-CD01-4BB8-978A-8AC55AC9D8BA}"/>
    <hyperlink ref="M1598" r:id="rId541" xr:uid="{4C68C8BE-B358-4D8B-A848-E367FBBAC7C8}"/>
    <hyperlink ref="M1608" r:id="rId542" xr:uid="{D671711D-B851-4769-BDB5-C7E7C20D831D}"/>
    <hyperlink ref="M1609" r:id="rId543" xr:uid="{46AAC22B-222D-459C-9F0F-01A3A533E17B}"/>
    <hyperlink ref="M1610" r:id="rId544" xr:uid="{63C253B7-A345-4CBB-9FD9-1A701716D0C3}"/>
    <hyperlink ref="M1611" r:id="rId545" xr:uid="{F50EF1C6-957E-440C-AD7D-E1D611F26BFB}"/>
    <hyperlink ref="M1613" r:id="rId546" xr:uid="{B6226FDF-8791-45A0-A92D-F5344F82F510}"/>
    <hyperlink ref="M1614" r:id="rId547" xr:uid="{133397A7-2BCB-4E7D-851F-3C3881A2D809}"/>
    <hyperlink ref="M1615" r:id="rId548" xr:uid="{D1CE84DB-E2CB-4483-A47C-998373D88CDB}"/>
    <hyperlink ref="M1616" r:id="rId549" xr:uid="{FB0B7E7B-BD43-4097-BD08-6E13AA799E9A}"/>
    <hyperlink ref="M1612" r:id="rId550" xr:uid="{F14851EF-52BF-4DFB-B06F-59100E8A9CC4}"/>
    <hyperlink ref="M1617" r:id="rId551" xr:uid="{D712B56C-6A09-4062-9F9C-EF968C3E2C09}"/>
    <hyperlink ref="M1618" r:id="rId552" xr:uid="{A71DAC54-D028-4141-BD91-C17E96D54EFA}"/>
    <hyperlink ref="M1619" r:id="rId553" xr:uid="{D8DFD7E0-21DC-42B7-A177-A931AE25E37C}"/>
    <hyperlink ref="M1620" r:id="rId554" xr:uid="{AB8F1892-9243-45E2-AA07-8591717AF2A3}"/>
    <hyperlink ref="M1634" r:id="rId555" xr:uid="{C87D31AA-A487-47E3-B842-B94B213F883C}"/>
    <hyperlink ref="M1635" r:id="rId556" xr:uid="{9EBCC3C7-1479-4BA8-BA17-151849CF73A6}"/>
    <hyperlink ref="M1636" r:id="rId557" xr:uid="{B51A7127-9A18-4792-A0E3-C9FA7B266B96}"/>
    <hyperlink ref="M1637" r:id="rId558" xr:uid="{5C28076B-F555-4CDC-BD59-24F0924146F6}"/>
    <hyperlink ref="M1639" r:id="rId559" xr:uid="{9EC9E67D-D21D-45E8-9A55-2D27668B6909}"/>
    <hyperlink ref="M1641" r:id="rId560" xr:uid="{FDED4F83-1AA1-4FC6-9AC2-F3A271EADE9A}"/>
    <hyperlink ref="M1642" r:id="rId561" xr:uid="{55155EF8-7B3F-415F-A52F-0F47A14BBF04}"/>
    <hyperlink ref="M1643" r:id="rId562" xr:uid="{57F64A99-9DD7-45D1-9DB7-28AD0AF17A5F}"/>
    <hyperlink ref="M1644" r:id="rId563" xr:uid="{21512F2F-E037-440F-8AC8-BD4139FE2FF0}"/>
    <hyperlink ref="M1645" r:id="rId564" xr:uid="{4D65AEFE-24AF-4F3B-94E4-22939151C52C}"/>
    <hyperlink ref="M1646" r:id="rId565" xr:uid="{384CD108-9EB5-42DC-A635-9FA9EE18584C}"/>
    <hyperlink ref="M1647" r:id="rId566" xr:uid="{BBDB254E-9B7B-4A47-8BF0-3E3E6B9A2C1D}"/>
    <hyperlink ref="M1648" r:id="rId567" xr:uid="{EFF77E3C-D4B9-4806-A5A1-66DA0CA17A7D}"/>
    <hyperlink ref="M1649" r:id="rId568" xr:uid="{57C14132-8FEF-42D9-B14E-2B4D13306810}"/>
    <hyperlink ref="M1651" r:id="rId569" xr:uid="{BBED6AFA-D618-49E6-9EE5-DB6A98D20752}"/>
    <hyperlink ref="M1652" r:id="rId570" xr:uid="{16E66E46-6310-42BB-B56F-D0E65B40C516}"/>
    <hyperlink ref="M1654" r:id="rId571" xr:uid="{39B87830-E96B-4186-A88A-E7DC189F31CA}"/>
    <hyperlink ref="M1655" r:id="rId572" xr:uid="{288CA592-BC4D-4708-B0CF-DE741D859C72}"/>
    <hyperlink ref="M1657" r:id="rId573" xr:uid="{0055D2B6-7FA8-4D41-BDA0-64DE6453EFF1}"/>
    <hyperlink ref="M1659" r:id="rId574" xr:uid="{5831139C-A62B-433D-8929-E4F6C2D9F7BB}"/>
    <hyperlink ref="M1660" r:id="rId575" xr:uid="{C80B22D3-9706-47D0-A60F-E06DF23BC262}"/>
    <hyperlink ref="M1661" r:id="rId576" xr:uid="{82CC2531-826F-4F0C-B451-AB960CD6117B}"/>
    <hyperlink ref="M1663" r:id="rId577" xr:uid="{EB2CD537-45E9-4C5C-B39E-873C0EF431CA}"/>
    <hyperlink ref="M1670" r:id="rId578" xr:uid="{02BB96E4-81E6-4BED-8A17-A18469C7A600}"/>
    <hyperlink ref="M1672" r:id="rId579" xr:uid="{9742DBDD-9DDB-46B8-9D0E-FDB5335BF2EF}"/>
    <hyperlink ref="M1742" r:id="rId580" xr:uid="{33B4F994-7EC1-4B5A-A3CB-BD71EF77F489}"/>
    <hyperlink ref="M1743" r:id="rId581" xr:uid="{F9FB7D8C-70C1-4A2B-AF17-D912170A85B3}"/>
    <hyperlink ref="M1745" r:id="rId582" xr:uid="{1209E9A7-7191-4772-99EB-9A03A5EB4211}"/>
    <hyperlink ref="M1669" r:id="rId583" xr:uid="{E5B66754-C965-48F9-8C96-C87FD9DCF363}"/>
    <hyperlink ref="M1744" r:id="rId584" xr:uid="{71BF1042-6892-423E-B4B0-F69FEECD40E3}"/>
    <hyperlink ref="M1671" r:id="rId585" xr:uid="{E192FAEF-4050-4E08-BE6A-20C9D814F9EE}"/>
    <hyperlink ref="M1741" r:id="rId586" xr:uid="{963AD396-2923-4E91-B1AA-C35ACBFB28F3}"/>
    <hyperlink ref="M1746" r:id="rId587" xr:uid="{3905BA23-ABD8-47EC-B088-0226C55EDC0C}"/>
    <hyperlink ref="M1747" r:id="rId588" xr:uid="{5A0B022A-36C9-4A0F-83E0-6036BC1324DC}"/>
    <hyperlink ref="M1748" r:id="rId589" xr:uid="{B5E630DA-99B9-4118-8284-1123FCE1EEB9}"/>
    <hyperlink ref="M1749" r:id="rId590" xr:uid="{9E138AA8-B9B6-4445-91A6-36CDC52CF9DA}"/>
    <hyperlink ref="M1750" r:id="rId591" xr:uid="{864DFA1A-AF81-4CC2-9DBD-089B48B999E1}"/>
    <hyperlink ref="M1751" r:id="rId592" xr:uid="{ABB3FBD9-D341-4E5C-BD2C-BBF3BDA2D198}"/>
    <hyperlink ref="M1752" r:id="rId593" xr:uid="{DEEFBA6C-334B-431D-AD89-597AE091054A}"/>
    <hyperlink ref="M1753" r:id="rId594" xr:uid="{F0714E47-19EF-412B-A665-DA584E91F57A}"/>
    <hyperlink ref="M1754" r:id="rId595" xr:uid="{A65E2E67-2820-406A-8B2A-7E09F884F8C2}"/>
    <hyperlink ref="M1755" r:id="rId596" xr:uid="{2B15F29B-0BF9-4BD6-B575-BB109C1FC3F1}"/>
    <hyperlink ref="M1756" r:id="rId597" xr:uid="{2BB0F771-16C3-43A4-AA70-2DA8ABFD6A23}"/>
    <hyperlink ref="M1757" r:id="rId598" xr:uid="{594E7CFB-42F7-4958-BE2B-AE1FC220B070}"/>
    <hyperlink ref="M1758" r:id="rId599" xr:uid="{316B64E7-019A-4035-B4AB-AC03DAFE04F4}"/>
    <hyperlink ref="M1759" r:id="rId600" xr:uid="{C129D5E5-DE15-4CCE-AE50-40AD81BB7796}"/>
    <hyperlink ref="M1761" r:id="rId601" xr:uid="{FDC94F94-BF7F-4A0A-B454-E696D769F760}"/>
    <hyperlink ref="M1762" r:id="rId602" xr:uid="{F356E470-563D-4BD8-A928-70EEAE9E75EE}"/>
    <hyperlink ref="M1787" r:id="rId603" xr:uid="{584AEC05-F28C-41CB-9311-EEE460B91774}"/>
    <hyperlink ref="M1788" r:id="rId604" xr:uid="{910C28C3-F502-4FB6-805D-D4A3F4DE5C19}"/>
    <hyperlink ref="M1789" r:id="rId605" xr:uid="{9391532F-24AC-40E1-AF19-92935CEE4D8F}"/>
    <hyperlink ref="M1790" r:id="rId606" xr:uid="{A59EB684-4F10-4AC9-9241-2AD9FED22803}"/>
    <hyperlink ref="M1791" r:id="rId607" xr:uid="{865B7B4E-5DF3-42E3-831C-F009C6BE5C01}"/>
    <hyperlink ref="M1820" r:id="rId608" xr:uid="{3F0D24BF-6C11-4E35-9EE2-AEA1603A7C3D}"/>
    <hyperlink ref="M1852" r:id="rId609" xr:uid="{7C6BC94F-39C7-41DB-AAAB-9299A3D24E53}"/>
    <hyperlink ref="M1864" r:id="rId610" xr:uid="{C4897E49-6B82-4D72-A008-1C0EE4B429DD}"/>
    <hyperlink ref="M1865" r:id="rId611" xr:uid="{A45DF22F-E910-4775-80CF-BFC2F087B4F4}"/>
    <hyperlink ref="M1866" r:id="rId612" xr:uid="{775FC689-5BA2-4F9D-A7B5-F4295C0DFC6E}"/>
    <hyperlink ref="M1867" r:id="rId613" xr:uid="{F8ED9095-8CEF-4B54-8235-CA86A56FC891}"/>
    <hyperlink ref="M1868" r:id="rId614" xr:uid="{37C569B6-CD27-41BE-88FC-56B0D7134D5C}"/>
    <hyperlink ref="M1870" r:id="rId615" xr:uid="{9956893F-2772-407B-AF8D-20A598FF1F63}"/>
    <hyperlink ref="M1871" r:id="rId616" xr:uid="{A2470AB8-7F34-4CCB-95B2-D99657A69780}"/>
    <hyperlink ref="M1872" r:id="rId617" xr:uid="{BC646CE8-FD11-47C6-804B-D50F841989E7}"/>
    <hyperlink ref="M1874" r:id="rId618" xr:uid="{1154E381-5A0D-4D5D-98D1-F3849CB336CA}"/>
    <hyperlink ref="M1875" r:id="rId619" xr:uid="{6FAB7285-3047-4D00-B5BC-CF9A73233C94}"/>
    <hyperlink ref="M1877" r:id="rId620" xr:uid="{FDEB2362-E233-4ACF-A6D6-E8F03C44EE48}"/>
    <hyperlink ref="M1878" r:id="rId621" xr:uid="{3CE0E0A5-C491-4B00-8700-7E3E0A2A318A}"/>
    <hyperlink ref="M1885" r:id="rId622" xr:uid="{E252A5EF-D618-4794-8659-7F85D5B4C089}"/>
    <hyperlink ref="M1886" r:id="rId623" xr:uid="{69FD095F-8970-44D1-8FA6-4041BEEA9CA5}"/>
    <hyperlink ref="M1887" r:id="rId624" xr:uid="{6ADAC8C1-EA6C-436A-8D1D-75288110495C}"/>
    <hyperlink ref="M1888" r:id="rId625" xr:uid="{491287E0-D407-4654-852A-493FC94F1B19}"/>
    <hyperlink ref="M1889" r:id="rId626" xr:uid="{8D9378EE-0A0B-4A93-BC20-144CCCFCEE34}"/>
    <hyperlink ref="M1890" r:id="rId627" xr:uid="{2AE3165E-A38E-44F4-95E3-1329BFA4B1F7}"/>
    <hyperlink ref="M1891" r:id="rId628" xr:uid="{D6F68616-4AB5-48C0-90ED-E46E1190AB80}"/>
    <hyperlink ref="M1892" r:id="rId629" xr:uid="{F3B03641-8403-43C7-ADF7-7A4414B5919C}"/>
    <hyperlink ref="M1893" r:id="rId630" xr:uid="{CBFEC630-57F6-4586-B958-2CDD71A9F290}"/>
    <hyperlink ref="M1894" r:id="rId631" xr:uid="{9FBDF60E-83A8-481F-BD44-071618AFBD61}"/>
    <hyperlink ref="M1895" r:id="rId632" xr:uid="{FBADA879-8DD4-49AD-8772-0501C0663BD3}"/>
    <hyperlink ref="M1896" r:id="rId633" xr:uid="{907CA16B-2E17-4AC6-86FC-870BB4D42A9C}"/>
    <hyperlink ref="M1897" r:id="rId634" xr:uid="{B9684BF1-4DCD-42EA-A2A9-F009CE58B634}"/>
    <hyperlink ref="M1898" r:id="rId635" xr:uid="{4D42C8F7-6D3E-408E-BF64-41030C6667D8}"/>
    <hyperlink ref="M1899" r:id="rId636" xr:uid="{0D8DBA22-70FB-4FC0-94CC-836324D919D0}"/>
    <hyperlink ref="M1900" r:id="rId637" xr:uid="{E3502365-8483-4DFF-80E8-0BF5385972A2}"/>
    <hyperlink ref="M1901" r:id="rId638" xr:uid="{1A9324BC-8DF6-4711-9C34-D652B1CDCD16}"/>
    <hyperlink ref="M1902" r:id="rId639" xr:uid="{FD9A51D6-B5BF-41F8-9194-763280C22548}"/>
    <hyperlink ref="M1903" r:id="rId640" xr:uid="{BE5E025F-7CD2-49AA-A9DC-C31D19EF08B0}"/>
    <hyperlink ref="M1904" r:id="rId641" xr:uid="{2D971278-F64E-4673-8935-E4640157E8C0}"/>
    <hyperlink ref="M1905" r:id="rId642" xr:uid="{3D9425CB-2D8A-46E2-8D8F-B4C0E236BD4F}"/>
    <hyperlink ref="M1906" r:id="rId643" xr:uid="{DEF645E9-7B8D-4026-A898-9347BF7F604F}"/>
    <hyperlink ref="M1907" r:id="rId644" xr:uid="{D3D1E349-8530-4BBF-AB3B-97AC1B7795AB}"/>
    <hyperlink ref="M1908" r:id="rId645" xr:uid="{AC2B6E49-F850-4A8F-868C-B627B485CA61}"/>
    <hyperlink ref="M1909" r:id="rId646" xr:uid="{2CAE76CC-9FED-4A7B-8819-20ED9A469C5A}"/>
    <hyperlink ref="M1910" r:id="rId647" xr:uid="{022ACC9A-831A-4574-832E-A5C02E68960F}"/>
    <hyperlink ref="M1911" r:id="rId648" xr:uid="{D5C25A44-71D4-499F-A080-E956ED56BF8B}"/>
    <hyperlink ref="M1912" r:id="rId649" xr:uid="{8B8A1388-2EB7-409E-908A-203E7F23D47A}"/>
    <hyperlink ref="M1913" r:id="rId650" xr:uid="{437DA48B-6972-46E3-80C9-65B10F54031F}"/>
    <hyperlink ref="M1915" r:id="rId651" xr:uid="{FF59866E-BA9A-4522-9B85-42311620954A}"/>
    <hyperlink ref="M1917" r:id="rId652" xr:uid="{C1272C97-CD94-4F6C-A14E-68BF6D48C904}"/>
    <hyperlink ref="M1918" r:id="rId653" xr:uid="{F28E6CA5-F2CC-4135-803F-535649920965}"/>
    <hyperlink ref="M1919" r:id="rId654" xr:uid="{133D947C-8E07-4500-8D63-8CB45BA0A013}"/>
    <hyperlink ref="M1921" r:id="rId655" xr:uid="{8B7BE140-D074-49FB-B1A2-304B695B1AA4}"/>
    <hyperlink ref="M1922" r:id="rId656" xr:uid="{2CD4D966-9B6B-467E-A0F1-93068452C8DB}"/>
    <hyperlink ref="M1923" r:id="rId657" xr:uid="{C9D2EF40-A095-449D-B598-B7740563F520}"/>
    <hyperlink ref="M1924" r:id="rId658" xr:uid="{1EA43012-0853-4F91-A732-B147E4AA57F6}"/>
    <hyperlink ref="M1925" r:id="rId659" xr:uid="{5A094F15-F941-4FF7-970C-2C1BB4644D5B}"/>
    <hyperlink ref="M1927" r:id="rId660" xr:uid="{EF6A94F1-A5C7-4B7F-9169-2F1D387006D0}"/>
    <hyperlink ref="M1928" r:id="rId661" xr:uid="{D6F6F2DA-6FE0-4F97-BA2B-F8B935B08BE6}"/>
    <hyperlink ref="M1929" r:id="rId662" xr:uid="{2861D8AF-CD1F-45C2-9354-5AA42AE8C524}"/>
    <hyperlink ref="M1930" r:id="rId663" xr:uid="{46DBDA45-988F-4656-A7FE-5B761C7C0FCF}"/>
    <hyperlink ref="M1931" r:id="rId664" xr:uid="{774EF667-EB18-43F5-9248-FA48547A6EE5}"/>
    <hyperlink ref="M1932" r:id="rId665" xr:uid="{5B765C8E-456B-4C40-970E-875A1AB86C82}"/>
    <hyperlink ref="M1933" r:id="rId666" xr:uid="{ADD23651-96DB-49E8-9908-3A70EEF220A4}"/>
    <hyperlink ref="M1934" r:id="rId667" xr:uid="{7885B251-4BCC-4781-B511-7C0E0A1D7981}"/>
    <hyperlink ref="M1935" r:id="rId668" xr:uid="{E073D782-36EA-4110-9F6B-6E095D5D65C7}"/>
    <hyperlink ref="M1937" r:id="rId669" xr:uid="{AA02C898-ACD3-47D7-AA6C-5FE3CE0B39AA}"/>
    <hyperlink ref="M1939" r:id="rId670" xr:uid="{57579DA3-11C9-423C-92AB-C5DD5F8755C4}"/>
    <hyperlink ref="M1940" r:id="rId671" xr:uid="{CE3ACB80-56CE-4924-BB24-A6CE0AE4B74E}"/>
    <hyperlink ref="M1943" r:id="rId672" xr:uid="{9E9BA8FB-1CAC-42F9-BCB1-93BD1267A1B3}"/>
    <hyperlink ref="M1944" r:id="rId673" xr:uid="{BF21754C-CF80-4A14-984A-C834B491AA01}"/>
    <hyperlink ref="M1945" r:id="rId674" xr:uid="{E1438C87-0534-47F3-9526-AB528975C9EB}"/>
    <hyperlink ref="M1946" r:id="rId675" xr:uid="{B514FC51-92B6-412F-BEE0-5D96762678BF}"/>
    <hyperlink ref="M1947" r:id="rId676" xr:uid="{993A8B44-7386-45C0-9D94-22E19818BCA0}"/>
    <hyperlink ref="M1948" r:id="rId677" xr:uid="{69905352-E2B5-4F76-8AF5-40D8FA332CCE}"/>
    <hyperlink ref="N1949" r:id="rId678" xr:uid="{567F2F77-BC2C-448C-97B7-09EFD73C4591}"/>
    <hyperlink ref="N1950" r:id="rId679" xr:uid="{B9556786-B59F-44F6-B34F-27887E37C6D8}"/>
    <hyperlink ref="M1951" r:id="rId680" xr:uid="{73F44A8E-AC10-43B6-84C8-267291197FFE}"/>
    <hyperlink ref="M1952" r:id="rId681" xr:uid="{9C0E62B6-06C8-473A-959B-A8B12BB00ECA}"/>
    <hyperlink ref="M1953" r:id="rId682" xr:uid="{5DA0BFD2-14B6-419E-8349-C997A59F3420}"/>
    <hyperlink ref="M1954" r:id="rId683" xr:uid="{A1CE5C91-6948-49CC-980D-BCBD03E96E4A}"/>
    <hyperlink ref="M1955" r:id="rId684" xr:uid="{7171766E-6A2E-4223-860C-3FABD39C35CB}"/>
    <hyperlink ref="M1964" r:id="rId685" xr:uid="{B561C10A-78BF-49C7-8826-5042555C1314}"/>
    <hyperlink ref="M1966" r:id="rId686" xr:uid="{3601A68F-91EF-4D46-B146-40628A065D6F}"/>
    <hyperlink ref="M1967" r:id="rId687" xr:uid="{915CD4BC-E883-4277-8FF9-1E003B3C06FD}"/>
    <hyperlink ref="M1968" r:id="rId688" xr:uid="{3DC89EE6-6AFC-4282-AF30-2B11B78ACBB5}"/>
    <hyperlink ref="M1970" r:id="rId689" xr:uid="{A3402F20-665F-4A2D-BECE-F197C8B0D50E}"/>
    <hyperlink ref="M1971" r:id="rId690" xr:uid="{D060FBF6-1F60-44D3-8BA7-DC11E6750D8C}"/>
    <hyperlink ref="M1972" r:id="rId691" xr:uid="{BDAC1AAC-E319-4020-AE27-1A7151BDDDFA}"/>
    <hyperlink ref="M1973" r:id="rId692" xr:uid="{10E76E5B-52BB-4328-8562-FE532B54D14C}"/>
    <hyperlink ref="M1975" r:id="rId693" xr:uid="{810DEC96-CD40-4B1B-B62B-A921CA443ECC}"/>
    <hyperlink ref="M1977" r:id="rId694" xr:uid="{71D1DF78-F0B8-49B0-8C1B-6147FE5666E8}"/>
    <hyperlink ref="M1978" r:id="rId695" xr:uid="{66CBA633-39C0-4523-8925-FFB9D689D9FF}"/>
    <hyperlink ref="M1980" r:id="rId696" xr:uid="{01498F79-147E-4F64-913E-82F6D6929709}"/>
    <hyperlink ref="M1981" r:id="rId697" xr:uid="{7808CCFE-70CE-4796-BB45-C5CB509D8483}"/>
    <hyperlink ref="M1982" r:id="rId698" xr:uid="{EA705D30-5E91-4A39-8C78-B05E039E8EA4}"/>
    <hyperlink ref="M1983" r:id="rId699" xr:uid="{D451FA5C-76EB-4B2D-8B58-18E4D744D50A}"/>
    <hyperlink ref="M1984" r:id="rId700" xr:uid="{08D877D2-69F5-466C-A255-4218342600FB}"/>
    <hyperlink ref="M1985" r:id="rId701" xr:uid="{DCE4DD60-49D1-42F2-9680-6BC54A234E20}"/>
    <hyperlink ref="M1986" r:id="rId702" xr:uid="{21D117E9-DFA2-47D2-A3BF-0588FA1363E5}"/>
    <hyperlink ref="M1987" r:id="rId703" xr:uid="{F252687D-114F-4268-AC7A-A7F7E6B62EC4}"/>
    <hyperlink ref="M1989" r:id="rId704" xr:uid="{BC2D6CD8-DDE7-48D1-9D9A-27CDA9FC36B2}"/>
    <hyperlink ref="M1991" r:id="rId705" xr:uid="{F98C5335-32C7-4E07-8799-6B00ABC1E18E}"/>
    <hyperlink ref="M1992" r:id="rId706" xr:uid="{7C3388F5-66E8-4268-8EE8-DAE45E86844D}"/>
    <hyperlink ref="M1993" r:id="rId707" xr:uid="{CB684580-4DD7-4949-8D1A-61C482C9EAC1}"/>
    <hyperlink ref="M1994" r:id="rId708" xr:uid="{2B1F5A10-5947-4D73-ADE2-6B6CD487D74A}"/>
    <hyperlink ref="M1995" r:id="rId709" xr:uid="{C9E4A5F3-1200-4EF3-A48B-93DE4A38C8AF}"/>
    <hyperlink ref="M1996" r:id="rId710" xr:uid="{510EEF0A-95DD-41BA-97A4-A08AC60BF221}"/>
    <hyperlink ref="M1997" r:id="rId711" xr:uid="{F8850EEC-1C97-4A5C-923A-6E97AD3C9BF8}"/>
    <hyperlink ref="M1998" r:id="rId712" xr:uid="{90A5E0DC-2E7A-45F8-980C-AD72C8E11D55}"/>
    <hyperlink ref="M1979" r:id="rId713" xr:uid="{3E5770A0-AA8C-4168-90AE-22E8893561C4}"/>
    <hyperlink ref="M1988" r:id="rId714" xr:uid="{FDC9776C-35F3-450D-890D-FFB5DF67CC4A}"/>
    <hyperlink ref="M1990" r:id="rId715" xr:uid="{13E34A68-F026-4DDB-A5B6-2DC08EF2865F}"/>
    <hyperlink ref="M1999" r:id="rId716" xr:uid="{0F2E45DC-7363-4F15-AEA6-A04A0F38CED1}"/>
    <hyperlink ref="M2000" r:id="rId717" xr:uid="{2496AA47-970E-4582-A639-AF7C234076B2}"/>
    <hyperlink ref="M2001" r:id="rId718" xr:uid="{71EBDD6B-4248-4E1D-8192-088961774729}"/>
    <hyperlink ref="M2002" r:id="rId719" xr:uid="{0F6AC41A-7735-4128-9F65-E049CE183ACB}"/>
    <hyperlink ref="M2003" r:id="rId720" xr:uid="{1107778E-A465-4954-83FC-1D4950704E89}"/>
    <hyperlink ref="M2004" r:id="rId721" xr:uid="{5BD7AAA7-2448-438E-B0AE-59186613C15A}"/>
    <hyperlink ref="M2005" r:id="rId722" xr:uid="{A0882B04-AEEA-4F59-B52A-CB0F4B47B5D5}"/>
    <hyperlink ref="M2006" r:id="rId723" xr:uid="{0589A826-36C1-4126-A73D-254A96C94FC0}"/>
    <hyperlink ref="M2007" r:id="rId724" xr:uid="{69A5A512-97DA-44D1-938C-388C76D164E4}"/>
    <hyperlink ref="M2008" r:id="rId725" xr:uid="{51BE978A-108E-4138-AEE8-EF5F4333D5EB}"/>
    <hyperlink ref="M2009" r:id="rId726" xr:uid="{B6175CE8-4D3D-4F03-B423-CEA4E41F69C2}"/>
    <hyperlink ref="M2010" r:id="rId727" xr:uid="{3089B24A-FA8F-4ED4-9F41-09856D7B8A62}"/>
    <hyperlink ref="M2011" r:id="rId728" xr:uid="{33CEA7DC-6839-486C-A6A9-BDEFF659F421}"/>
    <hyperlink ref="M2012" r:id="rId729" xr:uid="{B41C6CF2-A4D2-44B9-B981-1AD327C0E1AD}"/>
    <hyperlink ref="M2013" r:id="rId730" xr:uid="{AF72D8C1-5662-4042-8ED0-41D99A9E6DC8}"/>
    <hyperlink ref="M2014" r:id="rId731" xr:uid="{1319B215-8C59-44C4-8F66-CD24E01422F1}"/>
    <hyperlink ref="M2015" r:id="rId732" xr:uid="{D5080964-9266-4D81-BE2E-69A55135BB9E}"/>
    <hyperlink ref="M2016" r:id="rId733" xr:uid="{08AA9ACC-7BCE-4F46-9B62-59122924D10D}"/>
    <hyperlink ref="M2086" r:id="rId734" xr:uid="{28A99066-7CB2-44A4-86B2-968B0CEAFBE5}"/>
    <hyperlink ref="M2087" r:id="rId735" xr:uid="{394853C1-6BF6-41E0-9A2B-FF671C1F7F22}"/>
    <hyperlink ref="M2088" r:id="rId736" xr:uid="{E13D35EB-66B3-4116-92CF-ACAA35AB6342}"/>
    <hyperlink ref="M2089" r:id="rId737" xr:uid="{5D9F866E-90A7-4696-8940-6651907F72F8}"/>
    <hyperlink ref="M2090" r:id="rId738" xr:uid="{D4F19D99-D0F1-4073-A2C5-2452167E9A99}"/>
    <hyperlink ref="M2091" r:id="rId739" xr:uid="{830E4960-E64E-489D-8A89-B3D77B2CFC63}"/>
    <hyperlink ref="M2092" r:id="rId740" xr:uid="{8EC44043-9F5B-4FA0-8073-B7561626DD06}"/>
    <hyperlink ref="M2093" r:id="rId741" xr:uid="{C16B8EA2-304A-4276-A6E5-0B4D94A8E9E8}"/>
    <hyperlink ref="M2094" r:id="rId742" xr:uid="{9CEA8AE6-BE93-4FF2-93B5-AAC98E6F71E8}"/>
    <hyperlink ref="M2095" r:id="rId743" xr:uid="{236D6242-D543-4085-8998-2844D992AC0A}"/>
    <hyperlink ref="M2096" r:id="rId744" xr:uid="{3009B506-5244-4BE7-991E-380A4E40E891}"/>
    <hyperlink ref="M2097" r:id="rId745" xr:uid="{44CECF06-588D-45E0-8CAD-76F6EBC78B47}"/>
    <hyperlink ref="M2098" r:id="rId746" xr:uid="{FC8A8CBA-A060-43E2-9AD0-F8DB16F76D3A}"/>
    <hyperlink ref="M2099" r:id="rId747" xr:uid="{05A05A3E-A64C-4EBC-9DF4-5F8C98913CC7}"/>
    <hyperlink ref="M2100" r:id="rId748" xr:uid="{51D8D820-E6A6-47F9-88C4-6EF55B7A2FD4}"/>
    <hyperlink ref="M2101" r:id="rId749" xr:uid="{075700A6-DEC2-489B-AEF0-E86417BA25F8}"/>
    <hyperlink ref="M2102" r:id="rId750" xr:uid="{D812F0C7-63E1-43C9-B337-D5878559ECC9}"/>
    <hyperlink ref="M2103" r:id="rId751" xr:uid="{61545024-52F9-474D-B9A0-29B6F110B819}"/>
    <hyperlink ref="M2104" r:id="rId752" xr:uid="{D43C16BD-4362-473D-A970-4D16382EF2FF}"/>
    <hyperlink ref="M2107" r:id="rId753" xr:uid="{729A59EF-0B45-483E-AEAE-AD0463BB20D1}"/>
    <hyperlink ref="M2108" r:id="rId754" xr:uid="{CF5092BD-8B0C-417C-B7B6-D0E9182C0CF0}"/>
    <hyperlink ref="M2110" r:id="rId755" xr:uid="{C0F1305A-F306-4A3E-BE28-D2C64FC7A9B5}"/>
    <hyperlink ref="M2111" r:id="rId756" xr:uid="{B107C082-BC4F-489E-89EA-2332AA1F5998}"/>
    <hyperlink ref="M2112" r:id="rId757" xr:uid="{D7A60048-98F0-4DA6-A5DB-3C090008CCCB}"/>
    <hyperlink ref="M2113" r:id="rId758" xr:uid="{71E13853-8C55-4A18-A91D-E4CEAC9AD029}"/>
    <hyperlink ref="M2114" r:id="rId759" xr:uid="{466111C5-0367-4A31-996C-60AD97FDD30C}"/>
    <hyperlink ref="M2116" r:id="rId760" xr:uid="{55DE3618-8D90-4CBC-81E3-32A05BBC23B9}"/>
    <hyperlink ref="M2117" r:id="rId761" xr:uid="{68B93DC8-74F9-4D76-8E56-1BB5108E0848}"/>
    <hyperlink ref="M2118" r:id="rId762" xr:uid="{9891AD13-1D89-4C0F-B7C4-AA2AFA82692C}"/>
    <hyperlink ref="M2119" r:id="rId763" xr:uid="{15CD12B5-93C0-4B6E-9346-679C0C9F038F}"/>
    <hyperlink ref="M2120" r:id="rId764" xr:uid="{CC07DDDD-A425-4C20-A597-1C07F9A246F7}"/>
    <hyperlink ref="M2121" r:id="rId765" xr:uid="{7631CA63-7CC3-4ED9-B07A-A04C865269E1}"/>
    <hyperlink ref="M2122" r:id="rId766" xr:uid="{4CFF14FE-BA6D-4D80-B482-E0D9CF45D8EE}"/>
    <hyperlink ref="M2123" r:id="rId767" xr:uid="{997A4509-F0BC-4395-9781-C927DA1335A2}"/>
    <hyperlink ref="M2124" r:id="rId768" xr:uid="{DF054492-316E-4C47-993B-F703022FE52B}"/>
    <hyperlink ref="M2125" r:id="rId769" xr:uid="{EE243491-F43E-4FAF-B937-5738D5470F8C}"/>
    <hyperlink ref="M2126" r:id="rId770" xr:uid="{15CE9B97-41EC-45FC-B4ED-61382D695368}"/>
    <hyperlink ref="M2128" r:id="rId771" xr:uid="{A383ED3A-B290-4B55-95B6-9D210FBD6116}"/>
    <hyperlink ref="M2171" r:id="rId772" xr:uid="{25CD2211-0597-4A39-9279-B7E5EF1CC06E}"/>
    <hyperlink ref="M2172" r:id="rId773" xr:uid="{D2345389-4A27-48EF-886A-267330C18F26}"/>
    <hyperlink ref="M2173" r:id="rId774" xr:uid="{A2AF4432-6062-4840-BFA6-60B5CDDC4F98}"/>
    <hyperlink ref="M2176" r:id="rId775" xr:uid="{F912CD0E-D4B1-41EC-860D-15AE27F55088}"/>
    <hyperlink ref="M2182" r:id="rId776" xr:uid="{B2E360C1-C08D-4D8A-9404-77E5AA60E8A5}"/>
    <hyperlink ref="M2206" r:id="rId777" xr:uid="{26AEF297-3487-4BAC-A651-7E2F8C3BD15E}"/>
    <hyperlink ref="M2207" r:id="rId778" xr:uid="{04CA8660-C1EA-454E-A091-215EBF325574}"/>
    <hyperlink ref="M2210" r:id="rId779" xr:uid="{BE813E0A-12E8-4B70-862B-923617D7419F}"/>
    <hyperlink ref="M2212" r:id="rId780" xr:uid="{150B667E-5F32-4C3B-9050-B159C0CA76A0}"/>
    <hyperlink ref="M2214" r:id="rId781" xr:uid="{6033F58D-C1FE-451B-9E56-5943F2F07C95}"/>
    <hyperlink ref="M2215" r:id="rId782" xr:uid="{6EB1833C-1413-41C6-B65F-27C2262D201B}"/>
    <hyperlink ref="M2217" r:id="rId783" xr:uid="{1036BEE5-924E-4077-A7EC-91A1CC3812C3}"/>
    <hyperlink ref="M2218" r:id="rId784" xr:uid="{85859668-9E22-4A54-9AE8-7F6B91A96D99}"/>
    <hyperlink ref="M2229" r:id="rId785" xr:uid="{84CF37EA-AF25-4C99-BB4E-FA39F82038F1}"/>
    <hyperlink ref="M2230" r:id="rId786" xr:uid="{65B81BE6-4936-4A94-9C61-51EDAB701617}"/>
    <hyperlink ref="M2231" r:id="rId787" xr:uid="{F7B89358-4990-4955-8D42-7908E6ADC460}"/>
    <hyperlink ref="M2232" r:id="rId788" xr:uid="{2682C3D8-E936-4E88-8536-1CE16DA2B6CD}"/>
    <hyperlink ref="M2234" r:id="rId789" xr:uid="{31F880DB-D8EA-4046-96BB-B5A349031CE7}"/>
    <hyperlink ref="M2235" r:id="rId790" xr:uid="{D8ED8CE6-B053-4107-AB6E-897CA05BE440}"/>
    <hyperlink ref="M2237" r:id="rId791" xr:uid="{83A87B7F-6CBD-420F-81B8-05B6FB2D8D04}"/>
    <hyperlink ref="M2238" r:id="rId792" xr:uid="{7B297FF6-2B12-4ECE-A5A1-7F0CBAFB17C2}"/>
    <hyperlink ref="M2239" r:id="rId793" xr:uid="{F76A033F-DE11-4AE0-B9AA-96FA485E0297}"/>
    <hyperlink ref="M2240" r:id="rId794" xr:uid="{22C52D7F-80AE-4A5B-BC27-DCB284CF66CE}"/>
    <hyperlink ref="M2242" r:id="rId795" xr:uid="{85797B68-A019-4C08-AA71-A7F7B9A0F036}"/>
    <hyperlink ref="M2175" r:id="rId796" xr:uid="{04726B20-8018-4863-A2F0-A2F2C39A3160}"/>
    <hyperlink ref="M2177" r:id="rId797" xr:uid="{E44B1A1E-D4ED-47DA-93FA-9E910D88A199}"/>
    <hyperlink ref="M2183" r:id="rId798" xr:uid="{A9C0EF46-F17A-4DF0-BA91-17C11C196D42}"/>
    <hyperlink ref="M2204" r:id="rId799" xr:uid="{80C2122B-E686-487B-B5CA-5C176484388D}"/>
    <hyperlink ref="M2208" r:id="rId800" xr:uid="{0CBC075F-A155-446B-8FA3-CE10AA64A830}"/>
    <hyperlink ref="M2216" r:id="rId801" xr:uid="{F2ABA5BD-ADBA-4813-BBCB-868D74F1A09F}"/>
    <hyperlink ref="M2219" r:id="rId802" xr:uid="{27D81FA7-DBA5-4A40-94E4-5D97D4A0A6E8}"/>
    <hyperlink ref="M2233" r:id="rId803" xr:uid="{46222920-D66F-4401-A717-160693329D2F}"/>
    <hyperlink ref="M2236" r:id="rId804" xr:uid="{BD01AAB0-7149-4F13-B98E-A87E9735FE1A}"/>
    <hyperlink ref="M2241" r:id="rId805" xr:uid="{F9ADA217-6B0F-41F6-B535-599FC32D04F5}"/>
    <hyperlink ref="M2244" r:id="rId806" xr:uid="{19DB6673-251C-449E-A453-D2B0EF68548C}"/>
    <hyperlink ref="M2284" r:id="rId807" xr:uid="{0EB742F1-D7D6-4328-957F-234A97494076}"/>
    <hyperlink ref="M2288" r:id="rId808" xr:uid="{1B52B5D0-5FC9-484B-A254-12F11FE8E065}"/>
    <hyperlink ref="M2290" r:id="rId809" xr:uid="{87A78982-E1AB-41D1-B9B5-F12108EAB6B3}"/>
    <hyperlink ref="M2291" r:id="rId810" xr:uid="{EB7590FB-1C09-4719-A61B-A36D87B03415}"/>
    <hyperlink ref="M2292" r:id="rId811" xr:uid="{C5F7AE64-FB90-4361-9EBB-EC9A435E86AA}"/>
    <hyperlink ref="M2293" r:id="rId812" xr:uid="{8E39F29B-9023-46B3-8794-7FDBC42FB3B6}"/>
    <hyperlink ref="M2295" r:id="rId813" xr:uid="{5409FBFA-E810-4F36-B300-9AAE2DEC8282}"/>
    <hyperlink ref="M2296" r:id="rId814" xr:uid="{980C896C-1D1F-4CE2-A15F-2C82C34EBB19}"/>
    <hyperlink ref="M2297" r:id="rId815" xr:uid="{3F3F4B5C-5B67-4379-B5DD-FDC093C072DF}"/>
    <hyperlink ref="M2298" r:id="rId816" xr:uid="{8C20A06E-F8E7-4E8F-AA4E-771F7B1FE293}"/>
    <hyperlink ref="M2299" r:id="rId817" xr:uid="{C2645F71-1934-464E-A19C-6D7F65281422}"/>
    <hyperlink ref="M2300" r:id="rId818" xr:uid="{85CF6B26-6F0A-48F5-8084-B2D4EB4FDEF4}"/>
    <hyperlink ref="M2303" r:id="rId819" xr:uid="{E19AF684-AB05-40AA-9E73-4D528CCFC7C7}"/>
    <hyperlink ref="M2354" r:id="rId820" xr:uid="{860E0455-EFE8-410C-84F2-7510346C4F85}"/>
    <hyperlink ref="M2355" r:id="rId821" xr:uid="{295CF3FA-CB44-4ECB-975A-6377F79A8359}"/>
    <hyperlink ref="M2356" r:id="rId822" xr:uid="{7D813A65-F003-4423-A518-8FD03C140A29}"/>
    <hyperlink ref="M2358" r:id="rId823" xr:uid="{7E178A50-4082-4AC3-8182-C767E8D9E678}"/>
    <hyperlink ref="M2359" r:id="rId824" xr:uid="{1B6852AA-7D63-46E3-86FA-25219704060E}"/>
    <hyperlink ref="M2361" r:id="rId825" xr:uid="{4797327E-BACD-4074-8861-D296B83F7DD1}"/>
    <hyperlink ref="M2362" r:id="rId826" xr:uid="{00205D21-398A-4D1F-8E91-DE3605717F4E}"/>
    <hyperlink ref="M2363" r:id="rId827" xr:uid="{4B54C835-C8DA-4141-867D-9CA899FF3E7F}"/>
    <hyperlink ref="M2364" r:id="rId828" xr:uid="{F88D3943-A8F7-4529-8837-04E34612892D}"/>
    <hyperlink ref="M2365" r:id="rId829" xr:uid="{C2711C32-F2DB-4D07-BD15-2280B699268B}"/>
    <hyperlink ref="M2366" r:id="rId830" xr:uid="{37ADAE70-9FC6-4A24-BA1F-3ADEE3870170}"/>
    <hyperlink ref="M2367" r:id="rId831" xr:uid="{C6D3959B-F289-4355-AF7C-5343BF632691}"/>
    <hyperlink ref="M2368" r:id="rId832" xr:uid="{C9C5F325-0D33-4F5C-8987-74ECDEE5AC4C}"/>
    <hyperlink ref="M2369" r:id="rId833" xr:uid="{1D9BB3CA-C451-40B4-9B1F-90803C46FBDE}"/>
    <hyperlink ref="M2370" r:id="rId834" xr:uid="{4D33900C-681E-4BB5-A8E7-27A4B3863C5B}"/>
    <hyperlink ref="M2371" r:id="rId835" xr:uid="{E8424D31-317D-478E-90A9-D29BC54F0F54}"/>
    <hyperlink ref="M2372" r:id="rId836" xr:uid="{F6D7DE12-3F56-4285-84FB-477606930820}"/>
    <hyperlink ref="M2384" r:id="rId837" xr:uid="{45F1CB23-DC0F-432D-AEE7-521A1C882314}"/>
    <hyperlink ref="M2386" r:id="rId838" xr:uid="{C46908F0-E819-4DE8-8F7E-80010A3BFE3C}"/>
    <hyperlink ref="M2387" r:id="rId839" xr:uid="{4F7DE6E3-02A0-4C2F-9D7F-74715E06C85D}"/>
    <hyperlink ref="M2388" r:id="rId840" xr:uid="{323A14B6-3643-42DC-8F3A-168F3C8559DD}"/>
    <hyperlink ref="M2389" r:id="rId841" xr:uid="{4FC3D5A7-20C7-4707-8572-4F112AF48101}"/>
    <hyperlink ref="M2390" r:id="rId842" xr:uid="{93CAE282-B272-4CC5-9785-13C6E338A481}"/>
    <hyperlink ref="M2391" r:id="rId843" xr:uid="{26B2F02F-B7C7-4C07-9F37-547D0CE21CBE}"/>
    <hyperlink ref="M2392" r:id="rId844" xr:uid="{7A8CC1B9-9528-4522-B3E9-7F8A645856C3}"/>
    <hyperlink ref="M2393" r:id="rId845" xr:uid="{04C830AE-385D-427B-A42D-9441DF96AB79}"/>
    <hyperlink ref="M2394" r:id="rId846" xr:uid="{D28AA327-FCC9-4FC0-8535-84141BC501D5}"/>
    <hyperlink ref="M2395" r:id="rId847" xr:uid="{1D786D1F-44FE-4161-87E4-20412BB2F8E7}"/>
    <hyperlink ref="M2397" r:id="rId848" xr:uid="{6462E518-5B05-426D-924D-B7F0DDD03A6E}"/>
    <hyperlink ref="M2398" r:id="rId849" xr:uid="{10CF1E10-86AC-4D3F-9DAE-4E798F5E7629}"/>
    <hyperlink ref="M2400" r:id="rId850" xr:uid="{18112120-2A29-4B6D-9B11-371F2D512B31}"/>
    <hyperlink ref="M2401" r:id="rId851" xr:uid="{C6CA7FEE-3A0B-4999-9E4B-29C0F0366C4C}"/>
    <hyperlink ref="M2402" r:id="rId852" xr:uid="{1FF4AFAA-2275-42FA-9F52-5DD84AE5222D}"/>
    <hyperlink ref="M2403" r:id="rId853" xr:uid="{862E7257-BE5D-4B0E-AFE7-414001D4FFFF}"/>
    <hyperlink ref="M2404" r:id="rId854" xr:uid="{E81A1974-9680-4B30-A4A5-C0ACB302E808}"/>
    <hyperlink ref="M2405" r:id="rId855" xr:uid="{C28FE07B-BF7C-45EB-83C7-4516634C6DD9}"/>
    <hyperlink ref="M2406" r:id="rId856" xr:uid="{1AE544D6-4688-4C75-A1CD-735A6330E6EB}"/>
    <hyperlink ref="M2407" r:id="rId857" xr:uid="{8590E29D-9CF6-430D-9219-FFFC047CD8AC}"/>
    <hyperlink ref="M2408" r:id="rId858" xr:uid="{065E0DD4-7510-400C-A0D7-5398943C97E1}"/>
    <hyperlink ref="M2409" r:id="rId859" xr:uid="{7F9FADEA-0F24-4444-8800-5823F6251A73}"/>
    <hyperlink ref="M2410" r:id="rId860" xr:uid="{E8E4F7CD-78E8-405B-8DC9-BD8125580437}"/>
    <hyperlink ref="M2411" r:id="rId861" xr:uid="{4703C938-DB73-424E-A0D4-5FB5551CBB1C}"/>
    <hyperlink ref="M2413" r:id="rId862" xr:uid="{D3D217C5-BA08-4866-90E5-23B551D02EDB}"/>
    <hyperlink ref="M2414" r:id="rId863" xr:uid="{CEC83283-7AF8-437C-9AB1-9EC8A60CAB42}"/>
    <hyperlink ref="M2415" r:id="rId864" xr:uid="{93C14583-86FC-4848-9389-42D1EC1B1092}"/>
    <hyperlink ref="M2416" r:id="rId865" xr:uid="{0F1C6928-52FC-47B7-8027-09C85D9DFC34}"/>
    <hyperlink ref="M2418" r:id="rId866" xr:uid="{44168A9A-DBA3-4DB1-B5A5-04FCA54173BE}"/>
    <hyperlink ref="M2419" r:id="rId867" xr:uid="{7A6BD596-DB21-4367-B44D-CAC409EC743B}"/>
    <hyperlink ref="M2421" r:id="rId868" xr:uid="{1B4FC2CF-9D0C-4993-B8A7-E9BA3AB39C07}"/>
    <hyperlink ref="M2422" r:id="rId869" xr:uid="{B99B55DA-9328-4F8C-855A-7B99DC1DEAE5}"/>
    <hyperlink ref="M2423" r:id="rId870" xr:uid="{C9BE488E-132C-47C8-84B0-02941AC9E654}"/>
    <hyperlink ref="M2424" r:id="rId871" xr:uid="{EC6FB428-84D1-4E0E-97F1-84A1B66F76FA}"/>
    <hyperlink ref="M2425" r:id="rId872" xr:uid="{CCD4CFD1-26FF-4A88-9DD5-617AB2484491}"/>
    <hyperlink ref="M2426" r:id="rId873" xr:uid="{89499E62-54F8-4E71-BB6D-252FA8595E4C}"/>
    <hyperlink ref="M2427" r:id="rId874" xr:uid="{BAD61182-40F6-45DB-B4E4-C81FB606C5B6}"/>
    <hyperlink ref="M2428" r:id="rId875" xr:uid="{065E298A-1544-47EE-9FE9-64079E6FC0EC}"/>
    <hyperlink ref="M2462" r:id="rId876" xr:uid="{12076B3A-659E-495E-85AB-F65DD134FB7C}"/>
    <hyperlink ref="M2464" r:id="rId877" xr:uid="{F2149B85-FE9B-4CBF-8210-9F21B2DC0FBF}"/>
    <hyperlink ref="M2465" r:id="rId878" xr:uid="{C30AED76-13D1-4083-B7E2-8BC976D1B183}"/>
    <hyperlink ref="M2466" r:id="rId879" xr:uid="{D6BEB7EB-142B-47AD-B20A-035D5FB60DF4}"/>
    <hyperlink ref="M2467" r:id="rId880" xr:uid="{31077E98-E9DD-4063-902E-5817312413D0}"/>
    <hyperlink ref="M2468" r:id="rId881" xr:uid="{DBB86E8B-6904-4008-9C0B-2105BE99DC39}"/>
    <hyperlink ref="M2469" r:id="rId882" xr:uid="{FFE25D44-6C71-4A3B-95A7-D87D1F4E70E5}"/>
    <hyperlink ref="M2470" r:id="rId883" xr:uid="{1C790C15-FFE0-4E39-A423-DE1713AD0C52}"/>
    <hyperlink ref="M2471" r:id="rId884" xr:uid="{4C3F0F40-5103-477A-81DA-FB6D579EA8DA}"/>
    <hyperlink ref="M2472" r:id="rId885" xr:uid="{D60F0AC5-3ACE-4464-9C35-9ADD544C9905}"/>
    <hyperlink ref="M2473" r:id="rId886" xr:uid="{7ED7EC7E-AB24-4290-A4CA-10BECE14E99F}"/>
    <hyperlink ref="M2474" r:id="rId887" xr:uid="{7F7EC366-7BFD-4111-BB04-FA23E4246169}"/>
    <hyperlink ref="M2475" r:id="rId888" xr:uid="{0DB45EC2-4802-4D68-8970-663313706A98}"/>
    <hyperlink ref="M2476" r:id="rId889" xr:uid="{3BBC7822-54E5-41C9-9953-C0CEA33589E4}"/>
    <hyperlink ref="M2477" r:id="rId890" xr:uid="{530036EC-1618-4B63-9789-8C211088C424}"/>
    <hyperlink ref="M2478" r:id="rId891" xr:uid="{AB9C9EE2-F798-48A4-817D-32E362523700}"/>
    <hyperlink ref="M2479" r:id="rId892" xr:uid="{ADFAB129-CCBB-4614-BCAE-510F7818F552}"/>
    <hyperlink ref="M2480" r:id="rId893" xr:uid="{F4522C32-D10F-4903-BD84-8028EF88705D}"/>
    <hyperlink ref="M2481" r:id="rId894" xr:uid="{72208567-A889-431C-9761-CA45C18FD773}"/>
    <hyperlink ref="M2482" r:id="rId895" xr:uid="{24EF0CF7-3F4A-4396-8EB0-106731F67A4F}"/>
    <hyperlink ref="M2502" r:id="rId896" xr:uid="{1106695F-F11A-431C-BF9E-F1337660E458}"/>
    <hyperlink ref="M2503" r:id="rId897" xr:uid="{ACF36CFF-B74F-4FFE-AF97-3B9EE9082059}"/>
    <hyperlink ref="M2504" r:id="rId898" xr:uid="{80314256-4338-4A4A-BD4D-22557ED2563B}"/>
    <hyperlink ref="M2505" r:id="rId899" xr:uid="{D9E99418-0A20-42B1-BE95-9EAC7D77C19B}"/>
    <hyperlink ref="M2506" r:id="rId900" xr:uid="{99BA0C2F-8059-4460-BD4E-E63087D12668}"/>
    <hyperlink ref="M2507" r:id="rId901" xr:uid="{E223863B-F544-4069-AAE8-C2CFC1E70660}"/>
    <hyperlink ref="M2508" r:id="rId902" xr:uid="{7A06114F-3D5B-42D5-8A30-C1AEE1CEB81B}"/>
    <hyperlink ref="M2509" r:id="rId903" xr:uid="{FD175830-B72E-448A-A71B-3F59C1CAC40F}"/>
    <hyperlink ref="M2510" r:id="rId904" xr:uid="{9524FBCD-0E77-491E-BCDF-C33CA6590B07}"/>
    <hyperlink ref="M2511" r:id="rId905" xr:uid="{D088DCA7-16E0-46FD-AF3E-3B2F432580A7}"/>
    <hyperlink ref="M2512" r:id="rId906" xr:uid="{7E5750EB-41C5-41BF-A79B-A0DDF96BD9A3}"/>
    <hyperlink ref="M2524" r:id="rId907" xr:uid="{8557A313-7FB7-4923-947D-5A4EE771A3E2}"/>
    <hyperlink ref="M2525" r:id="rId908" xr:uid="{E3F6B7E3-2BB4-4C6B-B7A2-EEC73702579B}"/>
    <hyperlink ref="M2526" r:id="rId909" xr:uid="{7794A44B-E4A4-4E11-9800-86EFF7054D9F}"/>
    <hyperlink ref="M2527" r:id="rId910" xr:uid="{852BCF26-1C74-44EF-89CA-1593288FC8B7}"/>
    <hyperlink ref="M2528" r:id="rId911" xr:uid="{1D46B86E-BF7C-4799-A34D-0FA83A96E208}"/>
    <hyperlink ref="M2529" r:id="rId912" xr:uid="{3149B9ED-A064-4720-A268-81DA35A9AE4D}"/>
    <hyperlink ref="M2530" r:id="rId913" xr:uid="{0FDA43CB-0EF7-42E4-85A4-4888D812916F}"/>
    <hyperlink ref="M2531" r:id="rId914" xr:uid="{2AC7967C-F72F-49C0-B651-B2AE6F807693}"/>
    <hyperlink ref="M2532" r:id="rId915" xr:uid="{A9ACD79F-C696-497A-9CB4-485EA7E128F3}"/>
    <hyperlink ref="M2533" r:id="rId916" xr:uid="{2AB403B7-1EC4-488D-81E3-617C055A3666}"/>
    <hyperlink ref="M2534" r:id="rId917" xr:uid="{6B9CD835-39CF-4F6E-A83B-00607C6FBE12}"/>
    <hyperlink ref="M2535" r:id="rId918" xr:uid="{D273E0BD-DFEC-428A-A932-5EF1B7D31669}"/>
    <hyperlink ref="M2536" r:id="rId919" xr:uid="{C604266B-3B48-4141-995D-6A9A2F6C8518}"/>
    <hyperlink ref="M2537" r:id="rId920" xr:uid="{A7F16EC8-BEEE-40B3-935B-B0AC020624DB}"/>
    <hyperlink ref="M2538" r:id="rId921" xr:uid="{736CC90F-6C7A-4DD9-9DFA-7B142607DB82}"/>
    <hyperlink ref="M2539" r:id="rId922" xr:uid="{D8BE84C6-1C54-45D7-B8B9-DB9F9418D755}"/>
    <hyperlink ref="M2540" r:id="rId923" xr:uid="{CB939138-7FC7-4DD7-A74F-3CBD37EAAC5A}"/>
    <hyperlink ref="M2541" r:id="rId924" xr:uid="{CA3B9244-74EF-4D1A-B4C0-E3AC1F190A00}"/>
    <hyperlink ref="M2542" r:id="rId925" xr:uid="{E4380460-D064-4323-8E8D-79B17497D3F0}"/>
    <hyperlink ref="M2543" r:id="rId926" xr:uid="{ED5B2C5F-5FC7-4934-8562-DE75EA70F0D5}"/>
    <hyperlink ref="M2544" r:id="rId927" xr:uid="{48F8EB52-8A4A-4834-BF4D-D0B3F61CE024}"/>
    <hyperlink ref="M2545" r:id="rId928" xr:uid="{A07BE505-D3A3-48EF-8B07-B63B3513CEA0}"/>
    <hyperlink ref="M2546" r:id="rId929" xr:uid="{EFDC58AA-5933-49AB-9D6D-FF277B635DA9}"/>
    <hyperlink ref="M2547" r:id="rId930" xr:uid="{3A2E5BCF-0FDA-40DB-9392-81CEB838DB0B}"/>
    <hyperlink ref="M2548" r:id="rId931" xr:uid="{4F0729FB-935D-4379-BEA8-989A7D63EE6C}"/>
    <hyperlink ref="M2549" r:id="rId932" xr:uid="{15DBBCB6-4E89-44B4-96CF-06680EFDE311}"/>
    <hyperlink ref="M2550" r:id="rId933" xr:uid="{42B8CB4C-6CF3-4F29-857D-A6B167D2138B}"/>
    <hyperlink ref="M2551" r:id="rId934" xr:uid="{A982FC91-3C68-48B9-9BFC-CF119F8928CE}"/>
    <hyperlink ref="M2552" r:id="rId935" xr:uid="{168ACFAD-2334-4724-AC7E-FBC8AFA24401}"/>
    <hyperlink ref="M2553" r:id="rId936" xr:uid="{EEE3C423-2D46-4416-A579-D8D9FF5C43BF}"/>
    <hyperlink ref="M2554" r:id="rId937" xr:uid="{B7ACD6EB-F2F8-45BF-B642-CD13CD130926}"/>
    <hyperlink ref="M2555" r:id="rId938" xr:uid="{E0A9745F-202B-42E7-A5F1-E2CC427CD6AD}"/>
    <hyperlink ref="M2556" r:id="rId939" xr:uid="{6C71016C-9309-4837-86F5-DD4C410BDD3F}"/>
    <hyperlink ref="M2557" r:id="rId940" xr:uid="{F8F17DF5-D395-45D2-B17E-BA9EFE2402AC}"/>
    <hyperlink ref="M2558" r:id="rId941" xr:uid="{F8930D9E-6D62-4BC0-9D58-139605675B21}"/>
    <hyperlink ref="M2559" r:id="rId942" xr:uid="{B42513FB-9A59-4EA2-9C41-C7082BA253DA}"/>
    <hyperlink ref="M2560" r:id="rId943" xr:uid="{9AA9EF53-8723-4C06-BA49-7B9C02E20AE8}"/>
    <hyperlink ref="M2561" r:id="rId944" xr:uid="{34BD82B3-AF9D-4C0B-9113-A2EE8CABB70E}"/>
    <hyperlink ref="M2562" r:id="rId945" xr:uid="{79C746DE-4D2A-4900-B606-EB1DC94EE78B}"/>
    <hyperlink ref="M2563" r:id="rId946" xr:uid="{6D63D7AB-F26B-4901-B8F4-2F6FAE1E1011}"/>
    <hyperlink ref="M2564" r:id="rId947" xr:uid="{1E7943FF-A5EC-4E8B-85DA-AFD967017AE7}"/>
    <hyperlink ref="M2565" r:id="rId948" xr:uid="{79A552EA-76FE-4990-B596-BE1314C7891A}"/>
    <hyperlink ref="M2566" r:id="rId949" xr:uid="{9361DB6C-B24D-41DA-AC0D-74FA777C71E9}"/>
    <hyperlink ref="M2567" r:id="rId950" xr:uid="{50C602C1-8609-4F42-A443-33FA6335CF79}"/>
    <hyperlink ref="M2568" r:id="rId951" xr:uid="{A13D03D5-9BF9-46B1-8826-6025B5675AEC}"/>
    <hyperlink ref="M2569" r:id="rId952" xr:uid="{726AE32E-5402-4ED2-80FB-B0383B52F775}"/>
    <hyperlink ref="M2570" r:id="rId953" xr:uid="{7B30DA5A-AD2E-40F6-BE94-F2121754ED7D}"/>
    <hyperlink ref="M2571" r:id="rId954" xr:uid="{E59079A8-88E9-4C87-B3D5-C732E559454A}"/>
    <hyperlink ref="M2572" r:id="rId955" xr:uid="{0640B134-1CAC-4EE9-81F1-EF2F6B1502D7}"/>
    <hyperlink ref="M2573" r:id="rId956" xr:uid="{925A11EE-1150-4663-BCDE-A17A2FC94E84}"/>
    <hyperlink ref="M2574" r:id="rId957" xr:uid="{63C4D618-3907-43BB-AF4F-798FC5DED8B9}"/>
    <hyperlink ref="M2575" r:id="rId958" xr:uid="{B2D5847D-A0BE-4939-A986-CB101CF1D39E}"/>
    <hyperlink ref="M2576" r:id="rId959" xr:uid="{B825AED2-614E-487A-9E13-970E7C68A0D5}"/>
    <hyperlink ref="M2577" r:id="rId960" xr:uid="{492B425F-CAB3-4EF1-9F2A-1349D1071E26}"/>
    <hyperlink ref="M2578" r:id="rId961" xr:uid="{7830249F-E8E5-403F-BF5F-EFA91469E9F1}"/>
    <hyperlink ref="M2579" r:id="rId962" xr:uid="{116675AB-0779-4324-8F22-B281F94F8899}"/>
    <hyperlink ref="M2580" r:id="rId963" xr:uid="{B61E5894-618A-4613-A8EA-95D3A5CA3DCF}"/>
    <hyperlink ref="M2581" r:id="rId964" xr:uid="{66D16891-3A6F-44FD-A442-5EF6798790F6}"/>
    <hyperlink ref="M2582" r:id="rId965" xr:uid="{B5B7B073-0AE4-4C19-B407-163499368C7F}"/>
    <hyperlink ref="M2583" r:id="rId966" xr:uid="{883438F2-8C5F-4E7A-85E8-6455068A1F7B}"/>
    <hyperlink ref="M2584" r:id="rId967" xr:uid="{7C0265B1-C8F8-4D7C-8356-E7DC432E9652}"/>
    <hyperlink ref="M2585" r:id="rId968" xr:uid="{B3266B4D-0C36-4F05-AAD1-1509614A5A22}"/>
    <hyperlink ref="M2586" r:id="rId969" xr:uid="{12F13691-3639-4053-B90B-1DD00817042A}"/>
    <hyperlink ref="M2587" r:id="rId970" xr:uid="{022D3172-0568-42BD-86BD-7E2AA3FACF47}"/>
    <hyperlink ref="M2588" r:id="rId971" xr:uid="{A1EE8395-A2ED-4B5A-9392-CA8D547941F8}"/>
    <hyperlink ref="M2589" r:id="rId972" xr:uid="{65FC2C08-5A1B-4C5F-B439-A99357B7C018}"/>
    <hyperlink ref="M2590" r:id="rId973" xr:uid="{AEC9419D-3831-4FA3-A476-D9365C001C77}"/>
    <hyperlink ref="M2591" r:id="rId974" xr:uid="{F56D0573-2BA0-4EB0-8630-A485EA5D22C4}"/>
    <hyperlink ref="M2592" r:id="rId975" xr:uid="{D759AE53-74F1-4804-B154-F6B5A021D254}"/>
    <hyperlink ref="M2593" r:id="rId976" xr:uid="{E628543F-C3D8-4BB4-A6DD-58ACDAD8E789}"/>
    <hyperlink ref="M2594" r:id="rId977" xr:uid="{C6C05D46-3B45-49CE-82D5-674FBA925050}"/>
    <hyperlink ref="M2595" r:id="rId978" xr:uid="{3FF7E8D2-694A-4924-BC0B-C31993300902}"/>
    <hyperlink ref="M2596" r:id="rId979" xr:uid="{276E6E17-0A8C-4503-9054-7549E66E0B7C}"/>
    <hyperlink ref="M2597" r:id="rId980" xr:uid="{726BC208-6130-4658-93F0-2E238DA17BDF}"/>
    <hyperlink ref="M2598" r:id="rId981" xr:uid="{57F6037B-FA10-40EA-B532-E21145DDE3B1}"/>
    <hyperlink ref="M2599" r:id="rId982" xr:uid="{DAC45A4A-0D22-40CE-8CC8-82593320E437}"/>
    <hyperlink ref="M2600" r:id="rId983" xr:uid="{A0331357-2417-4D5D-B18D-51D12787DE6E}"/>
    <hyperlink ref="M2602" r:id="rId984" xr:uid="{1DCE6087-CB64-4E6A-8C0C-842F4DD0A4F8}"/>
    <hyperlink ref="M2603" r:id="rId985" xr:uid="{ACBE28B8-935F-4896-8281-29052E338E12}"/>
    <hyperlink ref="M2604" r:id="rId986" xr:uid="{EEF5DD90-4A54-4D70-89C3-B20D7C297A26}"/>
    <hyperlink ref="M2605" r:id="rId987" xr:uid="{2A4AE3E6-BD8E-4AD7-AC53-C12B41D4DD94}"/>
    <hyperlink ref="M2606" r:id="rId988" xr:uid="{7A6B3F0F-C51F-4A6D-AE1D-65E21F00F04B}"/>
    <hyperlink ref="M2607" r:id="rId989" xr:uid="{5CB77ABC-B480-46FA-A021-56C5A4D5C011}"/>
    <hyperlink ref="M2608" r:id="rId990" xr:uid="{233BE5FA-AF6C-48D0-8E61-350C319E16CF}"/>
    <hyperlink ref="M2609" r:id="rId991" xr:uid="{93A36B89-B8B0-4FB6-ACF9-96534018163B}"/>
    <hyperlink ref="M2610" r:id="rId992" xr:uid="{9C8D65C8-632F-4541-A74A-5A99F126E395}"/>
    <hyperlink ref="M2611" r:id="rId993" xr:uid="{C2EE85F2-9F91-40CE-9120-1ABF43CF3A95}"/>
    <hyperlink ref="M2612" r:id="rId994" xr:uid="{4CDBF2B0-E5BB-4674-AD90-461B5A25FF32}"/>
    <hyperlink ref="M2613" r:id="rId995" xr:uid="{E124426B-3383-486E-AA1C-0B7ACFF33C60}"/>
    <hyperlink ref="M2614" r:id="rId996" xr:uid="{B2CBCE6E-8D4A-4678-BA83-058B5AE9234E}"/>
    <hyperlink ref="M2615" r:id="rId997" xr:uid="{C1247604-77F2-4BC3-884B-0FA0D3905D31}"/>
    <hyperlink ref="M2617" r:id="rId998" xr:uid="{2F1EFEEB-FC0A-4542-80E5-529FC92CD92D}"/>
    <hyperlink ref="M2618" r:id="rId999" xr:uid="{38AE396E-1969-4657-9306-23CD9ACA802B}"/>
    <hyperlink ref="M2619" r:id="rId1000" xr:uid="{F1694C61-78DE-4A43-AEED-9F2A18F1B86A}"/>
    <hyperlink ref="M2621" r:id="rId1001" xr:uid="{9E513188-115B-49BB-BC6E-92279FBAC1BF}"/>
    <hyperlink ref="M2622" r:id="rId1002" xr:uid="{6738E76B-911D-49E1-977F-889F8F177222}"/>
    <hyperlink ref="M2623" r:id="rId1003" xr:uid="{02F7E6B3-6D9A-46EA-A255-DEB41BD39443}"/>
    <hyperlink ref="M2624" r:id="rId1004" xr:uid="{0221827D-24D4-49B2-BBCB-A0A56FA98E6B}"/>
    <hyperlink ref="M2626" r:id="rId1005" xr:uid="{C1E9A3D9-F6EA-42A3-9608-A06E00FCD365}"/>
    <hyperlink ref="M2627" r:id="rId1006" xr:uid="{0D4B0364-D960-4D93-B7B3-9F590FFE8EE4}"/>
    <hyperlink ref="M2628" r:id="rId1007" xr:uid="{1B6DB56C-0C15-4F6A-89B8-7986D9B76B17}"/>
    <hyperlink ref="M2629" r:id="rId1008" xr:uid="{03601559-843D-4D76-A038-FA823CFE313D}"/>
    <hyperlink ref="M2630" r:id="rId1009" xr:uid="{3EEC787C-1B53-4D7D-A6E4-0EDD1F6D6B6B}"/>
    <hyperlink ref="M2631" r:id="rId1010" xr:uid="{5BAF0B43-5A17-4148-AF8A-958C7F76A8DC}"/>
    <hyperlink ref="M2639" r:id="rId1011" xr:uid="{77CA8DB8-C25A-46C6-A460-4A5F9F87E6A6}"/>
    <hyperlink ref="M2640" r:id="rId1012" xr:uid="{545CDBEA-86E9-445F-B09F-69B90E2A9C8A}"/>
    <hyperlink ref="M2641" r:id="rId1013" xr:uid="{4DE6862D-3D10-4452-BDE1-1DB10E475174}"/>
    <hyperlink ref="M2642" r:id="rId1014" xr:uid="{10349056-5A94-4557-815E-EA9AC70E3C30}"/>
    <hyperlink ref="M2643" r:id="rId1015" xr:uid="{2446A738-E81D-43AE-B89A-E0AA7ED60A58}"/>
    <hyperlink ref="M2645" r:id="rId1016" xr:uid="{AD494B33-5A7F-4047-B258-82DEFAD95EB9}"/>
    <hyperlink ref="M2646" r:id="rId1017" xr:uid="{5D2A73FC-3286-4542-B861-DC4F90BCCAED}"/>
    <hyperlink ref="M2648" r:id="rId1018" xr:uid="{317F271F-7B92-464C-B794-AEFC9157D77C}"/>
    <hyperlink ref="M2650" r:id="rId1019" xr:uid="{918BB9CB-B5F5-4464-AD47-F486C9228EA9}"/>
    <hyperlink ref="M2651" r:id="rId1020" xr:uid="{4DC5C7AD-32B4-438E-969D-59F99F31A068}"/>
    <hyperlink ref="M2652" r:id="rId1021" xr:uid="{F5480A9F-51DE-4DCA-BCA1-11CB5F19D8FD}"/>
    <hyperlink ref="M2653" r:id="rId1022" xr:uid="{838BDB6B-8465-45E7-9B14-7534AC1C0FB9}"/>
    <hyperlink ref="M2654" r:id="rId1023" xr:uid="{B92971D6-E7A7-4750-AF51-FB3179EC8393}"/>
    <hyperlink ref="M2657" r:id="rId1024" xr:uid="{91292750-6CFA-469C-AD7A-250744D6AAAF}"/>
    <hyperlink ref="M2658" r:id="rId1025" xr:uid="{D972A5DC-98AF-4C20-81E6-003F3C0B90AC}"/>
    <hyperlink ref="M2659" r:id="rId1026" xr:uid="{BD81623F-BF9A-4FEB-9CB8-51B4BC3ABD46}"/>
    <hyperlink ref="M2664" r:id="rId1027" xr:uid="{37B48EA6-DAAD-45B7-BE4F-4F0A84EBA6B4}"/>
    <hyperlink ref="M2665" r:id="rId1028" xr:uid="{6C186AA8-BA3C-4CAB-AEB4-B13F839F0AB6}"/>
    <hyperlink ref="M2672" r:id="rId1029" xr:uid="{0064B867-C7A0-42DB-B05C-827F6A7007BD}"/>
    <hyperlink ref="M2674" r:id="rId1030" xr:uid="{83C69433-A71C-4095-A9CD-8EA2135499C8}"/>
    <hyperlink ref="M2676" r:id="rId1031" xr:uid="{10C88FAD-B97F-446E-B4E1-70F95759FD46}"/>
    <hyperlink ref="M2213" r:id="rId1032" xr:uid="{DBE28527-8E10-4EDB-8257-A7926417F9DD}"/>
    <hyperlink ref="M2247" r:id="rId1033" xr:uid="{ADC87EA0-967E-49B3-8528-2055D9187A8E}"/>
    <hyperlink ref="M2304" r:id="rId1034" xr:uid="{04823E95-58AA-43FB-B105-2B65D5B354EE}"/>
    <hyperlink ref="M2385" r:id="rId1035" xr:uid="{36B8C47A-4F45-46EB-B84B-6D9290EF2E09}"/>
    <hyperlink ref="M2412" r:id="rId1036" xr:uid="{B67D995D-D172-47EB-8AD8-958BB89D23D6}"/>
    <hyperlink ref="M2656" r:id="rId1037" xr:uid="{4E146B5D-95E3-44DB-83BA-93FBF4A7DF8A}"/>
    <hyperlink ref="M2660" r:id="rId1038" xr:uid="{04A5EE0D-5FFA-49A1-BA70-8F3D7EBF52B6}"/>
    <hyperlink ref="M2663" r:id="rId1039" xr:uid="{D4C666A0-7337-4737-9F0C-A2B3D40F1093}"/>
    <hyperlink ref="M2673" r:id="rId1040" xr:uid="{FAC0528D-AD2C-485B-AFE2-68C917954F94}"/>
    <hyperlink ref="M2675" r:id="rId1041" xr:uid="{B760E09C-FAFB-4B60-BDCD-94523EB393EC}"/>
    <hyperlink ref="M812" r:id="rId1042" xr:uid="{EB775DFC-DACA-42F7-BF70-E2748E93A39E}"/>
    <hyperlink ref="M813" r:id="rId1043" xr:uid="{C0FE808F-1354-4A76-A007-A1CD8920B417}"/>
    <hyperlink ref="M814" r:id="rId1044" xr:uid="{E2C16133-6831-49BA-9F4C-CDE43B9E62D6}"/>
    <hyperlink ref="M815" r:id="rId1045" xr:uid="{5BD0DEF3-A349-43A3-AE66-16C4CFC05321}"/>
    <hyperlink ref="M816" r:id="rId1046" xr:uid="{1F7538EC-2ADA-41E9-8BA7-94748DE7FB03}"/>
    <hyperlink ref="M817" r:id="rId1047" xr:uid="{D7289D4F-1B68-45AA-8872-C4BE11A503F3}"/>
    <hyperlink ref="M818" r:id="rId1048" xr:uid="{A5CC06E5-D744-4C0E-A161-2F138C1EB29F}"/>
    <hyperlink ref="M819" r:id="rId1049" xr:uid="{D47AFE4F-8589-4508-85F9-FEBD5CB76BF6}"/>
    <hyperlink ref="M820" r:id="rId1050" xr:uid="{F56CCC27-9945-4006-84D4-14843A1D976E}"/>
    <hyperlink ref="M1768" r:id="rId1051" xr:uid="{A1796292-2971-47AF-A863-D880AB7C0B1A}"/>
    <hyperlink ref="M1769" r:id="rId1052" xr:uid="{E5E5D897-DD48-434D-AF99-07C5900A4836}"/>
    <hyperlink ref="M1770" r:id="rId1053" xr:uid="{67E942FA-F854-4F5F-9D28-F37C4E8F132D}"/>
    <hyperlink ref="N1771" r:id="rId1054" xr:uid="{E7094253-B10A-41C1-8356-35770E37A7A1}"/>
    <hyperlink ref="N1772" r:id="rId1055" xr:uid="{453DE2AB-FBDE-467A-9595-0D27D4F4044A}"/>
    <hyperlink ref="N1773" r:id="rId1056" xr:uid="{F3EFA5A6-36A6-4759-BED0-F14AB14015BF}"/>
    <hyperlink ref="M2520" r:id="rId1057" xr:uid="{F0D3345A-A3DA-40AE-BCEB-41A9F040025E}"/>
    <hyperlink ref="M2521" r:id="rId1058" xr:uid="{DEA1DD46-9AE8-47F9-8D67-BA380508B1A8}"/>
    <hyperlink ref="M2522" r:id="rId1059" xr:uid="{EB06F1B3-D810-4442-B7F3-F837181F1462}"/>
    <hyperlink ref="M2523" r:id="rId1060" xr:uid="{CFACDD00-08BC-4240-BDA9-EE94EE2CD05E}"/>
    <hyperlink ref="M2314" r:id="rId1061" xr:uid="{A1E7953E-8A17-4F0D-8476-0E06471A08B1}"/>
    <hyperlink ref="M2315" r:id="rId1062" xr:uid="{98CFBBD2-C9B6-4963-BBB4-F88FE9F425B6}"/>
    <hyperlink ref="M2316" r:id="rId1063" xr:uid="{900D823C-2A6A-4A46-95BF-1FA008C56207}"/>
    <hyperlink ref="M2317" r:id="rId1064" xr:uid="{8C53485D-76AF-4E55-A9C5-3606D522B414}"/>
    <hyperlink ref="M2318" r:id="rId1065" xr:uid="{E60A38A2-3F7C-4B87-8602-CCB8F0F2B310}"/>
    <hyperlink ref="M586" r:id="rId1066" xr:uid="{6CA52F51-72A5-4584-A52B-82F4E9B41FB9}"/>
    <hyperlink ref="M594" r:id="rId1067" xr:uid="{9B1193F4-9D70-4025-864A-FD4481460AD2}"/>
    <hyperlink ref="M596" r:id="rId1068" xr:uid="{35C6E0B4-E5EB-4922-B5E9-E3D81AD86D30}"/>
    <hyperlink ref="M597" r:id="rId1069" xr:uid="{C7DFC690-7A3F-402E-BC8F-B1342918BB65}"/>
    <hyperlink ref="M598" r:id="rId1070" xr:uid="{E25956F5-E24D-4AC8-8C8D-8A7A672FAD65}"/>
    <hyperlink ref="M453" r:id="rId1071" xr:uid="{0B12A544-DCEB-4A66-A5CE-2C8811EDA30B}"/>
    <hyperlink ref="M452" r:id="rId1072" xr:uid="{4D7C1B0D-BBDA-4ABC-BDA5-D0D9EDE3B3B3}"/>
    <hyperlink ref="M602" r:id="rId1073" xr:uid="{68DE1B58-9A4F-44C2-A78B-5C883B711C7B}"/>
    <hyperlink ref="M603" r:id="rId1074" xr:uid="{47E797DB-D200-435D-A379-6B345B680880}"/>
    <hyperlink ref="M591" r:id="rId1075" xr:uid="{3B80DB1B-0543-4FFD-9886-E22F8B230712}"/>
    <hyperlink ref="M590" r:id="rId1076" xr:uid="{86E2C049-D4CD-4422-AB7A-76ECCD661B31}"/>
    <hyperlink ref="M601" r:id="rId1077" xr:uid="{3695CA98-AF84-473F-AD52-7A5F5687E2E1}"/>
    <hyperlink ref="M587" r:id="rId1078" xr:uid="{D432BE30-3550-46CA-AA23-D1F8B098FB13}"/>
    <hyperlink ref="M588" r:id="rId1079" xr:uid="{F792F97C-70A4-400B-8F2F-572B418F9A58}"/>
    <hyperlink ref="M592" r:id="rId1080" xr:uid="{C0323796-2A04-41A9-BDC6-6780AFB57B44}"/>
    <hyperlink ref="M593" r:id="rId1081" xr:uid="{A8CA25C8-A37A-4C0A-84FA-71CF99A4718D}"/>
    <hyperlink ref="M400" r:id="rId1082" xr:uid="{2022DE95-D81F-47E2-A984-C28B7F36D7C1}"/>
    <hyperlink ref="M401" r:id="rId1083" xr:uid="{AF878C44-8BF9-4FFA-9602-C83DCDA60495}"/>
    <hyperlink ref="M402" r:id="rId1084" xr:uid="{9C250DA1-F2E5-45E2-B58F-4BFB46328892}"/>
    <hyperlink ref="M438" r:id="rId1085" xr:uid="{78A7CD18-78DD-45E6-BE41-A6E5EF4CFBC9}"/>
    <hyperlink ref="M439" r:id="rId1086" xr:uid="{926A6930-6574-4B0E-AD4B-012E494EAEAE}"/>
    <hyperlink ref="M2129" r:id="rId1087" xr:uid="{3FED943A-91E6-4495-9B04-5F3524CD32F8}"/>
    <hyperlink ref="M2130" r:id="rId1088" xr:uid="{76DC3CBE-A8D8-4F12-AD0C-0B0B02D99331}"/>
    <hyperlink ref="M2373" r:id="rId1089" xr:uid="{9D65D31A-F7F1-427B-B478-C997CFECADC4}"/>
    <hyperlink ref="M2374" r:id="rId1090" xr:uid="{CCCF419A-B879-4D5C-BEB6-A60F8A536C31}"/>
    <hyperlink ref="M2378" r:id="rId1091" xr:uid="{0EA933D5-5EC4-4415-9352-C900A3D7215E}"/>
    <hyperlink ref="M640" r:id="rId1092" xr:uid="{FA2C480D-7C80-474E-8294-E2533ADCE901}"/>
    <hyperlink ref="M198" r:id="rId1093" xr:uid="{D65EBCBD-D88D-4739-BABF-A50ED40FCDA8}"/>
    <hyperlink ref="M199" r:id="rId1094" xr:uid="{614BB6D6-ACDE-4282-91ED-566807956FB8}"/>
    <hyperlink ref="M200" r:id="rId1095" xr:uid="{B9A8F150-7896-47EC-B812-000E714E340A}"/>
    <hyperlink ref="M201" r:id="rId1096" xr:uid="{D00E5F8F-899E-46F9-BB15-42CFF0FFDC97}"/>
    <hyperlink ref="M600" r:id="rId1097" xr:uid="{89ED6DED-E422-4AD9-8C8E-8F2213B25B3B}"/>
    <hyperlink ref="M585" r:id="rId1098" xr:uid="{6562B5A5-0E3E-4CD5-A036-EA9792CE6181}"/>
    <hyperlink ref="M599" r:id="rId1099" xr:uid="{9AE1CDD2-363D-4D2E-85EA-DBAFA92D9B76}"/>
    <hyperlink ref="M589" r:id="rId1100" xr:uid="{250FF42C-7913-4EC0-B598-63D09851D534}"/>
    <hyperlink ref="M2379" r:id="rId1101" xr:uid="{B6660C99-E1CC-4A73-9BE2-784119ECFB12}"/>
    <hyperlink ref="M431" r:id="rId1102" xr:uid="{73F0101A-74EE-430F-95F6-0D9B57AB8017}"/>
    <hyperlink ref="M2105" r:id="rId1103" xr:uid="{66224384-C371-4841-9DE1-1017698626F2}"/>
    <hyperlink ref="M2106" r:id="rId1104" xr:uid="{7035B2CC-733A-4F3F-B227-BC05C2F8E5CF}"/>
    <hyperlink ref="M885" r:id="rId1105" xr:uid="{B30D727A-0955-45D2-BF37-2A976D1648D1}"/>
    <hyperlink ref="M2638" r:id="rId1106" xr:uid="{84B5A328-F0A7-4B78-8421-6C899410CE30}"/>
    <hyperlink ref="M1159" r:id="rId1107" xr:uid="{A664F0DC-1DB6-465B-A3D2-C833649D2346}"/>
    <hyperlink ref="M2375" r:id="rId1108" xr:uid="{561E6DB9-E7E5-4A1F-9C94-CA0A8D646750}"/>
    <hyperlink ref="M2376" r:id="rId1109" xr:uid="{7B82E87E-BC31-470A-9C19-21EC616DFDB5}"/>
    <hyperlink ref="M2377" r:id="rId1110" xr:uid="{91D3B375-63BD-494B-A1A6-7C38621FFD3C}"/>
    <hyperlink ref="M2380" r:id="rId1111" xr:uid="{0C944C0F-6162-4C76-B488-3AF86F7CC5BB}"/>
    <hyperlink ref="M635" r:id="rId1112" xr:uid="{354B1B1A-F938-4D4E-9658-EAF8FDE77E47}"/>
    <hyperlink ref="M689" r:id="rId1113" xr:uid="{7922365B-CD52-43EE-BB6A-D1780D279436}"/>
    <hyperlink ref="M641" r:id="rId1114" xr:uid="{33A4A891-B0C9-450D-AEEA-63A73CD314B7}"/>
    <hyperlink ref="M890" r:id="rId1115" xr:uid="{42A10451-33AE-44D0-BFFA-9B2EFDBE7247}"/>
    <hyperlink ref="M638" r:id="rId1116" xr:uid="{AF514DB8-F975-41E1-A841-1F7AEF1E7C43}"/>
    <hyperlink ref="M2115" r:id="rId1117" xr:uid="{7D47DE90-7CB7-4CCD-B320-AD2F9819F3AA}"/>
    <hyperlink ref="M2109" r:id="rId1118" xr:uid="{5E7CE619-DB83-4126-8E44-F0F5A6A3EFD9}"/>
    <hyperlink ref="M2133" r:id="rId1119" xr:uid="{585E29AB-47D5-4D04-ABED-445250038CCC}"/>
    <hyperlink ref="M2132" r:id="rId1120" xr:uid="{222BB46E-E825-49B8-A926-8512313BF531}"/>
    <hyperlink ref="M2131" r:id="rId1121" xr:uid="{AE692F12-EC83-4C51-8757-30F3F354DDD0}"/>
    <hyperlink ref="M467" r:id="rId1122" xr:uid="{75422A14-DAEB-4E14-9EA3-D5811C032A5C}"/>
    <hyperlink ref="M1675" r:id="rId1123" xr:uid="{2D21186D-58B9-4502-BA81-15D7052DB704}"/>
    <hyperlink ref="M1676" r:id="rId1124" xr:uid="{CF8FD17F-DA11-4E7C-A976-90F2B58A422D}"/>
    <hyperlink ref="M1677" r:id="rId1125" xr:uid="{B4146364-51E0-46E7-A394-3B2628BBDC80}"/>
    <hyperlink ref="M202" r:id="rId1126" xr:uid="{4FCAF563-45A1-4B3E-8953-FDBDDD95B534}"/>
    <hyperlink ref="M205" r:id="rId1127" xr:uid="{7E127777-7FC9-411D-A67B-A7D260F0BD61}"/>
    <hyperlink ref="M384" r:id="rId1128" xr:uid="{2CB99DCF-6391-42B1-9BE0-76030C973E3F}"/>
    <hyperlink ref="M925" r:id="rId1129" xr:uid="{C5D8B5E9-3C78-47E9-B543-0951DC12B51D}"/>
    <hyperlink ref="M863" r:id="rId1130" xr:uid="{4183C82C-0325-4BE3-ACC2-EB3E043C3DB2}"/>
    <hyperlink ref="M562" r:id="rId1131" xr:uid="{0F9E1527-A249-4EC8-8283-D887AFC30DE2}"/>
    <hyperlink ref="M651" r:id="rId1132" xr:uid="{97DFDCFB-7DCC-4BB1-9222-8C9FF5E4489C}"/>
    <hyperlink ref="M2301" r:id="rId1133" xr:uid="{DFAC9286-ED12-4197-B3A3-5AB9688B00D7}"/>
    <hyperlink ref="M2381" r:id="rId1134" xr:uid="{A6911018-26EB-4E59-B130-54EC0EB9DD60}"/>
    <hyperlink ref="M831" r:id="rId1135" xr:uid="{4CBAE4AA-D0C7-4D61-8FC1-E0C6FF391D30}"/>
    <hyperlink ref="M832" r:id="rId1136" xr:uid="{52F2DBDD-3E9B-4C6C-99FB-9295796F2892}"/>
    <hyperlink ref="M833" r:id="rId1137" xr:uid="{B9CBF901-79B9-4DC1-8F31-6F05C14EC68A}"/>
    <hyperlink ref="M1681" r:id="rId1138" xr:uid="{61BB319F-996A-462B-8307-014426D7F5FA}"/>
    <hyperlink ref="M1682" r:id="rId1139" xr:uid="{9C673BC1-49A2-4166-B68D-22183837E3CC}"/>
    <hyperlink ref="M2382" r:id="rId1140" xr:uid="{7D297B3E-3577-4FFB-8479-D0DCCF38EA03}"/>
    <hyperlink ref="M235" r:id="rId1141" xr:uid="{B0C4FB52-8474-49E5-B211-7509FBE07EF1}"/>
    <hyperlink ref="M1774" r:id="rId1142" xr:uid="{10E170E0-2C06-4B1D-92EF-3B1A91450CBC}"/>
    <hyperlink ref="M1775" r:id="rId1143" xr:uid="{0E9A5284-408A-4C78-B0CF-52222551A742}"/>
    <hyperlink ref="M1109" r:id="rId1144" xr:uid="{C2865719-1B9F-4FFC-A021-892E997078E3}"/>
    <hyperlink ref="M1110" r:id="rId1145" xr:uid="{7C448463-7881-4060-820C-AF51E418E491}"/>
    <hyperlink ref="M1111" r:id="rId1146" xr:uid="{A2DF90DA-393B-4EFA-AC77-C721CB65A7F1}"/>
    <hyperlink ref="M821" r:id="rId1147" xr:uid="{E36C61AA-73C9-4C4E-901E-CC2D39CE02B9}"/>
    <hyperlink ref="M822" r:id="rId1148" xr:uid="{41EA29BF-2BDD-485F-B34B-8BE397A1EAE0}"/>
    <hyperlink ref="M378" r:id="rId1149" xr:uid="{577FEB0C-0DC6-4F22-98E1-D9C1DAE6E536}"/>
    <hyperlink ref="M1168" r:id="rId1150" xr:uid="{4D2F9C3A-3A5E-4029-BBB2-139CFB80D551}"/>
    <hyperlink ref="M377" r:id="rId1151" xr:uid="{6D12121D-A76B-4E54-876B-2AD7C1F46D97}"/>
    <hyperlink ref="M996" r:id="rId1152" xr:uid="{52748618-010C-40CC-9B58-6435AE724068}"/>
    <hyperlink ref="M834" r:id="rId1153" xr:uid="{BC66EE8B-5B15-4A95-99E5-224E22D0A6DE}"/>
    <hyperlink ref="M1178" r:id="rId1154" xr:uid="{38D207FC-54B5-4C21-9B71-B19858C916A7}"/>
    <hyperlink ref="M1179" r:id="rId1155" xr:uid="{CEE87DE4-0BE8-4626-8A6C-DAF1D4F2C86E}"/>
    <hyperlink ref="M1180" r:id="rId1156" xr:uid="{B24D577C-1DB8-4AEF-8991-1EF792DDD339}"/>
    <hyperlink ref="M770" r:id="rId1157" xr:uid="{B21F029A-EBF6-47EE-A432-53367D847230}"/>
    <hyperlink ref="M948" r:id="rId1158" xr:uid="{FA34FA08-11B2-4816-8DB3-DEC3160B29B2}"/>
    <hyperlink ref="M962" r:id="rId1159" xr:uid="{EC9B6541-9E47-4A14-AD51-52FD847031B9}"/>
    <hyperlink ref="M1161" r:id="rId1160" xr:uid="{375F2F30-A4AE-4076-96EE-76EC2B598B77}"/>
    <hyperlink ref="M1177" r:id="rId1161" xr:uid="{12335B45-EC72-4192-9644-30F9BB2F902F}"/>
    <hyperlink ref="M984" r:id="rId1162" xr:uid="{BE03D2F8-85CE-4D9A-84FB-7BB1C34DFDAE}"/>
    <hyperlink ref="M1073" r:id="rId1163" xr:uid="{10EF4671-1C3F-47A0-82FA-B5C0E735D42F}"/>
    <hyperlink ref="M993" r:id="rId1164" xr:uid="{036B8B36-11FD-4E38-B9C2-71062B6AEA53}"/>
    <hyperlink ref="M1033" r:id="rId1165" xr:uid="{BBABB88D-5362-4A76-8751-348D9D72FA16}"/>
    <hyperlink ref="M1034" r:id="rId1166" xr:uid="{94E25468-C15C-41F6-B925-4957629F68F8}"/>
    <hyperlink ref="M1035" r:id="rId1167" xr:uid="{E19B8D31-155E-4F76-9E04-57A0A258BAD7}"/>
    <hyperlink ref="M1039" r:id="rId1168" xr:uid="{05ACA4A6-4F4A-4FAF-B6D2-77C1ACA81C30}"/>
    <hyperlink ref="M1040" r:id="rId1169" xr:uid="{4E154B66-01A3-43B0-842B-C708772423C9}"/>
    <hyperlink ref="M1041" r:id="rId1170" xr:uid="{5A0D43C7-0A0F-46DC-8312-CF45CA1C6965}"/>
    <hyperlink ref="M1042" r:id="rId1171" xr:uid="{E2A98568-04F9-4BE3-B7F8-E92BCB91B61E}"/>
    <hyperlink ref="M1043" r:id="rId1172" xr:uid="{28E28AE7-EE86-43EE-9998-D69EF4FE02FA}"/>
    <hyperlink ref="M1044" r:id="rId1173" xr:uid="{60A70F5D-D6E7-4B50-976D-B35CE31265B0}"/>
    <hyperlink ref="M1045" r:id="rId1174" xr:uid="{C8B24931-1699-4D20-8DBE-0A5DE3A8402B}"/>
    <hyperlink ref="M1046" r:id="rId1175" xr:uid="{1D59079C-285B-41F9-B313-F403CE28D978}"/>
    <hyperlink ref="M1047" r:id="rId1176" xr:uid="{36AF1860-5876-4D69-8217-E82B6605C40E}"/>
    <hyperlink ref="M1048" r:id="rId1177" xr:uid="{772CD94A-1263-4930-81F5-01404AB735BA}"/>
    <hyperlink ref="M1049" r:id="rId1178" xr:uid="{F1BFBD3B-4DEC-441D-8682-E5F3385116ED}"/>
    <hyperlink ref="M1050" r:id="rId1179" xr:uid="{8629962C-5E37-40E0-A041-8DC1EFF08D51}"/>
    <hyperlink ref="M1051" r:id="rId1180" xr:uid="{D7A66850-6D02-45F9-B0B8-A9F7246B7167}"/>
    <hyperlink ref="M1056" r:id="rId1181" xr:uid="{C59045BD-71F2-4F9C-A449-3B6A48614420}"/>
    <hyperlink ref="M1057" r:id="rId1182" xr:uid="{8B1D14D1-82E5-4DC4-9A3D-1EAA97867FF3}"/>
    <hyperlink ref="M1058" r:id="rId1183" xr:uid="{46DE685A-D905-42A1-85B5-1A2A7380DCBC}"/>
    <hyperlink ref="M1059" r:id="rId1184" xr:uid="{D36052AD-6133-410F-A20B-15453216D960}"/>
    <hyperlink ref="M1060" r:id="rId1185" xr:uid="{675506D6-CB01-4134-A9F4-10B16808F9A3}"/>
    <hyperlink ref="M1162" r:id="rId1186" xr:uid="{04D922A9-053C-4E0D-8821-754AA17724F2}"/>
    <hyperlink ref="M1143" r:id="rId1187" xr:uid="{435F206C-178B-4F8D-9B9F-72D41619E4C2}"/>
    <hyperlink ref="M1164" r:id="rId1188" xr:uid="{52EE11A8-DE1F-4CB0-9220-514788044A5A}"/>
    <hyperlink ref="M1165" r:id="rId1189" xr:uid="{89AAADAD-33A5-4E84-8269-48D41B0C0132}"/>
    <hyperlink ref="M1022" r:id="rId1190" xr:uid="{9C0E032A-F02E-474D-AD89-7374D9F3EE9D}"/>
    <hyperlink ref="M1086" r:id="rId1191" xr:uid="{B97B03E0-B9DF-4E02-9963-193B854989D8}"/>
    <hyperlink ref="M1087" r:id="rId1192" xr:uid="{B1E4AEDA-4A58-4D76-84D2-3B5025B12EA0}"/>
    <hyperlink ref="M1112" r:id="rId1193" xr:uid="{3CD81CBE-4682-469A-9234-B96D3F39BEAE}"/>
    <hyperlink ref="M1166" r:id="rId1194" xr:uid="{3D159932-8B3E-4171-91F8-EC5CC5C88EC1}"/>
    <hyperlink ref="M1169" r:id="rId1195" xr:uid="{BDB305C9-2FC0-474C-A974-1D89E5C30DC5}"/>
    <hyperlink ref="M1170" r:id="rId1196" xr:uid="{BD60B204-2114-4604-A8B7-7C326EFE9B74}"/>
    <hyperlink ref="M1171" r:id="rId1197" xr:uid="{3A3B4109-A617-46D3-9F4F-CE31A2900520}"/>
    <hyperlink ref="M1172" r:id="rId1198" xr:uid="{BFA3C690-63B5-4773-81AD-00B91C585EF3}"/>
    <hyperlink ref="M1173" r:id="rId1199" xr:uid="{154A7F30-1C8E-48DB-807A-16D8D2469A21}"/>
    <hyperlink ref="M1029" r:id="rId1200" xr:uid="{F5441346-8886-4EC0-B57B-B513C777B773}"/>
    <hyperlink ref="M1032" r:id="rId1201" xr:uid="{05C75D8C-A12D-4D20-BE86-4FA749F1F040}"/>
    <hyperlink ref="M1061" r:id="rId1202" xr:uid="{C4927953-B4CC-4EAB-9F39-83387DD332A4}"/>
    <hyperlink ref="M1291" r:id="rId1203" xr:uid="{486EE6BD-F538-4AD4-B0E5-3E02ADDE3B2D}"/>
    <hyperlink ref="M1377" r:id="rId1204" xr:uid="{96201405-E0DF-411C-97AB-3F991478A3E3}"/>
    <hyperlink ref="M1167" r:id="rId1205" xr:uid="{7DE310D9-68DE-41F3-A5D4-C44B344DA7C2}"/>
    <hyperlink ref="M1305" r:id="rId1206" xr:uid="{98A7BBB4-DE1C-4A79-A4EC-5113A1C40CF6}"/>
    <hyperlink ref="M1376" r:id="rId1207" xr:uid="{1EDAF543-AEB5-4139-BB8C-69A4D75A57B7}"/>
    <hyperlink ref="M1479" r:id="rId1208" xr:uid="{5D948BD7-A928-4A4D-A539-24CC2D55E50C}"/>
    <hyperlink ref="M960" r:id="rId1209" xr:uid="{9A9C1D6F-147F-4EEA-83FD-B479E3CD0422}"/>
    <hyperlink ref="M1481" r:id="rId1210" xr:uid="{DDAA3E26-4AD3-49B4-BCB3-BF15F79756E9}"/>
    <hyperlink ref="M1306" r:id="rId1211" xr:uid="{187AAA16-2AD8-4044-86E6-C8BDBAD1E86D}"/>
    <hyperlink ref="M1307" r:id="rId1212" xr:uid="{34B28627-2394-419E-8A34-F82D708C2AC7}"/>
    <hyperlink ref="M1308" r:id="rId1213" xr:uid="{681A41E4-CCC5-496E-A5B1-7A97E56CB926}"/>
    <hyperlink ref="M1309" r:id="rId1214" xr:uid="{2E797AFE-1265-452C-8522-CFC81D85C6AF}"/>
    <hyperlink ref="M1311" r:id="rId1215" xr:uid="{6C792C2E-A0D1-46C9-BE52-76E2E12B1508}"/>
    <hyperlink ref="M1195" r:id="rId1216" xr:uid="{AC969CD6-D93C-4408-87FA-5C9D35A6C4CE}"/>
    <hyperlink ref="M1196" r:id="rId1217" xr:uid="{B4E085C0-6837-4B8F-9FC6-4343EED6AFBD}"/>
    <hyperlink ref="M1304" r:id="rId1218" xr:uid="{79D54802-3604-4998-8492-21BF9637EC95}"/>
    <hyperlink ref="M1302" r:id="rId1219" xr:uid="{916A7358-1550-4875-9A7B-4186684016AB}"/>
    <hyperlink ref="M1303" r:id="rId1220" xr:uid="{F15292F1-EBF9-4A7C-A9AC-EC6615F2C788}"/>
    <hyperlink ref="M1401" r:id="rId1221" xr:uid="{F639BCAD-4447-47B5-9074-8F3C2D9BF33E}"/>
    <hyperlink ref="M1403" r:id="rId1222" xr:uid="{865952DE-78A3-4FBD-9394-D3CE82D8B7AC}"/>
    <hyperlink ref="M1312" r:id="rId1223" xr:uid="{CCBA4A9F-03C0-4F87-9AB2-AB825CE7EBBB}"/>
    <hyperlink ref="M1319" r:id="rId1224" xr:uid="{B4D705C5-72DB-4E43-A2D6-B91ABEBA11BF}"/>
    <hyperlink ref="M1313" r:id="rId1225" xr:uid="{F94FDCE6-03DC-441B-9958-4B612B6E6AF5}"/>
    <hyperlink ref="M1314" r:id="rId1226" xr:uid="{42E4ED88-5BF0-44E3-9019-058A1BC5048B}"/>
    <hyperlink ref="M1315" r:id="rId1227" xr:uid="{E5B6D62F-0DF1-4A57-BEFB-4B641F11022E}"/>
    <hyperlink ref="M1316" r:id="rId1228" xr:uid="{45EB007C-3BC1-4BFC-8F3B-01A87EC00C43}"/>
    <hyperlink ref="M1317" r:id="rId1229" xr:uid="{B561CB94-4C3D-4D3C-9B37-695E18ACA78C}"/>
    <hyperlink ref="M1318" r:id="rId1230" xr:uid="{170D0E32-7138-4C1C-AE14-6705650071B4}"/>
    <hyperlink ref="M1321" r:id="rId1231" xr:uid="{E19785D9-A041-453F-BFFB-A96EB7564650}"/>
    <hyperlink ref="M1404" r:id="rId1232" xr:uid="{918C3EC6-818E-48A9-A361-C3E13B6939AA}"/>
    <hyperlink ref="M1402" r:id="rId1233" xr:uid="{909E6372-DE3F-4645-A094-1AE135A55C38}"/>
    <hyperlink ref="M1334" r:id="rId1234" xr:uid="{0E255980-C595-40F0-9281-5C7A15D78C13}"/>
    <hyperlink ref="M1489" r:id="rId1235" xr:uid="{123A3E4F-4E24-4EF0-90E6-EF196A7E8E66}"/>
    <hyperlink ref="M1491" r:id="rId1236" xr:uid="{6F8ABC5A-042C-4ECE-B6CE-BF4A0A05065D}"/>
    <hyperlink ref="M1322" r:id="rId1237" xr:uid="{E6870336-6BB2-4322-A47F-1A6BB9A60AFB}"/>
    <hyperlink ref="M1496" r:id="rId1238" xr:uid="{482A8246-FD6A-4607-B5E0-4129DA3BA8AB}"/>
    <hyperlink ref="M1323" r:id="rId1239" xr:uid="{A2F513A5-7FA5-479D-A8BD-0EDC2DB4CD47}"/>
    <hyperlink ref="M1324" r:id="rId1240" xr:uid="{9A340EB1-CABC-4A97-B662-0DAE67522618}"/>
    <hyperlink ref="M1325" r:id="rId1241" xr:uid="{B3695E4C-8015-4218-AE45-C5ADECD645D5}"/>
    <hyperlink ref="M1326" r:id="rId1242" xr:uid="{0AFAE845-98A3-460D-95C4-9EA2F9CB7BBD}"/>
    <hyperlink ref="M1327" r:id="rId1243" xr:uid="{D72B6F07-1459-4BFF-B357-10EDF1333D81}"/>
    <hyperlink ref="M1328" r:id="rId1244" xr:uid="{AE322CBF-1DC6-40D2-A441-DC47BC59712E}"/>
    <hyperlink ref="M1329" r:id="rId1245" xr:uid="{6C39DCA7-400C-4219-90BA-27D7743D2CD3}"/>
    <hyperlink ref="M1330" r:id="rId1246" xr:uid="{42B195E1-9AD2-4D76-8C43-250D1283167F}"/>
    <hyperlink ref="M1332" r:id="rId1247" xr:uid="{8975AB0D-C181-4F25-BEF4-567AB7395EB7}"/>
    <hyperlink ref="M1333" r:id="rId1248" xr:uid="{758A52FC-F750-4372-AAAC-760298F332FD}"/>
    <hyperlink ref="M1335" r:id="rId1249" xr:uid="{E9BD4E86-704A-4AC8-A6D0-33E7C4EAD7D3}"/>
    <hyperlink ref="M1336" r:id="rId1250" xr:uid="{45150325-0D97-4EC0-9BF3-6331DEE6D442}"/>
    <hyperlink ref="M1504" r:id="rId1251" xr:uid="{2CC28E0C-AEE6-4C50-88A3-D810A671E5E2}"/>
    <hyperlink ref="M1370" r:id="rId1252" xr:uid="{D6C6CFB5-28B3-47AD-AFE5-D5791FC96CE0}"/>
    <hyperlink ref="M1371" r:id="rId1253" xr:uid="{FA15D4E3-B138-484F-B1FB-4B0F1D28DCDE}"/>
    <hyperlink ref="M1372" r:id="rId1254" xr:uid="{EC96FCDC-C4BA-4BAD-B00B-9D85330C5A86}"/>
    <hyperlink ref="M1331" r:id="rId1255" xr:uid="{3F8BEAB2-4501-4A9F-A301-AD64250F368A}"/>
    <hyperlink ref="M1508" r:id="rId1256" xr:uid="{2E9648A2-D9FF-47E3-A453-60AA155605F6}"/>
    <hyperlink ref="M1509" r:id="rId1257" xr:uid="{259C0D05-036A-4EB6-B59E-945933B4F7ED}"/>
    <hyperlink ref="M1337" r:id="rId1258" xr:uid="{3D6EB728-47B4-4E42-94DE-E6807001F147}"/>
    <hyperlink ref="M1366" r:id="rId1259" xr:uid="{E1E837AE-AD7D-42B8-8944-9EA1E36C552A}"/>
    <hyperlink ref="M1367" r:id="rId1260" xr:uid="{8F0FC752-DE52-4FAA-8A87-7406B99A3124}"/>
    <hyperlink ref="M1368" r:id="rId1261" xr:uid="{61E76198-5BF3-4391-96CB-8D94E9D369A8}"/>
    <hyperlink ref="M1369" r:id="rId1262" xr:uid="{1A9CCFA3-9BDC-40D3-AF45-440E06FA635A}"/>
    <hyperlink ref="M1341" r:id="rId1263" xr:uid="{11982575-C8D6-4212-8CE1-18E2FB396AC7}"/>
    <hyperlink ref="M1342" r:id="rId1264" xr:uid="{F9E86AD7-879E-4B1B-A2A4-5EFEB2F42615}"/>
    <hyperlink ref="M1343" r:id="rId1265" xr:uid="{871412BF-6110-4F34-8DA5-E782513F93FA}"/>
    <hyperlink ref="M1344" r:id="rId1266" xr:uid="{F370608D-D654-4E16-8351-4CA61C5113C8}"/>
    <hyperlink ref="M1345" r:id="rId1267" xr:uid="{9D613DE9-61D3-4FCB-BEF1-B8169FFB0DE9}"/>
    <hyperlink ref="M1338" r:id="rId1268" xr:uid="{4677E071-E2E7-4483-8477-A5AEC96FAD50}"/>
    <hyperlink ref="M1339" r:id="rId1269" xr:uid="{FD939735-8994-4336-86E7-987FA1542653}"/>
    <hyperlink ref="M1340" r:id="rId1270" xr:uid="{BDC1DA7D-6D1A-4C10-9A73-0D7A3398AD9A}"/>
    <hyperlink ref="M1374" r:id="rId1271" xr:uid="{7156D536-1C4D-4669-8207-064D1BD56535}"/>
    <hyperlink ref="M1375" r:id="rId1272" xr:uid="{EA79ECE7-C79F-4173-A1CC-DF82071899C0}"/>
    <hyperlink ref="M1391" r:id="rId1273" xr:uid="{9C4C14B6-08D0-4135-AB57-B4B65FBC0A96}"/>
    <hyperlink ref="M1390" r:id="rId1274" xr:uid="{EF99DFE2-17FE-433A-9A76-80FC4C7DF9F1}"/>
    <hyperlink ref="M1425" r:id="rId1275" xr:uid="{7ABF86CC-4AA0-49BE-A7A0-CB88274E2369}"/>
    <hyperlink ref="M1447" r:id="rId1276" xr:uid="{292ED1E4-96B1-43F4-A849-801E9E963842}"/>
    <hyperlink ref="M1448" r:id="rId1277" xr:uid="{941ACDA5-5936-4C2E-B63E-BD5318B746C1}"/>
    <hyperlink ref="M1449" r:id="rId1278" xr:uid="{4D72C290-6307-46B9-ADF1-57B45054583B}"/>
    <hyperlink ref="M1450" r:id="rId1279" xr:uid="{6251F177-C046-4E53-A3BE-394FC9F5996A}"/>
    <hyperlink ref="M1451" r:id="rId1280" xr:uid="{9FD55AA5-8A30-46B9-8174-73A45123E57B}"/>
    <hyperlink ref="M1409" r:id="rId1281" xr:uid="{C4F3C3C8-409A-4488-8F9F-53FF1DAF200F}"/>
    <hyperlink ref="M1412" r:id="rId1282" xr:uid="{B0746302-3DBE-4173-B44B-2ED45BAF5912}"/>
    <hyperlink ref="M1413" r:id="rId1283" xr:uid="{61696784-C6C9-40F6-8BBB-A77099A6E1F0}"/>
    <hyperlink ref="M1452" r:id="rId1284" xr:uid="{F87A541A-CE53-4009-86FA-E26A59632F6B}"/>
    <hyperlink ref="M1454" r:id="rId1285" xr:uid="{497F6294-01A2-4EA2-B9BA-03E67E17FE6D}"/>
    <hyperlink ref="M1421" r:id="rId1286" xr:uid="{2C296CF7-AC79-4D07-9D7B-2B499142A607}"/>
    <hyperlink ref="M1422" r:id="rId1287" xr:uid="{59D8FCC6-4E77-4533-BAA4-A52B44C12CE1}"/>
    <hyperlink ref="M1423" r:id="rId1288" xr:uid="{D016C071-D320-4C4D-ABCD-6C9E0A08621B}"/>
    <hyperlink ref="M1455" r:id="rId1289" xr:uid="{AD3B3B62-4A5C-4F10-8A19-C86D0DB39FF8}"/>
    <hyperlink ref="M1456" r:id="rId1290" xr:uid="{B2B2C8C5-93C5-410B-B889-BE483DEA0CD9}"/>
    <hyperlink ref="M1457" r:id="rId1291" xr:uid="{A7FB9F6D-E839-4B42-9436-CCB7C7D332E5}"/>
    <hyperlink ref="M1458" r:id="rId1292" xr:uid="{F010306C-5FEB-4F40-8367-418A5783211A}"/>
    <hyperlink ref="M1373" r:id="rId1293" xr:uid="{26EC0FF0-C697-4700-855E-C3C5963A04AF}"/>
    <hyperlink ref="M971" r:id="rId1294" xr:uid="{FB2749BC-2C6B-42AA-B57D-F11EE22A73C7}"/>
    <hyperlink ref="M1599" r:id="rId1295" xr:uid="{31D18D78-CD5F-4CE0-814C-92587470F6D0}"/>
    <hyperlink ref="M1603" r:id="rId1296" xr:uid="{59D8DB51-2BFA-49CC-9551-7E7369E1F360}"/>
    <hyperlink ref="M1604" r:id="rId1297" xr:uid="{BB5B1008-A5B4-421C-929C-B77D63605365}"/>
    <hyperlink ref="M1605" r:id="rId1298" xr:uid="{C960E6DD-597F-449D-BC0B-44B1422AA3D9}"/>
    <hyperlink ref="M1606" r:id="rId1299" xr:uid="{7FF75522-7750-4451-B591-8A4B0D85E669}"/>
    <hyperlink ref="M1607" r:id="rId1300" xr:uid="{9CF71612-4686-4D83-AD4C-855FF972DC16}"/>
    <hyperlink ref="M605" r:id="rId1301" xr:uid="{FA08CA36-D4B6-4472-980F-E3BD49582E8B}"/>
    <hyperlink ref="M209" r:id="rId1302" xr:uid="{3BCA5884-86E4-492C-88B7-EFB45DA27847}"/>
    <hyperlink ref="M234" r:id="rId1303" xr:uid="{2F0A9EFD-B137-46B9-BB34-B50500440CBA}"/>
    <hyperlink ref="M210" r:id="rId1304" xr:uid="{44AA28C2-5F19-4DAF-AEEB-713FC4ED28C1}"/>
    <hyperlink ref="M1691" r:id="rId1305" display="https://drive.google.com/file/d/1EP2a7glGzWSiZ1dDBzm0XDG0ky_UhHkv/view?usp=drive_link" xr:uid="{4EFD44FA-ADEA-414D-979B-ABD83357489F}"/>
    <hyperlink ref="M1688" r:id="rId1306" display="https://drive.google.com/file/d/1EEljUineRkhXZCdqPnK3fTIsQyDmg8Dp/view?usp=drive_link" xr:uid="{43A45467-7090-4151-A60C-E616EC9361BD}"/>
    <hyperlink ref="M1690" r:id="rId1307" xr:uid="{4E418496-8058-4C20-96DB-337094614B17}"/>
    <hyperlink ref="M1689" r:id="rId1308" xr:uid="{F8AC90F0-6A45-4EE2-B1FF-A7DDBE5F56EF}"/>
    <hyperlink ref="M1687" r:id="rId1309" xr:uid="{7279AF0B-3F17-4FE1-9DCE-0C002A2267F3}"/>
    <hyperlink ref="M1686" r:id="rId1310" xr:uid="{A59FDC9C-E6CB-4253-9B4B-520779C74086}"/>
    <hyperlink ref="M1735" r:id="rId1311" xr:uid="{1EE79171-272C-4A12-AC00-76E89E980F69}"/>
    <hyperlink ref="M1736" r:id="rId1312" xr:uid="{56C5C9F6-E7A9-435F-BC11-F8EEF06430C9}"/>
    <hyperlink ref="M1695" r:id="rId1313" xr:uid="{1BCB3D3C-932B-4D90-BC73-3212627945B4}"/>
    <hyperlink ref="M1696" r:id="rId1314" xr:uid="{C0AE280E-1E12-45AD-9DCB-3B775207CD21}"/>
    <hyperlink ref="M1699" r:id="rId1315" xr:uid="{6281FA85-8562-4857-951F-5AE4895D67E2}"/>
    <hyperlink ref="M1702" r:id="rId1316" xr:uid="{8C65BDD9-1898-4F66-A3D9-F2D814938825}"/>
    <hyperlink ref="M1703" r:id="rId1317" xr:uid="{E96BF154-4A3D-4B7C-88A0-767D5F30F991}"/>
    <hyperlink ref="M1704" r:id="rId1318" xr:uid="{C2B7129C-5708-4F8B-BD79-ECE58AEECA35}"/>
    <hyperlink ref="M1705" r:id="rId1319" xr:uid="{1BD40C43-4D50-4563-94B6-635E8511331A}"/>
    <hyperlink ref="M1706" r:id="rId1320" xr:uid="{DBDDE67E-143E-48DA-A839-9845A9D3A5E7}"/>
    <hyperlink ref="M1707" r:id="rId1321" xr:uid="{0481652B-7BA2-422A-AD43-CB4595AB6708}"/>
    <hyperlink ref="M1708" r:id="rId1322" xr:uid="{B12789E9-EDA2-41CF-BC8F-4284741570DA}"/>
    <hyperlink ref="M1712" r:id="rId1323" xr:uid="{9391467E-D5B1-472B-BDD0-EACCDB623AFB}"/>
    <hyperlink ref="M1692" r:id="rId1324" xr:uid="{58EB95C9-048D-4FFD-99BC-017A85483B36}"/>
    <hyperlink ref="M1694" r:id="rId1325" xr:uid="{2EC49F2D-B906-4020-ABCB-8A32B569C2E1}"/>
    <hyperlink ref="M1698" r:id="rId1326" xr:uid="{E0B7D571-52AF-4915-9227-4E0956C4EF2C}"/>
    <hyperlink ref="M1700" r:id="rId1327" xr:uid="{430C2AA9-6944-4F1E-9550-5B80163CAFF2}"/>
    <hyperlink ref="M1711" r:id="rId1328" xr:uid="{D2783997-A53A-47C6-982C-4C4D6F632508}"/>
    <hyperlink ref="M750" r:id="rId1329" xr:uid="{A84D141B-0DB1-4326-99A6-9834640B6EDD}"/>
    <hyperlink ref="M612" r:id="rId1330" xr:uid="{852D7FD4-F233-47A9-A646-D07815D5814D}"/>
    <hyperlink ref="M611" r:id="rId1331" xr:uid="{F7620D12-AC1A-4CA4-B725-235FED356A0F}"/>
    <hyperlink ref="M613" r:id="rId1332" xr:uid="{AB23EED9-1712-4E50-8FE7-F1F0BA87E4C3}"/>
    <hyperlink ref="M1862" r:id="rId1333" xr:uid="{8F92C538-30C5-4104-8EBA-D06323194A3A}"/>
    <hyperlink ref="M1160" r:id="rId1334" xr:uid="{D7C25465-B846-489B-9AFF-59A38F81D2B0}"/>
    <hyperlink ref="M610" r:id="rId1335" xr:uid="{2499D526-CABC-421C-ACB7-D847088D1407}"/>
    <hyperlink ref="M1532" r:id="rId1336" xr:uid="{E7BAF921-23BF-4B55-B47C-89E516E20267}"/>
    <hyperlink ref="M1535" r:id="rId1337" xr:uid="{21E0EAFE-BB13-4765-A20B-9B1D60CA247C}"/>
    <hyperlink ref="M1538" r:id="rId1338" xr:uid="{9FCEFB3B-6E57-4740-B9E9-56BB4AFE4292}"/>
    <hyperlink ref="M1539" r:id="rId1339" xr:uid="{A460BD8C-BF50-47F9-8DD7-94637C980EDD}"/>
    <hyperlink ref="M49" r:id="rId1340" xr:uid="{132C911E-6D16-4779-84F3-6C3DCECE3008}"/>
    <hyperlink ref="M50" r:id="rId1341" xr:uid="{E8188061-15BE-4359-92EC-8B6425B3455A}"/>
    <hyperlink ref="M51" r:id="rId1342" xr:uid="{231F3510-9B19-4975-8726-E15B93DF940B}"/>
    <hyperlink ref="M427" r:id="rId1343" xr:uid="{2AD0A518-E930-4A68-90D3-45CD40A6AAC3}"/>
    <hyperlink ref="M484" r:id="rId1344" xr:uid="{384B53E9-305C-4B96-AC84-E5DF4E2429AB}"/>
    <hyperlink ref="M899" r:id="rId1345" xr:uid="{024490FA-65FF-46A9-A721-34E758B24FA3}"/>
    <hyperlink ref="M1534" r:id="rId1346" xr:uid="{948A32DA-45C0-4AA7-9C31-18213D358B2D}"/>
    <hyperlink ref="M619" r:id="rId1347" xr:uid="{FAAFF82C-84D3-4238-A819-3359531AFA23}"/>
    <hyperlink ref="M617" r:id="rId1348" xr:uid="{E7570ACE-F18F-4DC2-A617-8AC83C9799A5}"/>
    <hyperlink ref="M618" r:id="rId1349" xr:uid="{2676D4CA-5C5B-4343-806F-F5D193ECF924}"/>
    <hyperlink ref="M620" r:id="rId1350" xr:uid="{2809E4E3-D2B6-4ADB-8350-5152D674B06E}"/>
    <hyperlink ref="M1540" r:id="rId1351" xr:uid="{18CB02E0-C830-43AB-9DAC-763C8E284D4A}"/>
    <hyperlink ref="M1541" r:id="rId1352" xr:uid="{3D1BDE00-57DE-487F-A8D5-8F90CE4E3680}"/>
    <hyperlink ref="M1542" r:id="rId1353" xr:uid="{42A8D412-8A88-434C-BC1F-6624055A575A}"/>
    <hyperlink ref="M1410" r:id="rId1354" xr:uid="{A7C79B3E-93DC-4028-9E60-9518875699D7}"/>
    <hyperlink ref="M304" r:id="rId1355" xr:uid="{C9288ED8-F5CD-4B42-9313-7AE4E79A8603}"/>
    <hyperlink ref="M1561" r:id="rId1356" xr:uid="{1852CA8C-3E4A-4A08-897F-90E82EE67AAD}"/>
    <hyperlink ref="M1562" r:id="rId1357" xr:uid="{F2DA6759-792F-4F85-9F6A-BD0241B3313F}"/>
    <hyperlink ref="M1563" r:id="rId1358" xr:uid="{1C22231B-4EC8-471C-B412-D15C65F74D7F}"/>
    <hyperlink ref="M1564" r:id="rId1359" xr:uid="{02C5FE56-2555-4669-91C9-88EF4DE7D753}"/>
    <hyperlink ref="M1565" r:id="rId1360" xr:uid="{86AEC54E-C56F-4C2B-BA89-06EDB2DEE41E}"/>
    <hyperlink ref="M1566" r:id="rId1361" xr:uid="{24014A97-DAB9-4163-A1EC-7301FE366203}"/>
    <hyperlink ref="M1434" r:id="rId1362" xr:uid="{AFF6C1D1-ABAA-4DF7-AEC1-5CBB272D5667}"/>
    <hyperlink ref="M1435" r:id="rId1363" xr:uid="{341129FD-53D3-4D6F-9AE4-578434ED70FD}"/>
    <hyperlink ref="M1436" r:id="rId1364" xr:uid="{9F63270F-217C-4CAD-B917-BE5D6563CE9B}"/>
    <hyperlink ref="M1437" r:id="rId1365" xr:uid="{C6EE9470-04D1-425C-8AAF-703F0FDC5945}"/>
    <hyperlink ref="M1524" r:id="rId1366" xr:uid="{C8CB1F39-B6AE-40AA-905E-2506BF7D5C67}"/>
    <hyperlink ref="M1523" r:id="rId1367" xr:uid="{05FE455A-694E-4CB5-B538-7B096F6FE298}"/>
    <hyperlink ref="M1552" r:id="rId1368" xr:uid="{31231F0D-95B6-46C8-9101-3E1F807F60A4}"/>
    <hyperlink ref="M1473" r:id="rId1369" xr:uid="{21427ED2-1793-45B7-828E-16CE191ADB0C}"/>
    <hyperlink ref="M567" r:id="rId1370" xr:uid="{115BB070-5C77-4EB2-9907-389BFFE67F39}"/>
    <hyperlink ref="M2245" r:id="rId1371" xr:uid="{FB387440-817C-4B63-B2B5-6BBA9ECDA848}"/>
    <hyperlink ref="M155" r:id="rId1372" xr:uid="{53626827-C92A-415E-9EFE-A3FA3DB6CF9B}"/>
    <hyperlink ref="M1569" r:id="rId1373" xr:uid="{C8D8601B-7335-45C2-A241-B111E1ACF6AA}"/>
    <hyperlink ref="M762" r:id="rId1374" xr:uid="{DA1EB9B4-6C9F-412D-8392-E7FD3B933FF1}"/>
    <hyperlink ref="M146" r:id="rId1375" xr:uid="{0DC8FD65-9310-408C-8C16-D01E831BEA7B}"/>
    <hyperlink ref="M903" r:id="rId1376" xr:uid="{169AAF55-DACE-4FD6-9119-255C6709EFD6}"/>
    <hyperlink ref="M862" r:id="rId1377" xr:uid="{51B7B862-18FF-4BF3-950C-6BBABB91E9A0}"/>
    <hyperlink ref="M2184" r:id="rId1378" xr:uid="{F763CC54-484D-4FDA-A616-96641D5F8466}"/>
    <hyperlink ref="M2201" r:id="rId1379" xr:uid="{B482CAD8-8FCF-4CFB-9C07-855F261FF8F5}"/>
    <hyperlink ref="M1503" r:id="rId1380" xr:uid="{265084D0-66A4-46A1-8AAC-EF586B0772B1}"/>
    <hyperlink ref="M1211" r:id="rId1381" xr:uid="{E12F51F2-6A71-42B2-B04F-C7CB350D462B}"/>
    <hyperlink ref="M2267" r:id="rId1382" xr:uid="{7685EE5A-1E5A-46F8-9E63-CE0A8DDA1F8C}"/>
    <hyperlink ref="M771" r:id="rId1383" xr:uid="{08007B76-ACF5-44FC-8C6D-B6A6CB7ACDCB}"/>
    <hyperlink ref="M773" r:id="rId1384" xr:uid="{F497FB5A-98EB-45D8-BFE5-24753FD959EB}"/>
    <hyperlink ref="M774" r:id="rId1385" xr:uid="{33F26CFC-4B64-4EAC-ABD8-CE672AC17AE0}"/>
    <hyperlink ref="M780" r:id="rId1386" xr:uid="{1A725AED-CBB8-4937-9A4E-F34BBD272498}"/>
    <hyperlink ref="M747" r:id="rId1387" xr:uid="{02A91E57-F29D-495C-8DC2-FA5EBDE8190B}"/>
    <hyperlink ref="M961" r:id="rId1388" xr:uid="{08C086D3-CAE8-4305-84E8-812BCDBC1EE9}"/>
    <hyperlink ref="M748" r:id="rId1389" xr:uid="{5A9DDC50-BB90-49B6-8F96-C6493CE5C3E6}"/>
    <hyperlink ref="M379" r:id="rId1390" xr:uid="{63A8E404-0F5C-4779-B515-28E8F638768B}"/>
    <hyperlink ref="M381" r:id="rId1391" xr:uid="{0FF6E521-D8CB-4FEB-AAFE-C381EC5A7D51}"/>
    <hyperlink ref="M382" r:id="rId1392" xr:uid="{23CBC895-F6AC-48B7-B000-B978F0B26927}"/>
    <hyperlink ref="M609" r:id="rId1393" xr:uid="{7D7BDDC4-9A0D-4299-8EFC-543D3FEA44FC}"/>
    <hyperlink ref="M1220" r:id="rId1394" xr:uid="{293236F2-09B8-4538-B6E5-65AB346ACCC1}"/>
    <hyperlink ref="M1224" r:id="rId1395" xr:uid="{85108175-26B3-44AC-986D-BC83D2C6FEA0}"/>
    <hyperlink ref="M1268" r:id="rId1396" xr:uid="{4330549F-3D72-41E5-BBD8-04BC40C5DF2A}"/>
    <hyperlink ref="M1257" r:id="rId1397" xr:uid="{D7A1A546-DCEF-4357-A8BE-DEB9CB37FBD1}"/>
    <hyperlink ref="M1879" r:id="rId1398" xr:uid="{9B6E3BB1-9342-4A27-83DC-2279F650A648}"/>
    <hyperlink ref="M255" r:id="rId1399" xr:uid="{33B12FB4-75FA-46F6-A858-0236F689E342}"/>
    <hyperlink ref="M1236" r:id="rId1400" xr:uid="{7AA7B3F3-F022-4C48-ACB7-15094D2C5EDA}"/>
    <hyperlink ref="M1237" r:id="rId1401" xr:uid="{82066408-431A-48FB-87BF-6F40B190C4E9}"/>
    <hyperlink ref="M1238" r:id="rId1402" xr:uid="{9E2FEB58-4DDC-4AEF-97AF-DB08E581642C}"/>
    <hyperlink ref="M1239" r:id="rId1403" xr:uid="{04B94FC3-8516-4894-BB68-C4E4403B95B8}"/>
    <hyperlink ref="M1281" r:id="rId1404" xr:uid="{84DD87FE-BD9B-4F21-8FB6-6252C7EDB906}"/>
    <hyperlink ref="M1242" r:id="rId1405" xr:uid="{5B8596E9-AA4C-44B8-96C2-26E5632206FC}"/>
    <hyperlink ref="M412" r:id="rId1406" xr:uid="{0553C6E3-3978-4DE2-8784-AA2F12EA08A4}"/>
    <hyperlink ref="M2249" r:id="rId1407" xr:uid="{18D0C338-92FB-4E8E-AE8E-E58A76835853}"/>
    <hyperlink ref="N2429" r:id="rId1408" xr:uid="{71B40F3A-E18E-453F-8A6B-9C384B19C5C4}"/>
    <hyperlink ref="M2438" r:id="rId1409" xr:uid="{35150652-532F-4E06-99EC-B967A7B9EFC1}"/>
    <hyperlink ref="M2439" r:id="rId1410" xr:uid="{E3C316C4-5705-4D84-BC2D-0809E5227DB5}"/>
    <hyperlink ref="M2440" r:id="rId1411" xr:uid="{C56A9A1C-B9C4-496C-8378-F94F0F1ED261}"/>
    <hyperlink ref="M409" r:id="rId1412" xr:uid="{52F15B8E-F4C6-428B-B9E9-97CB225B88D8}"/>
    <hyperlink ref="M2461" r:id="rId1413" xr:uid="{750CCA8A-B0B1-43A2-9892-C31A6316F68C}"/>
    <hyperlink ref="M900" r:id="rId1414" xr:uid="{BD0439BD-7198-4BF6-B287-8FFF89BA22BF}"/>
    <hyperlink ref="M901" r:id="rId1415" xr:uid="{369A0F72-3FE5-4102-AFCE-E25524F6E17D}"/>
    <hyperlink ref="M902" r:id="rId1416" xr:uid="{A0776925-B876-4220-A175-F0AC1BFB5E41}"/>
    <hyperlink ref="M2037" r:id="rId1417" xr:uid="{E8392A26-1560-44BB-AB67-A2268C5DADB0}"/>
    <hyperlink ref="M2047" r:id="rId1418" xr:uid="{8635AF66-944B-4726-BDA8-415FD0F1BBAA}"/>
    <hyperlink ref="M2043" r:id="rId1419" xr:uid="{50E3DA73-2764-4B4C-B2FE-8866525CA28F}"/>
    <hyperlink ref="M2429" r:id="rId1420" xr:uid="{82699B69-6EA8-4B54-AB83-D7106A104798}"/>
    <hyperlink ref="M846" r:id="rId1421" xr:uid="{EDD3EB7F-37E9-4C54-9C12-9644D3AE0A26}"/>
    <hyperlink ref="M2036" r:id="rId1422" xr:uid="{8C35B2D2-02B5-4326-A6C6-339E864014E6}"/>
    <hyperlink ref="M2048" r:id="rId1423" xr:uid="{E1A94442-6BD4-4D8D-8F36-01FEEEEC688C}"/>
    <hyperlink ref="M2025" r:id="rId1424" xr:uid="{E5BDD71C-7335-4B87-9DFD-952C3F65D23B}"/>
    <hyperlink ref="M2026" r:id="rId1425" xr:uid="{2D3044F1-6C8B-4E16-8FF8-1AF36EE69574}"/>
    <hyperlink ref="M2027" r:id="rId1426" xr:uid="{8EE43CCC-B535-48C0-A7A3-8F0D84611630}"/>
    <hyperlink ref="M2028" r:id="rId1427" xr:uid="{9A664EF9-F99A-4438-B507-2F1D4D9CD153}"/>
    <hyperlink ref="M2029" r:id="rId1428" xr:uid="{E9B039C8-889A-4D2E-821E-9BF998BE2039}"/>
    <hyperlink ref="M2031" r:id="rId1429" xr:uid="{F5AF7FC6-0A89-486C-A196-55ECD1351F8D}"/>
    <hyperlink ref="M2033" r:id="rId1430" xr:uid="{FE6BF6FA-CE10-48F0-8077-546C4C8104DC}"/>
    <hyperlink ref="M2035" r:id="rId1431" xr:uid="{8F43CF03-DE23-451D-B745-59855E3B63CD}"/>
    <hyperlink ref="M2039" r:id="rId1432" xr:uid="{E3F5833F-25F8-4E5A-BA56-3EDCF2B4619D}"/>
    <hyperlink ref="M2045" r:id="rId1433" xr:uid="{8D4F37C9-64C6-46CA-BEA8-68C4D3A10849}"/>
    <hyperlink ref="M2065" r:id="rId1434" xr:uid="{B830DE13-2093-412B-BEFC-DEC323D139E5}"/>
    <hyperlink ref="M2066" r:id="rId1435" xr:uid="{DF9F81D8-1E1C-4FDC-B13F-D894D09B0F4C}"/>
    <hyperlink ref="M2073" r:id="rId1436" xr:uid="{EF67FFF3-1A38-46F3-A1DD-37E045C65FE2}"/>
    <hyperlink ref="M2074" r:id="rId1437" xr:uid="{F35662B6-E11D-4ED1-A461-E5D81487756E}"/>
    <hyperlink ref="M2075" r:id="rId1438" xr:uid="{C86E7995-694A-4F6F-87CA-CE4D2B33738A}"/>
    <hyperlink ref="M2076" r:id="rId1439" xr:uid="{1EC05D3C-60DA-4ADB-ABA3-AE4B721E3990}"/>
    <hyperlink ref="M2030" r:id="rId1440" xr:uid="{B11BAD94-677A-4BD3-B7FA-5CC54F96342B}"/>
    <hyperlink ref="M2032" r:id="rId1441" xr:uid="{A6C30F6C-CFDA-4DAE-8902-F436D9702004}"/>
    <hyperlink ref="M2034" r:id="rId1442" xr:uid="{4E8E5D55-C2F6-43A5-85F7-EF5C9D58ECB1}"/>
    <hyperlink ref="M2038" r:id="rId1443" xr:uid="{5392EFE9-A179-423E-8155-7C914DA00A39}"/>
    <hyperlink ref="M2040" r:id="rId1444" xr:uid="{3563534D-2949-4057-813A-0B1600E025B4}"/>
    <hyperlink ref="M2044" r:id="rId1445" xr:uid="{A8388F80-07E6-41AF-9AE9-AAE49336287C}"/>
    <hyperlink ref="M2046" r:id="rId1446" xr:uid="{A37B9566-AF5C-4065-9AD7-35AD1EA74546}"/>
    <hyperlink ref="M1683" r:id="rId1447" xr:uid="{43CE6BA4-0E48-46ED-B62D-7DC18A5985BD}"/>
    <hyperlink ref="M1693" r:id="rId1448" xr:uid="{360228B1-AFB7-4C70-84B2-D38FA415C9AD}"/>
    <hyperlink ref="M1697" r:id="rId1449" xr:uid="{F4660080-13B4-44D5-8623-36D9B6748F39}"/>
    <hyperlink ref="M1701" r:id="rId1450" xr:uid="{C613CD36-5899-453D-AFE2-80A914E657BD}"/>
    <hyperlink ref="M1709" r:id="rId1451" xr:uid="{CD649D20-9B79-4F0F-ADD7-543A70727A96}"/>
    <hyperlink ref="M1710" r:id="rId1452" xr:uid="{7477FCEA-4848-4782-A75E-FF301F71CCA7}"/>
    <hyperlink ref="M2226" r:id="rId1453" xr:uid="{5DA912FF-AE4A-4642-84C8-9FE66D07EB28}"/>
    <hyperlink ref="M2287" r:id="rId1454" xr:uid="{A3BCFA56-8B70-42E5-B66F-EDDC48AD4982}"/>
    <hyperlink ref="M2335" r:id="rId1455" xr:uid="{FDEAC2C4-4653-4490-9290-DAF7DF83868F}"/>
    <hyperlink ref="M2246" r:id="rId1456" xr:uid="{BB801D30-AC41-4448-B50E-065E00A73FCC}"/>
    <hyperlink ref="M2283" r:id="rId1457" xr:uid="{D347F59A-BF4D-4319-9AA4-8E1A03A38A8E}"/>
    <hyperlink ref="M912" r:id="rId1458" xr:uid="{5B219413-A4AC-4325-A8AB-A197C7FFB720}"/>
    <hyperlink ref="M2269" r:id="rId1459" xr:uid="{1B661123-666C-4C24-98E7-66F778E81DEA}"/>
    <hyperlink ref="M2488" r:id="rId1460" xr:uid="{239EC59A-5173-4A3E-8C41-763289E3BDFF}"/>
    <hyperlink ref="M1842" r:id="rId1461" xr:uid="{741D902D-DC15-4E63-A2BF-CCEA99CBD441}"/>
    <hyperlink ref="M665" r:id="rId1462" xr:uid="{A2916578-A786-48FF-B2F8-091E64799D00}"/>
    <hyperlink ref="M828" r:id="rId1463" xr:uid="{FC87E759-99FA-43AA-A5F6-B3962E92C3C4}"/>
    <hyperlink ref="M2351" r:id="rId1464" xr:uid="{C38C2B39-894C-44FA-8542-12D2D0024F1E}"/>
    <hyperlink ref="N1880" r:id="rId1465" xr:uid="{ABE86360-866B-4D77-9E46-D06AD551E0D8}"/>
    <hyperlink ref="M227" r:id="rId1466" xr:uid="{267B64A9-B144-4D7B-8FE3-E3C94818F586}"/>
    <hyperlink ref="M193" r:id="rId1467" xr:uid="{FCF4BAB0-D8BD-4310-A668-6CE515715CC0}"/>
    <hyperlink ref="M2451" r:id="rId1468" xr:uid="{94A6403D-AD01-4C21-8FE8-9165BC3B1A60}"/>
    <hyperlink ref="M2452" r:id="rId1469" xr:uid="{10F9FA54-8521-4596-87CA-BADB736B4B49}"/>
    <hyperlink ref="M2450" r:id="rId1470" xr:uid="{FA1D10C9-6600-4836-B9B5-9D9B67347289}"/>
    <hyperlink ref="M2459" r:id="rId1471" xr:uid="{E55ED06C-7328-4824-AC09-8F0F5BFAF3CA}"/>
    <hyperlink ref="M2431" r:id="rId1472" xr:uid="{8684EF23-99E6-4A76-A828-620033750784}"/>
    <hyperlink ref="M2497" r:id="rId1473" xr:uid="{D399048A-A1CB-4CB6-A6FE-AECA96F102A3}"/>
    <hyperlink ref="M913" r:id="rId1474" xr:uid="{4C4F6FBC-FD1A-440B-AF13-51F228C47FC5}"/>
    <hyperlink ref="M914" r:id="rId1475" xr:uid="{EA110C06-AA53-437D-9033-9EAE817668BA}"/>
    <hyperlink ref="M915" r:id="rId1476" xr:uid="{53280187-5473-40CC-BBD3-D1576AF197FD}"/>
    <hyperlink ref="M625" r:id="rId1477" xr:uid="{183ED238-32A2-41E4-8DCF-5634E6B36E28}"/>
    <hyperlink ref="M2152" r:id="rId1478" xr:uid="{F9A24891-607A-4E50-A749-8347AA12048B}"/>
    <hyperlink ref="M2084" r:id="rId1479" xr:uid="{7039A67B-ECF1-43F0-8E77-CB2DE42FFD1C}"/>
    <hyperlink ref="M876" r:id="rId1480" xr:uid="{AF7DCBA4-F5BD-46CB-909D-5995ABD96C6E}"/>
    <hyperlink ref="M888" r:id="rId1481" xr:uid="{29FA9033-9D42-4FEC-8BDE-972E76B9D433}"/>
    <hyperlink ref="M2331" r:id="rId1482" xr:uid="{E3976427-CED1-4140-93A0-7E0D7BF9FF91}"/>
    <hyperlink ref="M118" r:id="rId1483" xr:uid="{CCB9FC66-98D4-4921-B1BD-AB29C0ACD8C1}"/>
    <hyperlink ref="M119" r:id="rId1484" xr:uid="{FF387CE4-7778-412E-883A-C9C4514E6C14}"/>
    <hyperlink ref="M764" r:id="rId1485" xr:uid="{9C3C09AD-9ACC-449A-83A3-FAF6A27010F3}"/>
    <hyperlink ref="M177" r:id="rId1486" xr:uid="{932F1955-A97A-4E11-A510-FB2E7FFFD1AA}"/>
    <hyperlink ref="M121" r:id="rId1487" xr:uid="{2EA6B26B-832A-4431-84EA-D337E2C03F56}"/>
    <hyperlink ref="M483" r:id="rId1488" xr:uid="{4262C7CD-7FCF-4B04-A4E0-8370337E1425}"/>
    <hyperlink ref="M2160" r:id="rId1489" xr:uid="{71106B92-F60B-49BB-B726-564B92E5C80F}"/>
    <hyperlink ref="N2152" r:id="rId1490" xr:uid="{C95514D5-3C26-49B2-BA02-0856CC9ECE47}"/>
    <hyperlink ref="M413" r:id="rId1491" xr:uid="{1A931D3E-A1FB-4C95-ADAB-A924DFD64817}"/>
    <hyperlink ref="M2081" r:id="rId1492" xr:uid="{D8FDBC95-D313-416A-88AE-82037D449517}"/>
    <hyperlink ref="M2080" r:id="rId1493" xr:uid="{F9901F34-D1BC-4D5B-859B-3A43B567F6F4}"/>
  </hyperlinks>
  <pageMargins left="0.7" right="0.7" top="0.75" bottom="0.75" header="0.3" footer="0.3"/>
  <pageSetup orientation="landscape" r:id="rId1494"/>
  <tableParts count="1">
    <tablePart r:id="rId149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66344C-43AB-481E-B3CB-3A11D34721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Dibujos</vt:lpstr>
      <vt:lpstr>dibujos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</dc:creator>
  <cp:lastModifiedBy>Ivan Chavez</cp:lastModifiedBy>
  <cp:lastPrinted>2025-10-17T22:50:43Z</cp:lastPrinted>
  <dcterms:created xsi:type="dcterms:W3CDTF">2022-11-11T19:25:52Z</dcterms:created>
  <dcterms:modified xsi:type="dcterms:W3CDTF">2025-12-01T18:30:29Z</dcterms:modified>
</cp:coreProperties>
</file>